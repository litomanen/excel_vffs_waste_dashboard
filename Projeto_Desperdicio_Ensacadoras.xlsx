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slicers/slicer2.xml" ContentType="application/vnd.ms-excel.slicer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slicers/slicer3.xml" ContentType="application/vnd.ms-excel.slicer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john_\Desktop\Portfolio\Excel\"/>
    </mc:Choice>
  </mc:AlternateContent>
  <bookViews>
    <workbookView xWindow="0" yWindow="0" windowWidth="23040" windowHeight="9072" activeTab="4"/>
  </bookViews>
  <sheets>
    <sheet name="Analises_Desp" sheetId="4" r:id="rId1"/>
    <sheet name="Dashboard" sheetId="5" r:id="rId2"/>
    <sheet name="Dashboard (2)" sheetId="10" r:id="rId3"/>
    <sheet name="Dashboard (3)" sheetId="11" r:id="rId4"/>
    <sheet name="Dashboard (4)" sheetId="13" r:id="rId5"/>
    <sheet name="Fato_Producao" sheetId="1" r:id="rId6"/>
    <sheet name="Dim_Produtos" sheetId="2" r:id="rId7"/>
    <sheet name="Dim_Calendario" sheetId="3" r:id="rId8"/>
  </sheets>
  <definedNames>
    <definedName name="SegmentaçãoDeDados_ano">#N/A</definedName>
    <definedName name="SegmentaçãoDeDados_designacao_produto">#N/A</definedName>
    <definedName name="SegmentaçãoDeDados_mês">#N/A</definedName>
  </definedNames>
  <calcPr calcId="162913"/>
  <pivotCaches>
    <pivotCache cacheId="3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O740" i="1" l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E155" i="4"/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I7" i="4"/>
  <c r="I3" i="4"/>
  <c r="I5" i="4"/>
  <c r="I9" i="4"/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E2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2" i="3"/>
</calcChain>
</file>

<file path=xl/sharedStrings.xml><?xml version="1.0" encoding="utf-8"?>
<sst xmlns="http://purl.oclc.org/ooxml/spreadsheetml/main" count="10831" uniqueCount="89">
  <si>
    <t>data</t>
  </si>
  <si>
    <t>referencia</t>
  </si>
  <si>
    <t>designacao</t>
  </si>
  <si>
    <t>tipo</t>
  </si>
  <si>
    <t>tamanho</t>
  </si>
  <si>
    <t>peso_alvo</t>
  </si>
  <si>
    <t>tamanho_embalagem</t>
  </si>
  <si>
    <t>contador_maquina</t>
  </si>
  <si>
    <t>quantidade_real_produzida</t>
  </si>
  <si>
    <t>desperdicio_pct</t>
  </si>
  <si>
    <t>desperdicio_m</t>
  </si>
  <si>
    <t>embalagens_danificadas</t>
  </si>
  <si>
    <t>peso_errado</t>
  </si>
  <si>
    <t>impressao</t>
  </si>
  <si>
    <t>data_ultima_revisao</t>
  </si>
  <si>
    <t>dias_desde_revisao</t>
  </si>
  <si>
    <t>custo_metro_filme</t>
  </si>
  <si>
    <t>custo_desperdicio_eur</t>
  </si>
  <si>
    <t>flag_avaria_erro</t>
  </si>
  <si>
    <t>filete pescada</t>
  </si>
  <si>
    <t>inteiro</t>
  </si>
  <si>
    <t>L</t>
  </si>
  <si>
    <t>0.32</t>
  </si>
  <si>
    <t>0.13</t>
  </si>
  <si>
    <t>Nao</t>
  </si>
  <si>
    <t>pescada posta cozer</t>
  </si>
  <si>
    <t>posta</t>
  </si>
  <si>
    <t>M</t>
  </si>
  <si>
    <t>0.14</t>
  </si>
  <si>
    <t>pescada posta fritar</t>
  </si>
  <si>
    <t>lascas bacalhau</t>
  </si>
  <si>
    <t>S</t>
  </si>
  <si>
    <t>0.28</t>
  </si>
  <si>
    <t>salmao posta</t>
  </si>
  <si>
    <t>0.35</t>
  </si>
  <si>
    <t>0.16</t>
  </si>
  <si>
    <t>red-fish posta</t>
  </si>
  <si>
    <t>0.34</t>
  </si>
  <si>
    <t>perca posta</t>
  </si>
  <si>
    <t>0.15</t>
  </si>
  <si>
    <t>carapau pelim</t>
  </si>
  <si>
    <t>0.3</t>
  </si>
  <si>
    <t>lula suja</t>
  </si>
  <si>
    <t>sardinha pequena</t>
  </si>
  <si>
    <t>0.26</t>
  </si>
  <si>
    <t>0.11</t>
  </si>
  <si>
    <t>lula limpa</t>
  </si>
  <si>
    <t>0.12</t>
  </si>
  <si>
    <t>tiras pota</t>
  </si>
  <si>
    <t>camarao</t>
  </si>
  <si>
    <t>Sim</t>
  </si>
  <si>
    <t>Data</t>
  </si>
  <si>
    <t>Ano</t>
  </si>
  <si>
    <t>MesNum</t>
  </si>
  <si>
    <t>NomeMes</t>
  </si>
  <si>
    <t>AnoMes</t>
  </si>
  <si>
    <t>designacao_produto</t>
  </si>
  <si>
    <t>Rótulos de Linha</t>
  </si>
  <si>
    <t>Total Geral</t>
  </si>
  <si>
    <t>Soma de quantidade_real_produzida</t>
  </si>
  <si>
    <t>Soma de desperdicio_m</t>
  </si>
  <si>
    <t>Soma de custo_desperdicio_eur</t>
  </si>
  <si>
    <t>Soma de peso_errado</t>
  </si>
  <si>
    <t>Valores</t>
  </si>
  <si>
    <t>mês</t>
  </si>
  <si>
    <t>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</si>
  <si>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</si>
  <si>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</si>
  <si>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</si>
  <si>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</si>
  <si>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</si>
  <si>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</si>
  <si>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</si>
  <si>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</si>
  <si>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</si>
  <si>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</si>
  <si>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</si>
  <si>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</si>
  <si>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Rótulos de Coluna</t>
  </si>
  <si>
    <t>Média de desperdicio_pct</t>
  </si>
  <si>
    <t>Impressão com defeito/erro</t>
  </si>
  <si>
    <t>Embalagens danificadas</t>
  </si>
  <si>
    <t>Peso não conforme</t>
  </si>
  <si>
    <t>dias_desde_ultima data</t>
  </si>
  <si>
    <t>Média de dias_desde_ultima data</t>
  </si>
  <si>
    <t>total_embalagens_nao_conforme</t>
  </si>
  <si>
    <t>Total Embalagens Não Conforme</t>
  </si>
  <si>
    <t>Total Embalagens Conforme</t>
  </si>
  <si>
    <t>custo_desperdicio_por_saco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</si>
</sst>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&quot;€&quot;"/>
    <numFmt numFmtId="165" formatCode="#,##0.0000\ &quot;€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0" tint="-0.24994659260841701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33" borderId="0" xfId="0" applyFill="1"/>
    <xf numFmtId="0" fontId="0" fillId="34" borderId="0" xfId="0" applyFill="1"/>
    <xf numFmtId="1" fontId="0" fillId="0" borderId="0" xfId="0" applyNumberFormat="1"/>
    <xf numFmtId="0" fontId="16" fillId="35" borderId="10" xfId="0" applyFont="1" applyFill="1" applyBorder="1"/>
    <xf numFmtId="0" fontId="0" fillId="36" borderId="0" xfId="0" applyFill="1"/>
    <xf numFmtId="0" fontId="0" fillId="37" borderId="0" xfId="0" applyFill="1"/>
    <xf numFmtId="4" fontId="0" fillId="0" borderId="0" xfId="0" applyNumberFormat="1"/>
    <xf numFmtId="3" fontId="0" fillId="0" borderId="0" xfId="0" applyNumberFormat="1"/>
    <xf numFmtId="3" fontId="16" fillId="0" borderId="0" xfId="0" applyNumberFormat="1" applyFont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151">
    <dxf>
      <numFmt numFmtId="14" formatCode="0.00%"/>
    </dxf>
    <dxf>
      <numFmt numFmtId="2" formatCode="0.00"/>
    </dxf>
    <dxf>
      <numFmt numFmtId="2" formatCode="0.00"/>
    </dxf>
    <dxf>
      <numFmt numFmtId="4" formatCode="#,##0.00"/>
    </dxf>
    <dxf>
      <numFmt numFmtId="4" formatCode="#,##0.00"/>
    </dxf>
    <dxf>
      <numFmt numFmtId="1" formatCode="0"/>
    </dxf>
    <dxf>
      <numFmt numFmtId="14" formatCode="0.00%"/>
    </dxf>
    <dxf>
      <numFmt numFmtId="14" formatCode="0.00%"/>
    </dxf>
    <dxf>
      <numFmt numFmtId="4" formatCode="#,##0.00"/>
    </dxf>
    <dxf>
      <numFmt numFmtId="3" formatCode="#,##0"/>
    </dxf>
    <dxf>
      <numFmt numFmtId="3" formatCode="#,##0"/>
    </dxf>
    <dxf>
      <numFmt numFmtId="14" formatCode="0.00%"/>
    </dxf>
    <dxf>
      <numFmt numFmtId="2" formatCode="0.00"/>
    </dxf>
    <dxf>
      <numFmt numFmtId="2" formatCode="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4" formatCode="#,##0.00"/>
    </dxf>
    <dxf>
      <numFmt numFmtId="3" formatCode="#,##0"/>
    </dxf>
    <dxf>
      <numFmt numFmtId="3" formatCode="#,##0"/>
    </dxf>
    <dxf>
      <numFmt numFmtId="14" formatCode="0.00%"/>
    </dxf>
    <dxf>
      <numFmt numFmtId="2" formatCode="0.00"/>
    </dxf>
    <dxf>
      <numFmt numFmtId="2" formatCode="0.00"/>
    </dxf>
    <dxf>
      <numFmt numFmtId="4" formatCode="#,##0.00"/>
    </dxf>
    <dxf>
      <numFmt numFmtId="4" formatCode="#,##0.00"/>
    </dxf>
    <dxf>
      <numFmt numFmtId="1" formatCode="0"/>
    </dxf>
    <dxf>
      <numFmt numFmtId="14" formatCode="0.00%"/>
    </dxf>
    <dxf>
      <numFmt numFmtId="14" formatCode="0.00%"/>
    </dxf>
    <dxf>
      <numFmt numFmtId="4" formatCode="#,##0.00"/>
    </dxf>
    <dxf>
      <numFmt numFmtId="3" formatCode="#,##0"/>
    </dxf>
    <dxf>
      <numFmt numFmtId="3" formatCode="#,##0"/>
    </dxf>
    <dxf>
      <numFmt numFmtId="14" formatCode="0.00%"/>
    </dxf>
    <dxf>
      <numFmt numFmtId="2" formatCode="0.00"/>
    </dxf>
    <dxf>
      <numFmt numFmtId="2" formatCode="0.00"/>
    </dxf>
    <dxf>
      <numFmt numFmtId="4" formatCode="#,##0.00"/>
    </dxf>
    <dxf>
      <numFmt numFmtId="4" formatCode="#,##0.00"/>
    </dxf>
    <dxf>
      <numFmt numFmtId="1" formatCode="0"/>
    </dxf>
    <dxf>
      <numFmt numFmtId="14" formatCode="0.00%"/>
    </dxf>
    <dxf>
      <numFmt numFmtId="14" formatCode="0.00%"/>
    </dxf>
    <dxf>
      <numFmt numFmtId="4" formatCode="#,##0.00"/>
    </dxf>
    <dxf>
      <numFmt numFmtId="3" formatCode="#,##0"/>
    </dxf>
    <dxf>
      <numFmt numFmtId="3" formatCode="#,##0"/>
    </dxf>
    <dxf>
      <numFmt numFmtId="14" formatCode="0.00%"/>
    </dxf>
    <dxf>
      <numFmt numFmtId="2" formatCode="0.00"/>
    </dxf>
    <dxf>
      <numFmt numFmtId="2" formatCode="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4" formatCode="#,##0.00"/>
    </dxf>
    <dxf>
      <numFmt numFmtId="3" formatCode="#,##0"/>
    </dxf>
    <dxf>
      <numFmt numFmtId="3" formatCode="#,##0"/>
    </dxf>
    <dxf>
      <numFmt numFmtId="14" formatCode="0.00%"/>
    </dxf>
    <dxf>
      <numFmt numFmtId="2" formatCode="0.00"/>
    </dxf>
    <dxf>
      <numFmt numFmtId="2" formatCode="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4" formatCode="#,##0.00"/>
    </dxf>
    <dxf>
      <numFmt numFmtId="3" formatCode="#,##0"/>
    </dxf>
    <dxf>
      <numFmt numFmtId="3" formatCode="#,##0"/>
    </dxf>
    <dxf>
      <numFmt numFmtId="14" formatCode="0.00%"/>
    </dxf>
    <dxf>
      <numFmt numFmtId="2" formatCode="0.00"/>
    </dxf>
    <dxf>
      <numFmt numFmtId="2" formatCode="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4" formatCode="#,##0.00"/>
    </dxf>
    <dxf>
      <numFmt numFmtId="3" formatCode="#,##0"/>
    </dxf>
    <dxf>
      <numFmt numFmtId="3" formatCode="#,##0"/>
    </dxf>
    <dxf>
      <numFmt numFmtId="14" formatCode="0.00%"/>
    </dxf>
    <dxf>
      <numFmt numFmtId="2" formatCode="0.00"/>
    </dxf>
    <dxf>
      <numFmt numFmtId="2" formatCode="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4" formatCode="#,##0.00"/>
    </dxf>
    <dxf>
      <numFmt numFmtId="3" formatCode="#,##0"/>
    </dxf>
    <dxf>
      <numFmt numFmtId="3" formatCode="#,##0"/>
    </dxf>
    <dxf>
      <numFmt numFmtId="14" formatCode="0.00%"/>
    </dxf>
    <dxf>
      <numFmt numFmtId="2" formatCode="0.00"/>
    </dxf>
    <dxf>
      <numFmt numFmtId="2" formatCode="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4" formatCode="#,##0.00"/>
    </dxf>
    <dxf>
      <numFmt numFmtId="3" formatCode="#,##0"/>
    </dxf>
    <dxf>
      <numFmt numFmtId="3" formatCode="#,##0"/>
    </dxf>
    <dxf>
      <numFmt numFmtId="14" formatCode="0.00%"/>
    </dxf>
    <dxf>
      <numFmt numFmtId="2" formatCode="0.00"/>
    </dxf>
    <dxf>
      <numFmt numFmtId="2" formatCode="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4" formatCode="#,##0.00"/>
    </dxf>
    <dxf>
      <numFmt numFmtId="3" formatCode="#,##0"/>
    </dxf>
    <dxf>
      <numFmt numFmtId="3" formatCode="#,##0"/>
    </dxf>
    <dxf>
      <numFmt numFmtId="14" formatCode="0.00%"/>
    </dxf>
    <dxf>
      <numFmt numFmtId="2" formatCode="0.00"/>
    </dxf>
    <dxf>
      <numFmt numFmtId="2" formatCode="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4" formatCode="#,##0.00"/>
    </dxf>
    <dxf>
      <numFmt numFmtId="3" formatCode="#,##0"/>
    </dxf>
    <dxf>
      <numFmt numFmtId="3" formatCode="#,##0"/>
    </dxf>
    <dxf>
      <numFmt numFmtId="14" formatCode="0.00%"/>
    </dxf>
    <dxf>
      <numFmt numFmtId="2" formatCode="0.00"/>
    </dxf>
    <dxf>
      <numFmt numFmtId="2" formatCode="0.00"/>
    </dxf>
    <dxf>
      <numFmt numFmtId="4" formatCode="#,##0.00"/>
    </dxf>
    <dxf>
      <numFmt numFmtId="4" formatCode="#,##0.00"/>
    </dxf>
    <dxf>
      <numFmt numFmtId="14" formatCode="0.00%"/>
    </dxf>
    <dxf>
      <numFmt numFmtId="14" formatCode="0.00%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#,##0.00\ &quot;€&quot;"/>
    </dxf>
    <dxf>
      <numFmt numFmtId="19" formatCode="dd/mm/yyyy"/>
    </dxf>
    <dxf>
      <numFmt numFmtId="0" formatCode="General"/>
    </dxf>
    <dxf>
      <numFmt numFmtId="2" formatCode="0.00"/>
    </dxf>
    <dxf>
      <numFmt numFmtId="14" formatCode="0.00%"/>
    </dxf>
    <dxf>
      <numFmt numFmtId="0" formatCode="General"/>
    </dxf>
    <dxf>
      <numFmt numFmtId="19" formatCode="dd/mm/yyyy"/>
    </dxf>
    <dxf>
      <numFmt numFmtId="14" formatCode="0.00%"/>
    </dxf>
    <dxf>
      <numFmt numFmtId="14" formatCode="0.00%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schemas.microsoft.com/office/2007/relationships/slicerCache" Target="slicerCaches/slicerCache3.xml"/><Relationship Id="rId2" Type="http://purl.oclc.org/ooxml/officeDocument/relationships/worksheet" Target="worksheets/sheet2.xml"/><Relationship Id="rId16" Type="http://purl.oclc.org/ooxml/officeDocument/relationships/calcChain" Target="calcChain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schemas.microsoft.com/office/2007/relationships/slicerCache" Target="slicerCaches/slicerCache2.xml"/><Relationship Id="rId5" Type="http://purl.oclc.org/ooxml/officeDocument/relationships/worksheet" Target="worksheets/sheet5.xml"/><Relationship Id="rId15" Type="http://purl.oclc.org/ooxml/officeDocument/relationships/sharedStrings" Target="sharedStrings.xml"/><Relationship Id="rId10" Type="http://schemas.microsoft.com/office/2007/relationships/slicerCache" Target="slicerCaches/slicerCache1.xml"/><Relationship Id="rId4" Type="http://purl.oclc.org/ooxml/officeDocument/relationships/worksheet" Target="worksheets/sheet4.xml"/><Relationship Id="rId9" Type="http://purl.oclc.org/ooxml/officeDocument/relationships/pivotCacheDefinition" Target="pivotCache/pivotCacheDefinition1.xml"/><Relationship Id="rId1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[Projeto_Desperdicio_Ensacadoras.xlsx]Analises_Desp!Tabela Dinâmica1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6079681769102153E-2"/>
          <c:y val="4.4770044770044773E-2"/>
          <c:w val="0.62036333804139143"/>
          <c:h val="0.580437701697544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Analises_Desp!$B$3</c:f>
              <c:strCache>
                <c:ptCount val="1"/>
                <c:pt idx="0">
                  <c:v>Total Embalagens Conforme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Analises_Desp!$A$4:$A$5</c:f>
              <c:strCache>
                <c:ptCount val="1"/>
                <c:pt idx="0">
                  <c:v>lascas bacalhau</c:v>
                </c:pt>
              </c:strCache>
            </c:strRef>
          </c:cat>
          <c:val>
            <c:numRef>
              <c:f>Analises_Desp!$B$4:$B$5</c:f>
              <c:numCache>
                <c:formatCode>General</c:formatCode>
                <c:ptCount val="1"/>
                <c:pt idx="0">
                  <c:v>119905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6-4A74-8B57-C213AA52CB92}"/>
            </c:ext>
          </c:extLst>
        </c:ser>
        <c:ser>
          <c:idx val="1"/>
          <c:order val="1"/>
          <c:tx>
            <c:strRef>
              <c:f>Analises_Desp!$C$3</c:f>
              <c:strCache>
                <c:ptCount val="1"/>
                <c:pt idx="0">
                  <c:v>Total Embalagens Não Conforme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Analises_Desp!$A$4:$A$5</c:f>
              <c:strCache>
                <c:ptCount val="1"/>
                <c:pt idx="0">
                  <c:v>lascas bacalhau</c:v>
                </c:pt>
              </c:strCache>
            </c:strRef>
          </c:cat>
          <c:val>
            <c:numRef>
              <c:f>Analises_Desp!$C$4:$C$5</c:f>
              <c:numCache>
                <c:formatCode>General</c:formatCode>
                <c:ptCount val="1"/>
                <c:pt idx="0">
                  <c:v>9540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B6-4A74-8B57-C213AA52C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1387448"/>
        <c:axId val="331388432"/>
      </c:barChart>
      <c:catAx>
        <c:axId val="331387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1388432"/>
        <c:crosses val="autoZero"/>
        <c:auto val="1"/>
        <c:lblAlgn val="ctr"/>
        <c:lblOffset val="100"/>
        <c:noMultiLvlLbl val="0"/>
      </c:catAx>
      <c:valAx>
        <c:axId val="33138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1387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[Projeto_Desperdicio_Ensacadoras.xlsx]Analises_Desp!Tabela Dinâmica2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Analises_Desp!$B$20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Analises_Desp!$A$21:$A$22</c:f>
              <c:strCache>
                <c:ptCount val="1"/>
                <c:pt idx="0">
                  <c:v>lascas bacalhau</c:v>
                </c:pt>
              </c:strCache>
            </c:strRef>
          </c:cat>
          <c:val>
            <c:numRef>
              <c:f>Analises_Desp!$B$21:$B$22</c:f>
              <c:numCache>
                <c:formatCode>#\ ##0.00\ "€"</c:formatCode>
                <c:ptCount val="1"/>
                <c:pt idx="0">
                  <c:v>347.25000000000006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DF-45DD-9427-E88E6C267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8835768"/>
        <c:axId val="518829536"/>
      </c:barChart>
      <c:catAx>
        <c:axId val="518835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18829536"/>
        <c:crosses val="autoZero"/>
        <c:auto val="1"/>
        <c:lblAlgn val="ctr"/>
        <c:lblOffset val="100"/>
        <c:noMultiLvlLbl val="0"/>
      </c:catAx>
      <c:valAx>
        <c:axId val="51882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18835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[Projeto_Desperdicio_Ensacadoras.xlsx]Analises_Desp!Tabela Dinâmica3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Analises_Desp!$B$61:$B$62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Analises_Desp!$A$63:$A$75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Analises_Desp!$B$63:$B$75</c:f>
              <c:numCache>
                <c:formatCode>#\ ##0.00\ "€"</c:formatCode>
                <c:ptCount val="12"/>
                <c:pt idx="0">
                  <c:v>20.03</c:v>
                </c:pt>
                <c:pt idx="1">
                  <c:v>25.480000000000004</c:v>
                </c:pt>
                <c:pt idx="2">
                  <c:v>19.95</c:v>
                </c:pt>
                <c:pt idx="3">
                  <c:v>29.340000000000003</c:v>
                </c:pt>
                <c:pt idx="4">
                  <c:v>39.57</c:v>
                </c:pt>
                <c:pt idx="5">
                  <c:v>46.3</c:v>
                </c:pt>
                <c:pt idx="6">
                  <c:v>35.85</c:v>
                </c:pt>
                <c:pt idx="7">
                  <c:v>14.190000000000001</c:v>
                </c:pt>
                <c:pt idx="8">
                  <c:v>58.06</c:v>
                </c:pt>
                <c:pt idx="9">
                  <c:v>17.760000000000002</c:v>
                </c:pt>
                <c:pt idx="10">
                  <c:v>32.130000000000003</c:v>
                </c:pt>
                <c:pt idx="11">
                  <c:v>8.59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B6-4B21-8A65-9AFA7C7A3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294280"/>
        <c:axId val="381737856"/>
      </c:lineChart>
      <c:catAx>
        <c:axId val="469294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81737856"/>
        <c:crosses val="autoZero"/>
        <c:auto val="1"/>
        <c:lblAlgn val="ctr"/>
        <c:lblOffset val="100"/>
        <c:noMultiLvlLbl val="0"/>
      </c:catAx>
      <c:valAx>
        <c:axId val="38173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69294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[Projeto_Desperdicio_Ensacadoras.xlsx]Analises_Desp!Tabela Dinâmica4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Analises_Desp!$B$44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6BB-465F-AB21-4DA26CB32C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6BB-465F-AB21-4DA26CB32C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6BB-465F-AB21-4DA26CB32C06}"/>
              </c:ext>
            </c:extLst>
          </c:dPt>
          <c:cat>
            <c:strRef>
              <c:f>Analises_Desp!$A$45:$A$47</c:f>
              <c:strCache>
                <c:ptCount val="3"/>
                <c:pt idx="0">
                  <c:v>Impressão com defeito/erro</c:v>
                </c:pt>
                <c:pt idx="1">
                  <c:v>Embalagens danificadas</c:v>
                </c:pt>
                <c:pt idx="2">
                  <c:v>Peso não conforme</c:v>
                </c:pt>
              </c:strCache>
            </c:strRef>
          </c:cat>
          <c:val>
            <c:numRef>
              <c:f>Analises_Desp!$B$45:$B$47</c:f>
              <c:numCache>
                <c:formatCode>#,##0</c:formatCode>
                <c:ptCount val="3"/>
                <c:pt idx="0">
                  <c:v>365</c:v>
                </c:pt>
                <c:pt idx="1">
                  <c:v>523</c:v>
                </c:pt>
                <c:pt idx="2">
                  <c:v>8652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A-4448-91A7-892721A2D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[Projeto_Desperdicio_Ensacadoras.xlsx]Analises_Desp!Tabela Dinâmica5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Desperdicio</a:t>
            </a:r>
            <a:r>
              <a:rPr lang="en-US" baseline="0%"/>
              <a:t> vs dias desde a ultima revisão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Analises_Desp!$B$80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Analises_Desp!$A$81:$A$108</c:f>
              <c:strCache>
                <c:ptCount val="27"/>
                <c:pt idx="0">
                  <c:v>0</c:v>
                </c:pt>
                <c:pt idx="1">
                  <c:v>1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13</c:v>
                </c:pt>
                <c:pt idx="7">
                  <c:v>16</c:v>
                </c:pt>
                <c:pt idx="8">
                  <c:v>17</c:v>
                </c:pt>
                <c:pt idx="9">
                  <c:v>20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33</c:v>
                </c:pt>
                <c:pt idx="18">
                  <c:v>36</c:v>
                </c:pt>
                <c:pt idx="19">
                  <c:v>38</c:v>
                </c:pt>
                <c:pt idx="20">
                  <c:v>39</c:v>
                </c:pt>
                <c:pt idx="21">
                  <c:v>41</c:v>
                </c:pt>
                <c:pt idx="22">
                  <c:v>43</c:v>
                </c:pt>
                <c:pt idx="23">
                  <c:v>44</c:v>
                </c:pt>
                <c:pt idx="24">
                  <c:v>45</c:v>
                </c:pt>
                <c:pt idx="25">
                  <c:v>46</c:v>
                </c:pt>
                <c:pt idx="26">
                  <c:v>53</c:v>
                </c:pt>
              </c:strCache>
            </c:strRef>
          </c:cat>
          <c:val>
            <c:numRef>
              <c:f>Analises_Desp!$B$81:$B$108</c:f>
              <c:numCache>
                <c:formatCode>0.00%</c:formatCode>
                <c:ptCount val="27"/>
                <c:pt idx="0">
                  <c:v>3.5400000000000001E-2</c:v>
                </c:pt>
                <c:pt idx="1">
                  <c:v>6.3600000000000004E-2</c:v>
                </c:pt>
                <c:pt idx="2">
                  <c:v>4.9099999999999998E-2</c:v>
                </c:pt>
                <c:pt idx="3">
                  <c:v>6.2649999999999997E-2</c:v>
                </c:pt>
                <c:pt idx="4">
                  <c:v>5.6999999999999995E-2</c:v>
                </c:pt>
                <c:pt idx="5">
                  <c:v>6.2799999999999995E-2</c:v>
                </c:pt>
                <c:pt idx="6">
                  <c:v>6.6099999999999992E-2</c:v>
                </c:pt>
                <c:pt idx="7">
                  <c:v>4.9566666666666669E-2</c:v>
                </c:pt>
                <c:pt idx="8">
                  <c:v>6.0199999999999997E-2</c:v>
                </c:pt>
                <c:pt idx="9">
                  <c:v>5.3800000000000001E-2</c:v>
                </c:pt>
                <c:pt idx="10">
                  <c:v>8.2900000000000001E-2</c:v>
                </c:pt>
                <c:pt idx="11">
                  <c:v>9.6000000000000002E-2</c:v>
                </c:pt>
                <c:pt idx="12">
                  <c:v>7.8466666666666671E-2</c:v>
                </c:pt>
                <c:pt idx="13">
                  <c:v>5.8200000000000002E-2</c:v>
                </c:pt>
                <c:pt idx="14">
                  <c:v>7.3200000000000001E-2</c:v>
                </c:pt>
                <c:pt idx="15">
                  <c:v>7.9524999999999998E-2</c:v>
                </c:pt>
                <c:pt idx="16">
                  <c:v>7.6799999999999993E-2</c:v>
                </c:pt>
                <c:pt idx="17">
                  <c:v>7.4200000000000002E-2</c:v>
                </c:pt>
                <c:pt idx="18">
                  <c:v>7.0300000000000001E-2</c:v>
                </c:pt>
                <c:pt idx="19">
                  <c:v>8.2500000000000004E-2</c:v>
                </c:pt>
                <c:pt idx="20">
                  <c:v>8.8999999999999996E-2</c:v>
                </c:pt>
                <c:pt idx="21">
                  <c:v>9.1650000000000009E-2</c:v>
                </c:pt>
                <c:pt idx="22">
                  <c:v>0.1047</c:v>
                </c:pt>
                <c:pt idx="23">
                  <c:v>9.9650000000000002E-2</c:v>
                </c:pt>
                <c:pt idx="24">
                  <c:v>8.7800000000000003E-2</c:v>
                </c:pt>
                <c:pt idx="25">
                  <c:v>9.1150000000000009E-2</c:v>
                </c:pt>
                <c:pt idx="26">
                  <c:v>8.2100000000000006E-2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48-4AA5-B635-F572EE969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5234928"/>
        <c:axId val="545232632"/>
      </c:lineChart>
      <c:catAx>
        <c:axId val="54523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45232632"/>
        <c:crosses val="autoZero"/>
        <c:auto val="1"/>
        <c:lblAlgn val="ctr"/>
        <c:lblOffset val="100"/>
        <c:noMultiLvlLbl val="0"/>
      </c:catAx>
      <c:valAx>
        <c:axId val="54523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4523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[Projeto_Desperdicio_Ensacadoras.xlsx]Analises_Desp!Tabela Dinâmica1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6079681769102153E-2"/>
          <c:y val="4.4770044770044773E-2"/>
          <c:w val="0.62036333804139143"/>
          <c:h val="0.580437701697544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Analises_Desp!$B$3</c:f>
              <c:strCache>
                <c:ptCount val="1"/>
                <c:pt idx="0">
                  <c:v>Total Embalagens Conforme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Analises_Desp!$A$4:$A$5</c:f>
              <c:strCache>
                <c:ptCount val="1"/>
                <c:pt idx="0">
                  <c:v>lascas bacalhau</c:v>
                </c:pt>
              </c:strCache>
            </c:strRef>
          </c:cat>
          <c:val>
            <c:numRef>
              <c:f>Analises_Desp!$B$4:$B$5</c:f>
              <c:numCache>
                <c:formatCode>General</c:formatCode>
                <c:ptCount val="1"/>
                <c:pt idx="0">
                  <c:v>119905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E-421C-B9A1-34818F6191FD}"/>
            </c:ext>
          </c:extLst>
        </c:ser>
        <c:ser>
          <c:idx val="1"/>
          <c:order val="1"/>
          <c:tx>
            <c:strRef>
              <c:f>Analises_Desp!$C$3</c:f>
              <c:strCache>
                <c:ptCount val="1"/>
                <c:pt idx="0">
                  <c:v>Total Embalagens Não Conforme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Analises_Desp!$A$4:$A$5</c:f>
              <c:strCache>
                <c:ptCount val="1"/>
                <c:pt idx="0">
                  <c:v>lascas bacalhau</c:v>
                </c:pt>
              </c:strCache>
            </c:strRef>
          </c:cat>
          <c:val>
            <c:numRef>
              <c:f>Analises_Desp!$C$4:$C$5</c:f>
              <c:numCache>
                <c:formatCode>General</c:formatCode>
                <c:ptCount val="1"/>
                <c:pt idx="0">
                  <c:v>9540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BE-421C-B9A1-34818F619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1387448"/>
        <c:axId val="331388432"/>
      </c:barChart>
      <c:catAx>
        <c:axId val="331387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1388432"/>
        <c:crosses val="autoZero"/>
        <c:auto val="1"/>
        <c:lblAlgn val="ctr"/>
        <c:lblOffset val="100"/>
        <c:noMultiLvlLbl val="0"/>
      </c:catAx>
      <c:valAx>
        <c:axId val="33138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1387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>
        <a:alpha val="90%"/>
      </a:schemeClr>
    </a:solidFill>
    <a:ln w="9525" cap="rnd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[Projeto_Desperdicio_Ensacadoras.xlsx]Analises_Desp!Tabela Dinâmica5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Desperdicio</a:t>
            </a:r>
            <a:r>
              <a:rPr lang="en-US" baseline="0%"/>
              <a:t> Embalagens vs Dias desde a ultima revisão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Analises_Desp!$B$80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Analises_Desp!$A$81:$A$108</c:f>
              <c:strCache>
                <c:ptCount val="27"/>
                <c:pt idx="0">
                  <c:v>0</c:v>
                </c:pt>
                <c:pt idx="1">
                  <c:v>1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13</c:v>
                </c:pt>
                <c:pt idx="7">
                  <c:v>16</c:v>
                </c:pt>
                <c:pt idx="8">
                  <c:v>17</c:v>
                </c:pt>
                <c:pt idx="9">
                  <c:v>20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33</c:v>
                </c:pt>
                <c:pt idx="18">
                  <c:v>36</c:v>
                </c:pt>
                <c:pt idx="19">
                  <c:v>38</c:v>
                </c:pt>
                <c:pt idx="20">
                  <c:v>39</c:v>
                </c:pt>
                <c:pt idx="21">
                  <c:v>41</c:v>
                </c:pt>
                <c:pt idx="22">
                  <c:v>43</c:v>
                </c:pt>
                <c:pt idx="23">
                  <c:v>44</c:v>
                </c:pt>
                <c:pt idx="24">
                  <c:v>45</c:v>
                </c:pt>
                <c:pt idx="25">
                  <c:v>46</c:v>
                </c:pt>
                <c:pt idx="26">
                  <c:v>53</c:v>
                </c:pt>
              </c:strCache>
            </c:strRef>
          </c:cat>
          <c:val>
            <c:numRef>
              <c:f>Analises_Desp!$B$81:$B$108</c:f>
              <c:numCache>
                <c:formatCode>0.00%</c:formatCode>
                <c:ptCount val="27"/>
                <c:pt idx="0">
                  <c:v>3.5400000000000001E-2</c:v>
                </c:pt>
                <c:pt idx="1">
                  <c:v>6.3600000000000004E-2</c:v>
                </c:pt>
                <c:pt idx="2">
                  <c:v>4.9099999999999998E-2</c:v>
                </c:pt>
                <c:pt idx="3">
                  <c:v>6.2649999999999997E-2</c:v>
                </c:pt>
                <c:pt idx="4">
                  <c:v>5.6999999999999995E-2</c:v>
                </c:pt>
                <c:pt idx="5">
                  <c:v>6.2799999999999995E-2</c:v>
                </c:pt>
                <c:pt idx="6">
                  <c:v>6.6099999999999992E-2</c:v>
                </c:pt>
                <c:pt idx="7">
                  <c:v>4.9566666666666669E-2</c:v>
                </c:pt>
                <c:pt idx="8">
                  <c:v>6.0199999999999997E-2</c:v>
                </c:pt>
                <c:pt idx="9">
                  <c:v>5.3800000000000001E-2</c:v>
                </c:pt>
                <c:pt idx="10">
                  <c:v>8.2900000000000001E-2</c:v>
                </c:pt>
                <c:pt idx="11">
                  <c:v>9.6000000000000002E-2</c:v>
                </c:pt>
                <c:pt idx="12">
                  <c:v>7.8466666666666671E-2</c:v>
                </c:pt>
                <c:pt idx="13">
                  <c:v>5.8200000000000002E-2</c:v>
                </c:pt>
                <c:pt idx="14">
                  <c:v>7.3200000000000001E-2</c:v>
                </c:pt>
                <c:pt idx="15">
                  <c:v>7.9524999999999998E-2</c:v>
                </c:pt>
                <c:pt idx="16">
                  <c:v>7.6799999999999993E-2</c:v>
                </c:pt>
                <c:pt idx="17">
                  <c:v>7.4200000000000002E-2</c:v>
                </c:pt>
                <c:pt idx="18">
                  <c:v>7.0300000000000001E-2</c:v>
                </c:pt>
                <c:pt idx="19">
                  <c:v>8.2500000000000004E-2</c:v>
                </c:pt>
                <c:pt idx="20">
                  <c:v>8.8999999999999996E-2</c:v>
                </c:pt>
                <c:pt idx="21">
                  <c:v>9.1650000000000009E-2</c:v>
                </c:pt>
                <c:pt idx="22">
                  <c:v>0.1047</c:v>
                </c:pt>
                <c:pt idx="23">
                  <c:v>9.9650000000000002E-2</c:v>
                </c:pt>
                <c:pt idx="24">
                  <c:v>8.7800000000000003E-2</c:v>
                </c:pt>
                <c:pt idx="25">
                  <c:v>9.1150000000000009E-2</c:v>
                </c:pt>
                <c:pt idx="26">
                  <c:v>8.2100000000000006E-2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55-4CE0-A158-1824BF298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5234928"/>
        <c:axId val="545232632"/>
      </c:lineChart>
      <c:catAx>
        <c:axId val="54523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45232632"/>
        <c:crosses val="autoZero"/>
        <c:auto val="1"/>
        <c:lblAlgn val="ctr"/>
        <c:lblOffset val="100"/>
        <c:noMultiLvlLbl val="0"/>
      </c:catAx>
      <c:valAx>
        <c:axId val="54523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4523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[Projeto_Desperdicio_Ensacadoras.xlsx]Analises_Desp!Tabela Dinâmica4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Classificação</a:t>
            </a:r>
            <a:r>
              <a:rPr lang="en-US" baseline="0%"/>
              <a:t> das Não Conformidades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Analises_Desp!$B$44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41D-410B-9929-D9DC8D79D6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41D-410B-9929-D9DC8D79D6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41D-410B-9929-D9DC8D79D66E}"/>
              </c:ext>
            </c:extLst>
          </c:dPt>
          <c:cat>
            <c:strRef>
              <c:f>Analises_Desp!$A$45:$A$47</c:f>
              <c:strCache>
                <c:ptCount val="3"/>
                <c:pt idx="0">
                  <c:v>Impressão com defeito/erro</c:v>
                </c:pt>
                <c:pt idx="1">
                  <c:v>Embalagens danificadas</c:v>
                </c:pt>
                <c:pt idx="2">
                  <c:v>Peso não conforme</c:v>
                </c:pt>
              </c:strCache>
            </c:strRef>
          </c:cat>
          <c:val>
            <c:numRef>
              <c:f>Analises_Desp!$B$45:$B$47</c:f>
              <c:numCache>
                <c:formatCode>#,##0</c:formatCode>
                <c:ptCount val="3"/>
                <c:pt idx="0">
                  <c:v>365</c:v>
                </c:pt>
                <c:pt idx="1">
                  <c:v>523</c:v>
                </c:pt>
                <c:pt idx="2">
                  <c:v>8652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1D-410B-9929-D9DC8D79D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[Projeto_Desperdicio_Ensacadoras.xlsx]Analises_Desp!Tabela Dinâmica1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6079681769102153E-2"/>
          <c:y val="4.4770044770044773E-2"/>
          <c:w val="0.62036333804139143"/>
          <c:h val="0.580437701697544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Analises_Desp!$B$3</c:f>
              <c:strCache>
                <c:ptCount val="1"/>
                <c:pt idx="0">
                  <c:v>Total Embalagens Conforme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Analises_Desp!$A$4:$A$5</c:f>
              <c:strCache>
                <c:ptCount val="1"/>
                <c:pt idx="0">
                  <c:v>lascas bacalhau</c:v>
                </c:pt>
              </c:strCache>
            </c:strRef>
          </c:cat>
          <c:val>
            <c:numRef>
              <c:f>Analises_Desp!$B$4:$B$5</c:f>
              <c:numCache>
                <c:formatCode>General</c:formatCode>
                <c:ptCount val="1"/>
                <c:pt idx="0">
                  <c:v>119905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1-43F2-82C6-BFF31E3C0825}"/>
            </c:ext>
          </c:extLst>
        </c:ser>
        <c:ser>
          <c:idx val="1"/>
          <c:order val="1"/>
          <c:tx>
            <c:strRef>
              <c:f>Analises_Desp!$C$3</c:f>
              <c:strCache>
                <c:ptCount val="1"/>
                <c:pt idx="0">
                  <c:v>Total Embalagens Não Conforme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Analises_Desp!$A$4:$A$5</c:f>
              <c:strCache>
                <c:ptCount val="1"/>
                <c:pt idx="0">
                  <c:v>lascas bacalhau</c:v>
                </c:pt>
              </c:strCache>
            </c:strRef>
          </c:cat>
          <c:val>
            <c:numRef>
              <c:f>Analises_Desp!$C$4:$C$5</c:f>
              <c:numCache>
                <c:formatCode>General</c:formatCode>
                <c:ptCount val="1"/>
                <c:pt idx="0">
                  <c:v>9540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91-43F2-82C6-BFF31E3C0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1387448"/>
        <c:axId val="331388432"/>
      </c:barChart>
      <c:catAx>
        <c:axId val="331387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1388432"/>
        <c:crosses val="autoZero"/>
        <c:auto val="1"/>
        <c:lblAlgn val="ctr"/>
        <c:lblOffset val="100"/>
        <c:noMultiLvlLbl val="0"/>
      </c:catAx>
      <c:valAx>
        <c:axId val="33138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1387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>
        <a:alpha val="90%"/>
      </a:schemeClr>
    </a:solidFill>
    <a:ln w="9525" cap="rnd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[Projeto_Desperdicio_Ensacadoras.xlsx]Analises_Desp!Tabela Dinâmica5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Desperdicio</a:t>
            </a:r>
            <a:r>
              <a:rPr lang="en-US" baseline="0%"/>
              <a:t> Embalagens vs Dias desde a ultima revisão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Analises_Desp!$B$80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Analises_Desp!$A$81:$A$108</c:f>
              <c:strCache>
                <c:ptCount val="27"/>
                <c:pt idx="0">
                  <c:v>0</c:v>
                </c:pt>
                <c:pt idx="1">
                  <c:v>1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13</c:v>
                </c:pt>
                <c:pt idx="7">
                  <c:v>16</c:v>
                </c:pt>
                <c:pt idx="8">
                  <c:v>17</c:v>
                </c:pt>
                <c:pt idx="9">
                  <c:v>20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33</c:v>
                </c:pt>
                <c:pt idx="18">
                  <c:v>36</c:v>
                </c:pt>
                <c:pt idx="19">
                  <c:v>38</c:v>
                </c:pt>
                <c:pt idx="20">
                  <c:v>39</c:v>
                </c:pt>
                <c:pt idx="21">
                  <c:v>41</c:v>
                </c:pt>
                <c:pt idx="22">
                  <c:v>43</c:v>
                </c:pt>
                <c:pt idx="23">
                  <c:v>44</c:v>
                </c:pt>
                <c:pt idx="24">
                  <c:v>45</c:v>
                </c:pt>
                <c:pt idx="25">
                  <c:v>46</c:v>
                </c:pt>
                <c:pt idx="26">
                  <c:v>53</c:v>
                </c:pt>
              </c:strCache>
            </c:strRef>
          </c:cat>
          <c:val>
            <c:numRef>
              <c:f>Analises_Desp!$B$81:$B$108</c:f>
              <c:numCache>
                <c:formatCode>0.00%</c:formatCode>
                <c:ptCount val="27"/>
                <c:pt idx="0">
                  <c:v>3.5400000000000001E-2</c:v>
                </c:pt>
                <c:pt idx="1">
                  <c:v>6.3600000000000004E-2</c:v>
                </c:pt>
                <c:pt idx="2">
                  <c:v>4.9099999999999998E-2</c:v>
                </c:pt>
                <c:pt idx="3">
                  <c:v>6.2649999999999997E-2</c:v>
                </c:pt>
                <c:pt idx="4">
                  <c:v>5.6999999999999995E-2</c:v>
                </c:pt>
                <c:pt idx="5">
                  <c:v>6.2799999999999995E-2</c:v>
                </c:pt>
                <c:pt idx="6">
                  <c:v>6.6099999999999992E-2</c:v>
                </c:pt>
                <c:pt idx="7">
                  <c:v>4.9566666666666669E-2</c:v>
                </c:pt>
                <c:pt idx="8">
                  <c:v>6.0199999999999997E-2</c:v>
                </c:pt>
                <c:pt idx="9">
                  <c:v>5.3800000000000001E-2</c:v>
                </c:pt>
                <c:pt idx="10">
                  <c:v>8.2900000000000001E-2</c:v>
                </c:pt>
                <c:pt idx="11">
                  <c:v>9.6000000000000002E-2</c:v>
                </c:pt>
                <c:pt idx="12">
                  <c:v>7.8466666666666671E-2</c:v>
                </c:pt>
                <c:pt idx="13">
                  <c:v>5.8200000000000002E-2</c:v>
                </c:pt>
                <c:pt idx="14">
                  <c:v>7.3200000000000001E-2</c:v>
                </c:pt>
                <c:pt idx="15">
                  <c:v>7.9524999999999998E-2</c:v>
                </c:pt>
                <c:pt idx="16">
                  <c:v>7.6799999999999993E-2</c:v>
                </c:pt>
                <c:pt idx="17">
                  <c:v>7.4200000000000002E-2</c:v>
                </c:pt>
                <c:pt idx="18">
                  <c:v>7.0300000000000001E-2</c:v>
                </c:pt>
                <c:pt idx="19">
                  <c:v>8.2500000000000004E-2</c:v>
                </c:pt>
                <c:pt idx="20">
                  <c:v>8.8999999999999996E-2</c:v>
                </c:pt>
                <c:pt idx="21">
                  <c:v>9.1650000000000009E-2</c:v>
                </c:pt>
                <c:pt idx="22">
                  <c:v>0.1047</c:v>
                </c:pt>
                <c:pt idx="23">
                  <c:v>9.9650000000000002E-2</c:v>
                </c:pt>
                <c:pt idx="24">
                  <c:v>8.7800000000000003E-2</c:v>
                </c:pt>
                <c:pt idx="25">
                  <c:v>9.1150000000000009E-2</c:v>
                </c:pt>
                <c:pt idx="26">
                  <c:v>8.2100000000000006E-2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CD-4D77-A81D-B7CB337F2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5234928"/>
        <c:axId val="545232632"/>
      </c:lineChart>
      <c:catAx>
        <c:axId val="54523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45232632"/>
        <c:crosses val="autoZero"/>
        <c:auto val="1"/>
        <c:lblAlgn val="ctr"/>
        <c:lblOffset val="100"/>
        <c:noMultiLvlLbl val="0"/>
      </c:catAx>
      <c:valAx>
        <c:axId val="54523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4523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[Projeto_Desperdicio_Ensacadoras.xlsx]Analises_Desp!Tabela Dinâmica4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Classificação</a:t>
            </a:r>
            <a:r>
              <a:rPr lang="en-US" baseline="0%"/>
              <a:t> das Não Conformidades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Analises_Desp!$B$44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87-4EAF-BD48-1BF4F5369B2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87-4EAF-BD48-1BF4F5369B2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87-4EAF-BD48-1BF4F5369B21}"/>
              </c:ext>
            </c:extLst>
          </c:dPt>
          <c:cat>
            <c:strRef>
              <c:f>Analises_Desp!$A$45:$A$47</c:f>
              <c:strCache>
                <c:ptCount val="3"/>
                <c:pt idx="0">
                  <c:v>Impressão com defeito/erro</c:v>
                </c:pt>
                <c:pt idx="1">
                  <c:v>Embalagens danificadas</c:v>
                </c:pt>
                <c:pt idx="2">
                  <c:v>Peso não conforme</c:v>
                </c:pt>
              </c:strCache>
            </c:strRef>
          </c:cat>
          <c:val>
            <c:numRef>
              <c:f>Analises_Desp!$B$45:$B$47</c:f>
              <c:numCache>
                <c:formatCode>#,##0</c:formatCode>
                <c:ptCount val="3"/>
                <c:pt idx="0">
                  <c:v>365</c:v>
                </c:pt>
                <c:pt idx="1">
                  <c:v>523</c:v>
                </c:pt>
                <c:pt idx="2">
                  <c:v>8652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87-4EAF-BD48-1BF4F5369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[Projeto_Desperdicio_Ensacadoras.xlsx]Analises_Desp!Tabela Dinâmica3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Analises_Desp!$B$61:$B$62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Analises_Desp!$A$63:$A$75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Analises_Desp!$B$63:$B$75</c:f>
              <c:numCache>
                <c:formatCode>#\ ##0.00\ "€"</c:formatCode>
                <c:ptCount val="12"/>
                <c:pt idx="0">
                  <c:v>20.03</c:v>
                </c:pt>
                <c:pt idx="1">
                  <c:v>25.480000000000004</c:v>
                </c:pt>
                <c:pt idx="2">
                  <c:v>19.95</c:v>
                </c:pt>
                <c:pt idx="3">
                  <c:v>29.340000000000003</c:v>
                </c:pt>
                <c:pt idx="4">
                  <c:v>39.57</c:v>
                </c:pt>
                <c:pt idx="5">
                  <c:v>46.3</c:v>
                </c:pt>
                <c:pt idx="6">
                  <c:v>35.85</c:v>
                </c:pt>
                <c:pt idx="7">
                  <c:v>14.190000000000001</c:v>
                </c:pt>
                <c:pt idx="8">
                  <c:v>58.06</c:v>
                </c:pt>
                <c:pt idx="9">
                  <c:v>17.760000000000002</c:v>
                </c:pt>
                <c:pt idx="10">
                  <c:v>32.130000000000003</c:v>
                </c:pt>
                <c:pt idx="11">
                  <c:v>8.59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2D-4DA0-A24C-415307937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294280"/>
        <c:axId val="381737856"/>
      </c:lineChart>
      <c:catAx>
        <c:axId val="469294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81737856"/>
        <c:crosses val="autoZero"/>
        <c:auto val="1"/>
        <c:lblAlgn val="ctr"/>
        <c:lblOffset val="100"/>
        <c:noMultiLvlLbl val="0"/>
      </c:catAx>
      <c:valAx>
        <c:axId val="38173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69294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[Projeto_Desperdicio_Ensacadoras.xlsx]Analises_Desp!Tabela Dinâmica2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Custo</a:t>
            </a:r>
            <a:r>
              <a:rPr lang="pt-PT" baseline="0%"/>
              <a:t> </a:t>
            </a:r>
            <a:r>
              <a:rPr lang="pt-PT"/>
              <a:t>Total Sacos Não</a:t>
            </a:r>
            <a:r>
              <a:rPr lang="pt-PT" baseline="0%"/>
              <a:t> Conforme </a:t>
            </a:r>
            <a:r>
              <a:rPr lang="pt-PT"/>
              <a:t>em € por Referencia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Analises_Desp!$B$20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Analises_Desp!$A$21:$A$22</c:f>
              <c:strCache>
                <c:ptCount val="1"/>
                <c:pt idx="0">
                  <c:v>lascas bacalhau</c:v>
                </c:pt>
              </c:strCache>
            </c:strRef>
          </c:cat>
          <c:val>
            <c:numRef>
              <c:f>Analises_Desp!$B$21:$B$22</c:f>
              <c:numCache>
                <c:formatCode>#\ ##0.00\ "€"</c:formatCode>
                <c:ptCount val="1"/>
                <c:pt idx="0">
                  <c:v>347.25000000000006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D-49E7-AE29-C4FA4112F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8835768"/>
        <c:axId val="518829536"/>
      </c:barChart>
      <c:catAx>
        <c:axId val="518835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18829536"/>
        <c:crosses val="autoZero"/>
        <c:auto val="1"/>
        <c:lblAlgn val="ctr"/>
        <c:lblOffset val="100"/>
        <c:noMultiLvlLbl val="0"/>
      </c:catAx>
      <c:valAx>
        <c:axId val="51882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18835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[Projeto_Desperdicio_Ensacadoras.xlsx]Analises_Desp!Tabela Dinâmica1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6079681769102153E-2"/>
          <c:y val="4.4770044770044773E-2"/>
          <c:w val="0.62036333804139143"/>
          <c:h val="0.580437701697544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Analises_Desp!$B$3</c:f>
              <c:strCache>
                <c:ptCount val="1"/>
                <c:pt idx="0">
                  <c:v>Total Embalagens Conforme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Analises_Desp!$A$4:$A$5</c:f>
              <c:strCache>
                <c:ptCount val="1"/>
                <c:pt idx="0">
                  <c:v>lascas bacalhau</c:v>
                </c:pt>
              </c:strCache>
            </c:strRef>
          </c:cat>
          <c:val>
            <c:numRef>
              <c:f>Analises_Desp!$B$4:$B$5</c:f>
              <c:numCache>
                <c:formatCode>General</c:formatCode>
                <c:ptCount val="1"/>
                <c:pt idx="0">
                  <c:v>119905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C-4E21-BC85-CD4F97A8C47D}"/>
            </c:ext>
          </c:extLst>
        </c:ser>
        <c:ser>
          <c:idx val="1"/>
          <c:order val="1"/>
          <c:tx>
            <c:strRef>
              <c:f>Analises_Desp!$C$3</c:f>
              <c:strCache>
                <c:ptCount val="1"/>
                <c:pt idx="0">
                  <c:v>Total Embalagens Não Conforme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Analises_Desp!$A$4:$A$5</c:f>
              <c:strCache>
                <c:ptCount val="1"/>
                <c:pt idx="0">
                  <c:v>lascas bacalhau</c:v>
                </c:pt>
              </c:strCache>
            </c:strRef>
          </c:cat>
          <c:val>
            <c:numRef>
              <c:f>Analises_Desp!$C$4:$C$5</c:f>
              <c:numCache>
                <c:formatCode>General</c:formatCode>
                <c:ptCount val="1"/>
                <c:pt idx="0">
                  <c:v>9540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EC-4E21-BC85-CD4F97A8C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1387448"/>
        <c:axId val="331388432"/>
      </c:barChart>
      <c:catAx>
        <c:axId val="331387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1388432"/>
        <c:crosses val="autoZero"/>
        <c:auto val="1"/>
        <c:lblAlgn val="ctr"/>
        <c:lblOffset val="100"/>
        <c:noMultiLvlLbl val="0"/>
      </c:catAx>
      <c:valAx>
        <c:axId val="33138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1387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>
        <a:alpha val="90%"/>
      </a:schemeClr>
    </a:solidFill>
    <a:ln w="9525" cap="rnd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[Projeto_Desperdicio_Ensacadoras.xlsx]Analises_Desp!Tabela Dinâmica5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Desperdicio</a:t>
            </a:r>
            <a:r>
              <a:rPr lang="en-US" baseline="0%"/>
              <a:t> Embalagens vs Dias desde a ultima revisão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Analises_Desp!$B$80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Analises_Desp!$A$81:$A$108</c:f>
              <c:strCache>
                <c:ptCount val="27"/>
                <c:pt idx="0">
                  <c:v>0</c:v>
                </c:pt>
                <c:pt idx="1">
                  <c:v>1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13</c:v>
                </c:pt>
                <c:pt idx="7">
                  <c:v>16</c:v>
                </c:pt>
                <c:pt idx="8">
                  <c:v>17</c:v>
                </c:pt>
                <c:pt idx="9">
                  <c:v>20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33</c:v>
                </c:pt>
                <c:pt idx="18">
                  <c:v>36</c:v>
                </c:pt>
                <c:pt idx="19">
                  <c:v>38</c:v>
                </c:pt>
                <c:pt idx="20">
                  <c:v>39</c:v>
                </c:pt>
                <c:pt idx="21">
                  <c:v>41</c:v>
                </c:pt>
                <c:pt idx="22">
                  <c:v>43</c:v>
                </c:pt>
                <c:pt idx="23">
                  <c:v>44</c:v>
                </c:pt>
                <c:pt idx="24">
                  <c:v>45</c:v>
                </c:pt>
                <c:pt idx="25">
                  <c:v>46</c:v>
                </c:pt>
                <c:pt idx="26">
                  <c:v>53</c:v>
                </c:pt>
              </c:strCache>
            </c:strRef>
          </c:cat>
          <c:val>
            <c:numRef>
              <c:f>Analises_Desp!$B$81:$B$108</c:f>
              <c:numCache>
                <c:formatCode>0.00%</c:formatCode>
                <c:ptCount val="27"/>
                <c:pt idx="0">
                  <c:v>3.5400000000000001E-2</c:v>
                </c:pt>
                <c:pt idx="1">
                  <c:v>6.3600000000000004E-2</c:v>
                </c:pt>
                <c:pt idx="2">
                  <c:v>4.9099999999999998E-2</c:v>
                </c:pt>
                <c:pt idx="3">
                  <c:v>6.2649999999999997E-2</c:v>
                </c:pt>
                <c:pt idx="4">
                  <c:v>5.6999999999999995E-2</c:v>
                </c:pt>
                <c:pt idx="5">
                  <c:v>6.2799999999999995E-2</c:v>
                </c:pt>
                <c:pt idx="6">
                  <c:v>6.6099999999999992E-2</c:v>
                </c:pt>
                <c:pt idx="7">
                  <c:v>4.9566666666666669E-2</c:v>
                </c:pt>
                <c:pt idx="8">
                  <c:v>6.0199999999999997E-2</c:v>
                </c:pt>
                <c:pt idx="9">
                  <c:v>5.3800000000000001E-2</c:v>
                </c:pt>
                <c:pt idx="10">
                  <c:v>8.2900000000000001E-2</c:v>
                </c:pt>
                <c:pt idx="11">
                  <c:v>9.6000000000000002E-2</c:v>
                </c:pt>
                <c:pt idx="12">
                  <c:v>7.8466666666666671E-2</c:v>
                </c:pt>
                <c:pt idx="13">
                  <c:v>5.8200000000000002E-2</c:v>
                </c:pt>
                <c:pt idx="14">
                  <c:v>7.3200000000000001E-2</c:v>
                </c:pt>
                <c:pt idx="15">
                  <c:v>7.9524999999999998E-2</c:v>
                </c:pt>
                <c:pt idx="16">
                  <c:v>7.6799999999999993E-2</c:v>
                </c:pt>
                <c:pt idx="17">
                  <c:v>7.4200000000000002E-2</c:v>
                </c:pt>
                <c:pt idx="18">
                  <c:v>7.0300000000000001E-2</c:v>
                </c:pt>
                <c:pt idx="19">
                  <c:v>8.2500000000000004E-2</c:v>
                </c:pt>
                <c:pt idx="20">
                  <c:v>8.8999999999999996E-2</c:v>
                </c:pt>
                <c:pt idx="21">
                  <c:v>9.1650000000000009E-2</c:v>
                </c:pt>
                <c:pt idx="22">
                  <c:v>0.1047</c:v>
                </c:pt>
                <c:pt idx="23">
                  <c:v>9.9650000000000002E-2</c:v>
                </c:pt>
                <c:pt idx="24">
                  <c:v>8.7800000000000003E-2</c:v>
                </c:pt>
                <c:pt idx="25">
                  <c:v>9.1150000000000009E-2</c:v>
                </c:pt>
                <c:pt idx="26">
                  <c:v>8.2100000000000006E-2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39-4F08-843B-4F411EDFD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5234928"/>
        <c:axId val="545232632"/>
      </c:lineChart>
      <c:catAx>
        <c:axId val="54523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45232632"/>
        <c:crosses val="autoZero"/>
        <c:auto val="1"/>
        <c:lblAlgn val="ctr"/>
        <c:lblOffset val="100"/>
        <c:noMultiLvlLbl val="0"/>
      </c:catAx>
      <c:valAx>
        <c:axId val="54523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4523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[Projeto_Desperdicio_Ensacadoras.xlsx]Analises_Desp!Tabela Dinâmica4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Classificação</a:t>
            </a:r>
            <a:r>
              <a:rPr lang="en-US" baseline="0%"/>
              <a:t> das Não Conformidades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Analises_Desp!$B$44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68A-4B4A-BC1F-48F4C93B16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68A-4B4A-BC1F-48F4C93B16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68A-4B4A-BC1F-48F4C93B16B6}"/>
              </c:ext>
            </c:extLst>
          </c:dPt>
          <c:cat>
            <c:strRef>
              <c:f>Analises_Desp!$A$45:$A$47</c:f>
              <c:strCache>
                <c:ptCount val="3"/>
                <c:pt idx="0">
                  <c:v>Impressão com defeito/erro</c:v>
                </c:pt>
                <c:pt idx="1">
                  <c:v>Embalagens danificadas</c:v>
                </c:pt>
                <c:pt idx="2">
                  <c:v>Peso não conforme</c:v>
                </c:pt>
              </c:strCache>
            </c:strRef>
          </c:cat>
          <c:val>
            <c:numRef>
              <c:f>Analises_Desp!$B$45:$B$47</c:f>
              <c:numCache>
                <c:formatCode>#,##0</c:formatCode>
                <c:ptCount val="3"/>
                <c:pt idx="0">
                  <c:v>365</c:v>
                </c:pt>
                <c:pt idx="1">
                  <c:v>523</c:v>
                </c:pt>
                <c:pt idx="2">
                  <c:v>8652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8A-4B4A-BC1F-48F4C93B1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[Projeto_Desperdicio_Ensacadoras.xlsx]Analises_Desp!Tabela Dinâmica1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6079681769102153E-2"/>
          <c:y val="4.4770044770044773E-2"/>
          <c:w val="0.62036333804139143"/>
          <c:h val="0.580437701697544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Analises_Desp!$B$3</c:f>
              <c:strCache>
                <c:ptCount val="1"/>
                <c:pt idx="0">
                  <c:v>Total Embalagens Conforme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Analises_Desp!$A$4:$A$5</c:f>
              <c:strCache>
                <c:ptCount val="1"/>
                <c:pt idx="0">
                  <c:v>lascas bacalhau</c:v>
                </c:pt>
              </c:strCache>
            </c:strRef>
          </c:cat>
          <c:val>
            <c:numRef>
              <c:f>Analises_Desp!$B$4:$B$5</c:f>
              <c:numCache>
                <c:formatCode>General</c:formatCode>
                <c:ptCount val="1"/>
                <c:pt idx="0">
                  <c:v>119905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A-4AC5-A170-95304E21ABBB}"/>
            </c:ext>
          </c:extLst>
        </c:ser>
        <c:ser>
          <c:idx val="1"/>
          <c:order val="1"/>
          <c:tx>
            <c:strRef>
              <c:f>Analises_Desp!$C$3</c:f>
              <c:strCache>
                <c:ptCount val="1"/>
                <c:pt idx="0">
                  <c:v>Total Embalagens Não Conforme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Analises_Desp!$A$4:$A$5</c:f>
              <c:strCache>
                <c:ptCount val="1"/>
                <c:pt idx="0">
                  <c:v>lascas bacalhau</c:v>
                </c:pt>
              </c:strCache>
            </c:strRef>
          </c:cat>
          <c:val>
            <c:numRef>
              <c:f>Analises_Desp!$C$4:$C$5</c:f>
              <c:numCache>
                <c:formatCode>General</c:formatCode>
                <c:ptCount val="1"/>
                <c:pt idx="0">
                  <c:v>9540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EA-4AC5-A170-95304E21A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1387448"/>
        <c:axId val="331388432"/>
      </c:barChart>
      <c:catAx>
        <c:axId val="331387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1388432"/>
        <c:crosses val="autoZero"/>
        <c:auto val="1"/>
        <c:lblAlgn val="ctr"/>
        <c:lblOffset val="100"/>
        <c:noMultiLvlLbl val="0"/>
      </c:catAx>
      <c:valAx>
        <c:axId val="33138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1387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680757040869877"/>
          <c:y val="0.16217958006856933"/>
          <c:w val="0.30752706020753001"/>
          <c:h val="0.183196169675602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>
        <a:alpha val="90%"/>
      </a:schemeClr>
    </a:solidFill>
    <a:ln w="9525" cap="rnd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6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7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8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9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0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6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17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33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purl.oclc.org/ooxml/drawingml/main" id="26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purl.oclc.org/ooxml/drawingml/main" id="22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purl.oclc.org/ooxml/drawingml/main" id="22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purl.oclc.org/ooxml/drawingml/main" id="26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purl.oclc.org/ooxml/drawingml/main" id="22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purl.oclc.org/ooxml/drawingml/main" id="26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purl.oclc.org/ooxml/drawingml/main" id="33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purl.oclc.org/ooxml/drawingml/main" id="22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purl.oclc.org/ooxml/drawingml/main" id="26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purl.oclc.org/ooxml/officeDocument/relationships/chart" Target="../charts/chart3.xml"/><Relationship Id="rId2" Type="http://purl.oclc.org/ooxml/officeDocument/relationships/chart" Target="../charts/chart2.xml"/><Relationship Id="rId1" Type="http://purl.oclc.org/ooxml/officeDocument/relationships/chart" Target="../charts/chart1.xml"/><Relationship Id="rId6" Type="http://purl.oclc.org/ooxml/officeDocument/relationships/image" Target="../media/image1.png"/><Relationship Id="rId5" Type="http://purl.oclc.org/ooxml/officeDocument/relationships/chart" Target="../charts/chart5.xml"/><Relationship Id="rId4" Type="http://purl.oclc.org/ooxml/officeDocument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purl.oclc.org/ooxml/officeDocument/relationships/chart" Target="../charts/chart8.xml"/><Relationship Id="rId7" Type="http://purl.oclc.org/ooxml/officeDocument/relationships/hyperlink" Target="#'Dashboard (4)'!A1"/><Relationship Id="rId2" Type="http://purl.oclc.org/ooxml/officeDocument/relationships/chart" Target="../charts/chart7.xml"/><Relationship Id="rId1" Type="http://purl.oclc.org/ooxml/officeDocument/relationships/chart" Target="../charts/chart6.xml"/><Relationship Id="rId6" Type="http://purl.oclc.org/ooxml/officeDocument/relationships/hyperlink" Target="#'Dashboard (3)'!A1"/><Relationship Id="rId5" Type="http://purl.oclc.org/ooxml/officeDocument/relationships/hyperlink" Target="#'Dashboard (2)'!A1"/><Relationship Id="rId4" Type="http://purl.oclc.org/ooxml/officeDocument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8" Type="http://purl.oclc.org/ooxml/officeDocument/relationships/hyperlink" Target="#'Dashboard (3)'!A1"/><Relationship Id="rId3" Type="http://purl.oclc.org/ooxml/officeDocument/relationships/chart" Target="../charts/chart11.xml"/><Relationship Id="rId7" Type="http://purl.oclc.org/ooxml/officeDocument/relationships/hyperlink" Target="#'Dashboard (2)'!A1"/><Relationship Id="rId2" Type="http://purl.oclc.org/ooxml/officeDocument/relationships/chart" Target="../charts/chart10.xml"/><Relationship Id="rId1" Type="http://purl.oclc.org/ooxml/officeDocument/relationships/chart" Target="../charts/chart9.xml"/><Relationship Id="rId6" Type="http://purl.oclc.org/ooxml/officeDocument/relationships/hyperlink" Target="#Dashboard!A1"/><Relationship Id="rId5" Type="http://purl.oclc.org/ooxml/officeDocument/relationships/chart" Target="../charts/chart13.xml"/><Relationship Id="rId4" Type="http://purl.oclc.org/ooxml/officeDocument/relationships/chart" Target="../charts/chart12.xml"/><Relationship Id="rId9" Type="http://purl.oclc.org/ooxml/officeDocument/relationships/hyperlink" Target="#'Dashboard (4)'!A1"/></Relationships>
</file>

<file path=xl/drawings/_rels/drawing4.xml.rels><?xml version="1.0" encoding="UTF-8" standalone="yes"?>
<Relationships xmlns="http://schemas.openxmlformats.org/package/2006/relationships"><Relationship Id="rId3" Type="http://purl.oclc.org/ooxml/officeDocument/relationships/chart" Target="../charts/chart16.xml"/><Relationship Id="rId7" Type="http://purl.oclc.org/ooxml/officeDocument/relationships/hyperlink" Target="#'Dashboard (4)'!A1"/><Relationship Id="rId2" Type="http://purl.oclc.org/ooxml/officeDocument/relationships/chart" Target="../charts/chart15.xml"/><Relationship Id="rId1" Type="http://purl.oclc.org/ooxml/officeDocument/relationships/chart" Target="../charts/chart14.xml"/><Relationship Id="rId6" Type="http://purl.oclc.org/ooxml/officeDocument/relationships/hyperlink" Target="#'Dashboard (3)'!A1"/><Relationship Id="rId5" Type="http://purl.oclc.org/ooxml/officeDocument/relationships/hyperlink" Target="#'Dashboard (2)'!A1"/><Relationship Id="rId4" Type="http://purl.oclc.org/ooxml/officeDocument/relationships/hyperlink" Target="#Dashboard!A1"/></Relationships>
</file>

<file path=xl/drawings/_rels/drawing5.xml.rels><?xml version="1.0" encoding="UTF-8" standalone="yes"?>
<Relationships xmlns="http://schemas.openxmlformats.org/package/2006/relationships"><Relationship Id="rId3" Type="http://purl.oclc.org/ooxml/officeDocument/relationships/hyperlink" Target="#'Dashboard (2)'!A1"/><Relationship Id="rId2" Type="http://purl.oclc.org/ooxml/officeDocument/relationships/hyperlink" Target="#Dashboard!A1"/><Relationship Id="rId1" Type="http://purl.oclc.org/ooxml/officeDocument/relationships/chart" Target="../charts/chart17.xml"/><Relationship Id="rId5" Type="http://purl.oclc.org/ooxml/officeDocument/relationships/hyperlink" Target="#'Dashboard (4)'!A1"/><Relationship Id="rId4" Type="http://purl.oclc.org/ooxml/officeDocument/relationships/hyperlink" Target="#'Dashboard (3)'!A1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10</xdr:col>
      <xdr:colOff>731520</xdr:colOff>
      <xdr:row>2</xdr:row>
      <xdr:rowOff>7620</xdr:rowOff>
    </xdr:from>
    <xdr:to>
      <xdr:col>17</xdr:col>
      <xdr:colOff>167640</xdr:colOff>
      <xdr:row>23</xdr:row>
      <xdr:rowOff>7620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2</xdr:col>
      <xdr:colOff>1051560</xdr:colOff>
      <xdr:row>19</xdr:row>
      <xdr:rowOff>3810</xdr:rowOff>
    </xdr:from>
    <xdr:to>
      <xdr:col>6</xdr:col>
      <xdr:colOff>137160</xdr:colOff>
      <xdr:row>34</xdr:row>
      <xdr:rowOff>3810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6</xdr:col>
      <xdr:colOff>556260</xdr:colOff>
      <xdr:row>58</xdr:row>
      <xdr:rowOff>175260</xdr:rowOff>
    </xdr:from>
    <xdr:to>
      <xdr:col>14</xdr:col>
      <xdr:colOff>601980</xdr:colOff>
      <xdr:row>75</xdr:row>
      <xdr:rowOff>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>
    <xdr:from>
      <xdr:col>2</xdr:col>
      <xdr:colOff>525780</xdr:colOff>
      <xdr:row>42</xdr:row>
      <xdr:rowOff>179070</xdr:rowOff>
    </xdr:from>
    <xdr:to>
      <xdr:col>6</xdr:col>
      <xdr:colOff>160020</xdr:colOff>
      <xdr:row>57</xdr:row>
      <xdr:rowOff>179070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  <xdr:twoCellAnchor>
    <xdr:from>
      <xdr:col>3</xdr:col>
      <xdr:colOff>281940</xdr:colOff>
      <xdr:row>80</xdr:row>
      <xdr:rowOff>7620</xdr:rowOff>
    </xdr:from>
    <xdr:to>
      <xdr:col>11</xdr:col>
      <xdr:colOff>160020</xdr:colOff>
      <xdr:row>98</xdr:row>
      <xdr:rowOff>118110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5"/>
        </a:graphicData>
      </a:graphic>
    </xdr:graphicFrame>
    <xdr:clientData/>
  </xdr:twoCellAnchor>
  <xdr:twoCellAnchor editAs="oneCell">
    <xdr:from>
      <xdr:col>5</xdr:col>
      <xdr:colOff>220980</xdr:colOff>
      <xdr:row>143</xdr:row>
      <xdr:rowOff>99060</xdr:rowOff>
    </xdr:from>
    <xdr:to>
      <xdr:col>11</xdr:col>
      <xdr:colOff>175887</xdr:colOff>
      <xdr:row>149</xdr:row>
      <xdr:rowOff>160120</xdr:rowOff>
    </xdr:to>
    <xdr:pic>
      <xdr:nvPicPr>
        <xdr:cNvPr id="2" name="Imagem 1"/>
        <xdr:cNvPicPr>
          <a:picLocks noChangeAspect="1"/>
        </xdr:cNvPicPr>
      </xdr:nvPicPr>
      <xdr:blipFill>
        <a:blip xmlns:r="http://purl.oclc.org/ooxml/officeDocument/relationships" r:embed="rId6"/>
        <a:stretch>
          <a:fillRect/>
        </a:stretch>
      </xdr:blipFill>
      <xdr:spPr>
        <a:xfrm>
          <a:off x="4198620" y="26250900"/>
          <a:ext cx="7239627" cy="11583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oneCellAnchor>
    <xdr:from>
      <xdr:col>0</xdr:col>
      <xdr:colOff>129540</xdr:colOff>
      <xdr:row>0</xdr:row>
      <xdr:rowOff>68580</xdr:rowOff>
    </xdr:from>
    <xdr:ext cx="7254240" cy="718530"/>
    <xdr:sp macro="" textlink="">
      <xdr:nvSpPr>
        <xdr:cNvPr id="2" name="CaixaDeTexto 1"/>
        <xdr:cNvSpPr txBox="1"/>
      </xdr:nvSpPr>
      <xdr:spPr>
        <a:xfrm>
          <a:off x="129540" y="68580"/>
          <a:ext cx="7254240" cy="718530"/>
        </a:xfrm>
        <a:prstGeom prst="rect">
          <a:avLst/>
        </a:prstGeom>
        <a:noFill/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PT" sz="2000" b="1"/>
            <a:t>ANÁLISE DE DESPERDÍCIO DE FILME PLÁSTICO</a:t>
          </a:r>
        </a:p>
        <a:p>
          <a:r>
            <a:rPr lang="pt-PT" sz="2000" b="1"/>
            <a:t> | ENSACADORAS AUTOMÁTICAS</a:t>
          </a:r>
        </a:p>
      </xdr:txBody>
    </xdr:sp>
    <xdr:clientData/>
  </xdr:oneCellAnchor>
  <xdr:twoCellAnchor>
    <xdr:from>
      <xdr:col>8</xdr:col>
      <xdr:colOff>327660</xdr:colOff>
      <xdr:row>16</xdr:row>
      <xdr:rowOff>53340</xdr:rowOff>
    </xdr:from>
    <xdr:to>
      <xdr:col>13</xdr:col>
      <xdr:colOff>586740</xdr:colOff>
      <xdr:row>22</xdr:row>
      <xdr:rowOff>160020</xdr:rowOff>
    </xdr:to>
    <xdr:grpSp>
      <xdr:nvGrpSpPr>
        <xdr:cNvPr id="26" name="Grupo 25"/>
        <xdr:cNvGrpSpPr/>
      </xdr:nvGrpSpPr>
      <xdr:grpSpPr>
        <a:xfrm>
          <a:off x="5044440" y="2895600"/>
          <a:ext cx="3307080" cy="1203960"/>
          <a:chOff x="624840" y="1196340"/>
          <a:chExt cx="3307080" cy="1203960"/>
        </a:xfrm>
      </xdr:grpSpPr>
      <xdr:sp macro="" textlink="">
        <xdr:nvSpPr>
          <xdr:cNvPr id="3" name="Retângulo arredondado 2"/>
          <xdr:cNvSpPr/>
        </xdr:nvSpPr>
        <xdr:spPr>
          <a:xfrm>
            <a:off x="624840" y="1196340"/>
            <a:ext cx="3307080" cy="1203960"/>
          </a:xfrm>
          <a:prstGeom prst="roundRect">
            <a:avLst/>
          </a:prstGeom>
          <a:solidFill>
            <a:schemeClr val="accent1">
              <a:lumMod val="40%"/>
              <a:lumOff val="60%"/>
            </a:schemeClr>
          </a:solidFill>
          <a:ln>
            <a:solidFill>
              <a:schemeClr val="bg1">
                <a:lumMod val="85%"/>
              </a:schemeClr>
            </a:solidFill>
          </a:ln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sp macro="" textlink="">
        <xdr:nvSpPr>
          <xdr:cNvPr id="6" name="CaixaDeTexto 5"/>
          <xdr:cNvSpPr txBox="1"/>
        </xdr:nvSpPr>
        <xdr:spPr>
          <a:xfrm>
            <a:off x="861060" y="1287780"/>
            <a:ext cx="3017520" cy="381000"/>
          </a:xfrm>
          <a:prstGeom prst="rect">
            <a:avLst/>
          </a:prstGeom>
          <a:noFill/>
        </xdr:spPr>
        <xdr:style>
          <a:lnRef idx="0">
            <a:scrgbClr r="0%" g="0%" b="0%"/>
          </a:lnRef>
          <a:fillRef idx="0">
            <a:scrgbClr r="0%" g="0%" b="0%"/>
          </a:fillRef>
          <a:effectRef idx="0">
            <a:scrgbClr r="0%" g="0%" b="0%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pt-PT" sz="1800" b="1"/>
              <a:t>Custo Total de Desperdicio</a:t>
            </a:r>
            <a:endParaRPr lang="pt-PT" sz="1100" b="1"/>
          </a:p>
        </xdr:txBody>
      </xdr:sp>
      <xdr:sp macro="" textlink="Analises_Desp!I7">
        <xdr:nvSpPr>
          <xdr:cNvPr id="7" name="CaixaDeTexto 6"/>
          <xdr:cNvSpPr txBox="1"/>
        </xdr:nvSpPr>
        <xdr:spPr>
          <a:xfrm>
            <a:off x="975360" y="1706880"/>
            <a:ext cx="2438400" cy="472440"/>
          </a:xfrm>
          <a:prstGeom prst="rect">
            <a:avLst/>
          </a:prstGeom>
          <a:noFill/>
        </xdr:spPr>
        <xdr:style>
          <a:lnRef idx="0">
            <a:scrgbClr r="0%" g="0%" b="0%"/>
          </a:lnRef>
          <a:fillRef idx="0">
            <a:scrgbClr r="0%" g="0%" b="0%"/>
          </a:fillRef>
          <a:effectRef idx="0">
            <a:scrgbClr r="0%" g="0%" b="0%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fld id="{18705484-9B05-4BDA-AB55-CF21CD99CF85}" type="TxLink">
              <a:rPr lang="en-US" sz="20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347,25 €</a:t>
            </a:fld>
            <a:endParaRPr lang="pt-PT" sz="4000" b="1"/>
          </a:p>
        </xdr:txBody>
      </xdr:sp>
    </xdr:grpSp>
    <xdr:clientData/>
  </xdr:twoCellAnchor>
  <xdr:oneCellAnchor>
    <xdr:from>
      <xdr:col>9</xdr:col>
      <xdr:colOff>586740</xdr:colOff>
      <xdr:row>14</xdr:row>
      <xdr:rowOff>160020</xdr:rowOff>
    </xdr:from>
    <xdr:ext cx="1645920" cy="264560"/>
    <xdr:sp macro="" textlink="">
      <xdr:nvSpPr>
        <xdr:cNvPr id="10" name="CaixaDeTexto 9"/>
        <xdr:cNvSpPr txBox="1"/>
      </xdr:nvSpPr>
      <xdr:spPr>
        <a:xfrm>
          <a:off x="6073140" y="2720340"/>
          <a:ext cx="1645920" cy="264560"/>
        </a:xfrm>
        <a:prstGeom prst="rect">
          <a:avLst/>
        </a:prstGeom>
        <a:noFill/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PT" sz="1100"/>
        </a:p>
      </xdr:txBody>
    </xdr:sp>
    <xdr:clientData/>
  </xdr:oneCellAnchor>
  <xdr:twoCellAnchor>
    <xdr:from>
      <xdr:col>14</xdr:col>
      <xdr:colOff>495300</xdr:colOff>
      <xdr:row>16</xdr:row>
      <xdr:rowOff>53340</xdr:rowOff>
    </xdr:from>
    <xdr:to>
      <xdr:col>20</xdr:col>
      <xdr:colOff>83820</xdr:colOff>
      <xdr:row>22</xdr:row>
      <xdr:rowOff>152400</xdr:rowOff>
    </xdr:to>
    <xdr:grpSp>
      <xdr:nvGrpSpPr>
        <xdr:cNvPr id="25" name="Grupo 24"/>
        <xdr:cNvGrpSpPr/>
      </xdr:nvGrpSpPr>
      <xdr:grpSpPr>
        <a:xfrm>
          <a:off x="8869680" y="2895600"/>
          <a:ext cx="3246120" cy="1196340"/>
          <a:chOff x="5341620" y="1211580"/>
          <a:chExt cx="3345180" cy="1196340"/>
        </a:xfrm>
      </xdr:grpSpPr>
      <xdr:sp macro="" textlink="">
        <xdr:nvSpPr>
          <xdr:cNvPr id="4" name="Retângulo arredondado 3"/>
          <xdr:cNvSpPr/>
        </xdr:nvSpPr>
        <xdr:spPr>
          <a:xfrm>
            <a:off x="5341620" y="1211580"/>
            <a:ext cx="3345180" cy="1196340"/>
          </a:xfrm>
          <a:prstGeom prst="roundRect">
            <a:avLst/>
          </a:prstGeom>
          <a:solidFill>
            <a:schemeClr val="accent1">
              <a:lumMod val="40%"/>
              <a:lumOff val="60%"/>
            </a:schemeClr>
          </a:solidFill>
          <a:ln>
            <a:solidFill>
              <a:schemeClr val="bg1">
                <a:lumMod val="85%"/>
              </a:schemeClr>
            </a:solidFill>
          </a:ln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sp macro="" textlink="">
        <xdr:nvSpPr>
          <xdr:cNvPr id="8" name="CaixaDeTexto 7"/>
          <xdr:cNvSpPr txBox="1"/>
        </xdr:nvSpPr>
        <xdr:spPr>
          <a:xfrm>
            <a:off x="5829299" y="1287780"/>
            <a:ext cx="2638001" cy="381000"/>
          </a:xfrm>
          <a:prstGeom prst="rect">
            <a:avLst/>
          </a:prstGeom>
          <a:noFill/>
        </xdr:spPr>
        <xdr:style>
          <a:lnRef idx="0">
            <a:scrgbClr r="0%" g="0%" b="0%"/>
          </a:lnRef>
          <a:fillRef idx="0">
            <a:scrgbClr r="0%" g="0%" b="0%"/>
          </a:fillRef>
          <a:effectRef idx="0">
            <a:scrgbClr r="0%" g="0%" b="0%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pt-PT" sz="1800" b="1"/>
              <a:t>Metros</a:t>
            </a:r>
            <a:r>
              <a:rPr lang="pt-PT" sz="1800" b="1" baseline="0%"/>
              <a:t> Desperdiçados</a:t>
            </a:r>
            <a:endParaRPr lang="pt-PT" sz="1100" b="1"/>
          </a:p>
        </xdr:txBody>
      </xdr:sp>
      <xdr:sp macro="" textlink="Analises_Desp!I9">
        <xdr:nvSpPr>
          <xdr:cNvPr id="11" name="CaixaDeTexto 10"/>
          <xdr:cNvSpPr txBox="1"/>
        </xdr:nvSpPr>
        <xdr:spPr>
          <a:xfrm>
            <a:off x="6048348" y="1765988"/>
            <a:ext cx="1923870" cy="405432"/>
          </a:xfrm>
          <a:prstGeom prst="rect">
            <a:avLst/>
          </a:prstGeom>
          <a:noFill/>
        </xdr:spPr>
        <xdr:style>
          <a:lnRef idx="0">
            <a:scrgbClr r="0%" g="0%" b="0%"/>
          </a:lnRef>
          <a:fillRef idx="0">
            <a:scrgbClr r="0%" g="0%" b="0%"/>
          </a:fillRef>
          <a:effectRef idx="0">
            <a:scrgbClr r="0%" g="0%" b="0%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fld id="{A86A6C54-C494-412A-B92D-3B2AA4550141}" type="TxLink">
              <a:rPr lang="en-US" sz="20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2 671,20</a:t>
            </a:fld>
            <a:endParaRPr lang="pt-PT" sz="4000" b="1"/>
          </a:p>
        </xdr:txBody>
      </xdr:sp>
    </xdr:grpSp>
    <xdr:clientData/>
  </xdr:twoCellAnchor>
  <xdr:twoCellAnchor>
    <xdr:from>
      <xdr:col>8</xdr:col>
      <xdr:colOff>304800</xdr:colOff>
      <xdr:row>24</xdr:row>
      <xdr:rowOff>53340</xdr:rowOff>
    </xdr:from>
    <xdr:to>
      <xdr:col>13</xdr:col>
      <xdr:colOff>601980</xdr:colOff>
      <xdr:row>30</xdr:row>
      <xdr:rowOff>152400</xdr:rowOff>
    </xdr:to>
    <xdr:grpSp>
      <xdr:nvGrpSpPr>
        <xdr:cNvPr id="29" name="Grupo 28"/>
        <xdr:cNvGrpSpPr/>
      </xdr:nvGrpSpPr>
      <xdr:grpSpPr>
        <a:xfrm>
          <a:off x="5021580" y="4358640"/>
          <a:ext cx="3345180" cy="1196340"/>
          <a:chOff x="7764780" y="1158240"/>
          <a:chExt cx="3345180" cy="1196340"/>
        </a:xfrm>
      </xdr:grpSpPr>
      <xdr:sp macro="" textlink="">
        <xdr:nvSpPr>
          <xdr:cNvPr id="5" name="Retângulo arredondado 4"/>
          <xdr:cNvSpPr/>
        </xdr:nvSpPr>
        <xdr:spPr>
          <a:xfrm>
            <a:off x="7764780" y="1158240"/>
            <a:ext cx="3345180" cy="1196340"/>
          </a:xfrm>
          <a:prstGeom prst="roundRect">
            <a:avLst/>
          </a:prstGeom>
          <a:solidFill>
            <a:schemeClr val="accent1">
              <a:lumMod val="40%"/>
              <a:lumOff val="60%"/>
            </a:schemeClr>
          </a:solidFill>
          <a:ln>
            <a:solidFill>
              <a:schemeClr val="bg1">
                <a:lumMod val="85%"/>
              </a:schemeClr>
            </a:solidFill>
          </a:ln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sp macro="" textlink="">
        <xdr:nvSpPr>
          <xdr:cNvPr id="9" name="CaixaDeTexto 8"/>
          <xdr:cNvSpPr txBox="1"/>
        </xdr:nvSpPr>
        <xdr:spPr>
          <a:xfrm>
            <a:off x="8008620" y="1196340"/>
            <a:ext cx="2933700" cy="381000"/>
          </a:xfrm>
          <a:prstGeom prst="rect">
            <a:avLst/>
          </a:prstGeom>
          <a:noFill/>
        </xdr:spPr>
        <xdr:style>
          <a:lnRef idx="0">
            <a:scrgbClr r="0%" g="0%" b="0%"/>
          </a:lnRef>
          <a:fillRef idx="0">
            <a:scrgbClr r="0%" g="0%" b="0%"/>
          </a:fillRef>
          <a:effectRef idx="0">
            <a:scrgbClr r="0%" g="0%" b="0%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pt-PT" sz="1800" b="1"/>
              <a:t>Total</a:t>
            </a:r>
            <a:r>
              <a:rPr lang="pt-PT" sz="1800" b="1" baseline="0%"/>
              <a:t> Embalagens Rejeitadas</a:t>
            </a:r>
            <a:endParaRPr lang="pt-PT" sz="1100" b="1"/>
          </a:p>
        </xdr:txBody>
      </xdr:sp>
      <xdr:sp macro="" textlink="Analises_Desp!I5">
        <xdr:nvSpPr>
          <xdr:cNvPr id="12" name="CaixaDeTexto 11"/>
          <xdr:cNvSpPr txBox="1"/>
        </xdr:nvSpPr>
        <xdr:spPr>
          <a:xfrm>
            <a:off x="8846820" y="1674546"/>
            <a:ext cx="1127760" cy="405432"/>
          </a:xfrm>
          <a:prstGeom prst="rect">
            <a:avLst/>
          </a:prstGeom>
          <a:noFill/>
        </xdr:spPr>
        <xdr:style>
          <a:lnRef idx="0">
            <a:scrgbClr r="0%" g="0%" b="0%"/>
          </a:lnRef>
          <a:fillRef idx="0">
            <a:scrgbClr r="0%" g="0%" b="0%"/>
          </a:fillRef>
          <a:effectRef idx="0">
            <a:scrgbClr r="0%" g="0%" b="0%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fld id="{04B608FC-3EC8-4C4C-8BFB-7A4AA7B807FD}" type="TxLink">
              <a:rPr lang="en-US" sz="20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9 540</a:t>
            </a:fld>
            <a:endParaRPr lang="pt-PT" sz="6600" b="1"/>
          </a:p>
        </xdr:txBody>
      </xdr:sp>
    </xdr:grpSp>
    <xdr:clientData/>
  </xdr:twoCellAnchor>
  <xdr:twoCellAnchor editAs="oneCell">
    <xdr:from>
      <xdr:col>9</xdr:col>
      <xdr:colOff>358140</xdr:colOff>
      <xdr:row>6</xdr:row>
      <xdr:rowOff>121921</xdr:rowOff>
    </xdr:from>
    <xdr:to>
      <xdr:col>14</xdr:col>
      <xdr:colOff>68580</xdr:colOff>
      <xdr:row>14</xdr:row>
      <xdr:rowOff>106681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mê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:a="http://schemas.openxmlformats.org/drawingml/2006/main" xmlns:xdr="http://schemas.openxmlformats.org/drawingml/2006/spreadsheetDrawing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84520" y="1135381"/>
              <a:ext cx="2758440" cy="1447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525780</xdr:colOff>
      <xdr:row>6</xdr:row>
      <xdr:rowOff>152401</xdr:rowOff>
    </xdr:from>
    <xdr:to>
      <xdr:col>18</xdr:col>
      <xdr:colOff>556260</xdr:colOff>
      <xdr:row>14</xdr:row>
      <xdr:rowOff>144780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an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:a="http://schemas.openxmlformats.org/drawingml/2006/main" xmlns:xdr="http://schemas.openxmlformats.org/drawingml/2006/spreadsheetDrawing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09760" y="1165861"/>
              <a:ext cx="1859280" cy="14554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>
    <xdr:from>
      <xdr:col>14</xdr:col>
      <xdr:colOff>495300</xdr:colOff>
      <xdr:row>24</xdr:row>
      <xdr:rowOff>53340</xdr:rowOff>
    </xdr:from>
    <xdr:to>
      <xdr:col>20</xdr:col>
      <xdr:colOff>182880</xdr:colOff>
      <xdr:row>30</xdr:row>
      <xdr:rowOff>152400</xdr:rowOff>
    </xdr:to>
    <xdr:grpSp>
      <xdr:nvGrpSpPr>
        <xdr:cNvPr id="28" name="Grupo 27"/>
        <xdr:cNvGrpSpPr/>
      </xdr:nvGrpSpPr>
      <xdr:grpSpPr>
        <a:xfrm>
          <a:off x="8869680" y="4358640"/>
          <a:ext cx="3345180" cy="1196340"/>
          <a:chOff x="10165080" y="2598420"/>
          <a:chExt cx="3345180" cy="1196340"/>
        </a:xfrm>
      </xdr:grpSpPr>
      <xdr:sp macro="" textlink="">
        <xdr:nvSpPr>
          <xdr:cNvPr id="22" name="Retângulo arredondado 21"/>
          <xdr:cNvSpPr/>
        </xdr:nvSpPr>
        <xdr:spPr>
          <a:xfrm>
            <a:off x="10165080" y="2598420"/>
            <a:ext cx="3345180" cy="1196340"/>
          </a:xfrm>
          <a:prstGeom prst="roundRect">
            <a:avLst/>
          </a:prstGeom>
          <a:solidFill>
            <a:schemeClr val="accent1">
              <a:lumMod val="40%"/>
              <a:lumOff val="60%"/>
            </a:schemeClr>
          </a:solidFill>
          <a:ln>
            <a:solidFill>
              <a:schemeClr val="bg1">
                <a:lumMod val="85%"/>
              </a:schemeClr>
            </a:solidFill>
          </a:ln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sp macro="" textlink="">
        <xdr:nvSpPr>
          <xdr:cNvPr id="23" name="CaixaDeTexto 22"/>
          <xdr:cNvSpPr txBox="1"/>
        </xdr:nvSpPr>
        <xdr:spPr>
          <a:xfrm>
            <a:off x="10355580" y="2636520"/>
            <a:ext cx="3055620" cy="381000"/>
          </a:xfrm>
          <a:prstGeom prst="rect">
            <a:avLst/>
          </a:prstGeom>
          <a:noFill/>
        </xdr:spPr>
        <xdr:style>
          <a:lnRef idx="0">
            <a:scrgbClr r="0%" g="0%" b="0%"/>
          </a:lnRef>
          <a:fillRef idx="0">
            <a:scrgbClr r="0%" g="0%" b="0%"/>
          </a:fillRef>
          <a:effectRef idx="0">
            <a:scrgbClr r="0%" g="0%" b="0%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pt-PT" sz="1800" b="1"/>
              <a:t>Dias até próxima manutenção</a:t>
            </a:r>
            <a:endParaRPr lang="pt-PT" sz="1100" b="1"/>
          </a:p>
        </xdr:txBody>
      </xdr:sp>
      <xdr:sp macro="" textlink="Analises_Desp!$A$38">
        <xdr:nvSpPr>
          <xdr:cNvPr id="24" name="CaixaDeTexto 23"/>
          <xdr:cNvSpPr txBox="1"/>
        </xdr:nvSpPr>
        <xdr:spPr>
          <a:xfrm>
            <a:off x="11338560" y="3122348"/>
            <a:ext cx="1127760" cy="405432"/>
          </a:xfrm>
          <a:prstGeom prst="rect">
            <a:avLst/>
          </a:prstGeom>
          <a:noFill/>
        </xdr:spPr>
        <xdr:style>
          <a:lnRef idx="0">
            <a:scrgbClr r="0%" g="0%" b="0%"/>
          </a:lnRef>
          <a:fillRef idx="0">
            <a:scrgbClr r="0%" g="0%" b="0%"/>
          </a:fillRef>
          <a:effectRef idx="0">
            <a:scrgbClr r="0%" g="0%" b="0%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fld id="{9F94D680-A424-400A-A135-6B6A2FC0CADE}" type="TxLink">
              <a:rPr lang="en-US" sz="20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50</a:t>
            </a:fld>
            <a:endParaRPr lang="pt-PT" sz="4000" b="1"/>
          </a:p>
        </xdr:txBody>
      </xdr:sp>
    </xdr:grpSp>
    <xdr:clientData/>
  </xdr:twoCellAnchor>
  <xdr:twoCellAnchor>
    <xdr:from>
      <xdr:col>6</xdr:col>
      <xdr:colOff>99060</xdr:colOff>
      <xdr:row>82</xdr:row>
      <xdr:rowOff>45720</xdr:rowOff>
    </xdr:from>
    <xdr:to>
      <xdr:col>20</xdr:col>
      <xdr:colOff>472440</xdr:colOff>
      <xdr:row>107</xdr:row>
      <xdr:rowOff>99060</xdr:rowOff>
    </xdr:to>
    <xdr:grpSp>
      <xdr:nvGrpSpPr>
        <xdr:cNvPr id="18" name="Grupo 17"/>
        <xdr:cNvGrpSpPr/>
      </xdr:nvGrpSpPr>
      <xdr:grpSpPr>
        <a:xfrm>
          <a:off x="4069080" y="14958060"/>
          <a:ext cx="8435340" cy="4625340"/>
          <a:chOff x="2453640" y="11879580"/>
          <a:chExt cx="8907780" cy="4625340"/>
        </a:xfrm>
      </xdr:grpSpPr>
      <xdr:sp macro="" textlink="">
        <xdr:nvSpPr>
          <xdr:cNvPr id="16" name="Retângulo arredondado 15"/>
          <xdr:cNvSpPr/>
        </xdr:nvSpPr>
        <xdr:spPr>
          <a:xfrm>
            <a:off x="2453640" y="11879580"/>
            <a:ext cx="8907780" cy="4625340"/>
          </a:xfrm>
          <a:prstGeom prst="roundRect">
            <a:avLst/>
          </a:prstGeom>
          <a:ln>
            <a:noFill/>
          </a:ln>
          <a:effectLst>
            <a:outerShdw blurRad="190500" dist="228600" dir="2700000" algn="ctr">
              <a:srgbClr val="000000">
                <a:alpha val="30%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4800000"/>
            </a:lightRig>
          </a:scene3d>
          <a:sp3d prstMaterial="matte">
            <a:bevelT w="127000" h="63500"/>
          </a:sp3d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graphicFrame macro="">
        <xdr:nvGraphicFramePr>
          <xdr:cNvPr id="30" name="Gráfico 29"/>
          <xdr:cNvGraphicFramePr>
            <a:graphicFrameLocks/>
          </xdr:cNvGraphicFramePr>
        </xdr:nvGraphicFramePr>
        <xdr:xfrm>
          <a:off x="3093720" y="12252960"/>
          <a:ext cx="7642860" cy="3840480"/>
        </xdr:xfrm>
        <a:graphic>
          <a:graphicData uri="http://purl.oclc.org/ooxml/drawingml/chart">
            <c:chart xmlns:c="http://purl.oclc.org/ooxml/drawingml/chart" xmlns:r="http://purl.oclc.org/ooxml/officeDocument/relationships" r:id="rId1"/>
          </a:graphicData>
        </a:graphic>
      </xdr:graphicFrame>
    </xdr:grpSp>
    <xdr:clientData/>
  </xdr:twoCellAnchor>
  <xdr:twoCellAnchor>
    <xdr:from>
      <xdr:col>16</xdr:col>
      <xdr:colOff>175260</xdr:colOff>
      <xdr:row>51</xdr:row>
      <xdr:rowOff>160020</xdr:rowOff>
    </xdr:from>
    <xdr:to>
      <xdr:col>30</xdr:col>
      <xdr:colOff>548640</xdr:colOff>
      <xdr:row>77</xdr:row>
      <xdr:rowOff>30480</xdr:rowOff>
    </xdr:to>
    <xdr:grpSp>
      <xdr:nvGrpSpPr>
        <xdr:cNvPr id="37" name="Grupo 36"/>
        <xdr:cNvGrpSpPr/>
      </xdr:nvGrpSpPr>
      <xdr:grpSpPr>
        <a:xfrm>
          <a:off x="9768840" y="9403080"/>
          <a:ext cx="8907780" cy="4625340"/>
          <a:chOff x="6736080" y="6918960"/>
          <a:chExt cx="8907780" cy="4625340"/>
        </a:xfrm>
      </xdr:grpSpPr>
      <xdr:sp macro="" textlink="">
        <xdr:nvSpPr>
          <xdr:cNvPr id="36" name="Retângulo arredondado 35"/>
          <xdr:cNvSpPr/>
        </xdr:nvSpPr>
        <xdr:spPr>
          <a:xfrm>
            <a:off x="6736080" y="6918960"/>
            <a:ext cx="8907780" cy="4625340"/>
          </a:xfrm>
          <a:prstGeom prst="roundRect">
            <a:avLst/>
          </a:prstGeom>
          <a:ln>
            <a:noFill/>
          </a:ln>
          <a:effectLst>
            <a:outerShdw blurRad="190500" dist="228600" dir="2700000" algn="ctr">
              <a:srgbClr val="000000">
                <a:alpha val="30%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4800000"/>
            </a:lightRig>
          </a:scene3d>
          <a:sp3d prstMaterial="matte">
            <a:bevelT w="127000" h="63500"/>
          </a:sp3d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graphicFrame macro="">
        <xdr:nvGraphicFramePr>
          <xdr:cNvPr id="21" name="Gráfico 20"/>
          <xdr:cNvGraphicFramePr>
            <a:graphicFrameLocks/>
          </xdr:cNvGraphicFramePr>
        </xdr:nvGraphicFramePr>
        <xdr:xfrm>
          <a:off x="7322820" y="7322820"/>
          <a:ext cx="7741920" cy="3710940"/>
        </xdr:xfrm>
        <a:graphic>
          <a:graphicData uri="http://purl.oclc.org/ooxml/drawingml/chart">
            <c:chart xmlns:c="http://purl.oclc.org/ooxml/drawingml/chart" xmlns:r="http://purl.oclc.org/ooxml/officeDocument/relationships" r:id="rId2"/>
          </a:graphicData>
        </a:graphic>
      </xdr:graphicFrame>
    </xdr:grpSp>
    <xdr:clientData/>
  </xdr:twoCellAnchor>
  <xdr:twoCellAnchor>
    <xdr:from>
      <xdr:col>0</xdr:col>
      <xdr:colOff>365760</xdr:colOff>
      <xdr:row>52</xdr:row>
      <xdr:rowOff>45720</xdr:rowOff>
    </xdr:from>
    <xdr:to>
      <xdr:col>15</xdr:col>
      <xdr:colOff>129540</xdr:colOff>
      <xdr:row>77</xdr:row>
      <xdr:rowOff>99060</xdr:rowOff>
    </xdr:to>
    <xdr:grpSp>
      <xdr:nvGrpSpPr>
        <xdr:cNvPr id="38" name="Grupo 37"/>
        <xdr:cNvGrpSpPr/>
      </xdr:nvGrpSpPr>
      <xdr:grpSpPr>
        <a:xfrm>
          <a:off x="365760" y="9471660"/>
          <a:ext cx="8747760" cy="4625340"/>
          <a:chOff x="289560" y="6515100"/>
          <a:chExt cx="8907780" cy="4625340"/>
        </a:xfrm>
      </xdr:grpSpPr>
      <xdr:sp macro="" textlink="">
        <xdr:nvSpPr>
          <xdr:cNvPr id="35" name="Retângulo arredondado 34"/>
          <xdr:cNvSpPr/>
        </xdr:nvSpPr>
        <xdr:spPr>
          <a:xfrm>
            <a:off x="289560" y="6515100"/>
            <a:ext cx="8907780" cy="4625340"/>
          </a:xfrm>
          <a:prstGeom prst="roundRect">
            <a:avLst/>
          </a:prstGeom>
          <a:ln>
            <a:noFill/>
          </a:ln>
          <a:effectLst>
            <a:outerShdw blurRad="190500" dist="228600" dir="2700000" algn="ctr">
              <a:srgbClr val="000000">
                <a:alpha val="30%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4800000"/>
            </a:lightRig>
          </a:scene3d>
          <a:sp3d prstMaterial="matte">
            <a:bevelT w="127000" h="63500"/>
          </a:sp3d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graphicFrame macro="">
        <xdr:nvGraphicFramePr>
          <xdr:cNvPr id="15" name="Gráfico 14"/>
          <xdr:cNvGraphicFramePr>
            <a:graphicFrameLocks/>
          </xdr:cNvGraphicFramePr>
        </xdr:nvGraphicFramePr>
        <xdr:xfrm>
          <a:off x="899160" y="6926580"/>
          <a:ext cx="7696200" cy="3756660"/>
        </xdr:xfrm>
        <a:graphic>
          <a:graphicData uri="http://purl.oclc.org/ooxml/drawingml/chart">
            <c:chart xmlns:c="http://purl.oclc.org/ooxml/drawingml/chart" xmlns:r="http://purl.oclc.org/ooxml/officeDocument/relationships" r:id="rId3"/>
          </a:graphicData>
        </a:graphic>
      </xdr:graphicFrame>
    </xdr:grpSp>
    <xdr:clientData/>
  </xdr:twoCellAnchor>
  <xdr:twoCellAnchor>
    <xdr:from>
      <xdr:col>0</xdr:col>
      <xdr:colOff>198120</xdr:colOff>
      <xdr:row>8</xdr:row>
      <xdr:rowOff>91440</xdr:rowOff>
    </xdr:from>
    <xdr:to>
      <xdr:col>7</xdr:col>
      <xdr:colOff>182880</xdr:colOff>
      <xdr:row>12</xdr:row>
      <xdr:rowOff>144780</xdr:rowOff>
    </xdr:to>
    <xdr:grpSp>
      <xdr:nvGrpSpPr>
        <xdr:cNvPr id="51" name="Grupo 50"/>
        <xdr:cNvGrpSpPr/>
      </xdr:nvGrpSpPr>
      <xdr:grpSpPr>
        <a:xfrm>
          <a:off x="198120" y="1470660"/>
          <a:ext cx="4091940" cy="784860"/>
          <a:chOff x="198120" y="1470660"/>
          <a:chExt cx="4091940" cy="784860"/>
        </a:xfrm>
      </xdr:grpSpPr>
      <xdr:sp macro="" textlink="">
        <xdr:nvSpPr>
          <xdr:cNvPr id="41" name="Retângulo arredondado 40">
            <a:hlinkClick xmlns:r="http://purl.oclc.org/ooxml/officeDocument/relationships" r:id="rId4"/>
          </xdr:cNvPr>
          <xdr:cNvSpPr/>
        </xdr:nvSpPr>
        <xdr:spPr>
          <a:xfrm>
            <a:off x="198120" y="1470660"/>
            <a:ext cx="4091940" cy="784860"/>
          </a:xfrm>
          <a:prstGeom prst="roundRect">
            <a:avLst/>
          </a:prstGeom>
          <a:effectLst>
            <a:glow rad="228600">
              <a:schemeClr val="accent1">
                <a:satMod val="175%"/>
                <a:alpha val="40%"/>
              </a:schemeClr>
            </a:glow>
          </a:effectLst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sp macro="" textlink="">
        <xdr:nvSpPr>
          <xdr:cNvPr id="42" name="CaixaDeTexto 41">
            <a:hlinkClick xmlns:r="http://purl.oclc.org/ooxml/officeDocument/relationships" r:id="rId4"/>
          </xdr:cNvPr>
          <xdr:cNvSpPr txBox="1"/>
        </xdr:nvSpPr>
        <xdr:spPr>
          <a:xfrm>
            <a:off x="472440" y="1645920"/>
            <a:ext cx="3550920" cy="4114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%" g="0%" b="0%"/>
          </a:lnRef>
          <a:fillRef idx="0">
            <a:scrgbClr r="0%" g="0%" b="0%"/>
          </a:fillRef>
          <a:effectRef idx="0">
            <a:scrgbClr r="0%" g="0%" b="0%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PT" sz="2000" b="1"/>
              <a:t>Analise Geral</a:t>
            </a:r>
          </a:p>
        </xdr:txBody>
      </xdr:sp>
    </xdr:grpSp>
    <xdr:clientData/>
  </xdr:twoCellAnchor>
  <xdr:twoCellAnchor>
    <xdr:from>
      <xdr:col>0</xdr:col>
      <xdr:colOff>198120</xdr:colOff>
      <xdr:row>15</xdr:row>
      <xdr:rowOff>167640</xdr:rowOff>
    </xdr:from>
    <xdr:to>
      <xdr:col>5</xdr:col>
      <xdr:colOff>701040</xdr:colOff>
      <xdr:row>20</xdr:row>
      <xdr:rowOff>38100</xdr:rowOff>
    </xdr:to>
    <xdr:grpSp>
      <xdr:nvGrpSpPr>
        <xdr:cNvPr id="49" name="Grupo 48">
          <a:hlinkClick xmlns:r="http://purl.oclc.org/ooxml/officeDocument/relationships" r:id="rId5"/>
        </xdr:cNvPr>
        <xdr:cNvGrpSpPr/>
      </xdr:nvGrpSpPr>
      <xdr:grpSpPr>
        <a:xfrm>
          <a:off x="198120" y="2827020"/>
          <a:ext cx="3550920" cy="784860"/>
          <a:chOff x="266766" y="2827020"/>
          <a:chExt cx="3566160" cy="784860"/>
        </a:xfrm>
      </xdr:grpSpPr>
      <xdr:sp macro="" textlink="">
        <xdr:nvSpPr>
          <xdr:cNvPr id="43" name="Retângulo arredondado 42"/>
          <xdr:cNvSpPr/>
        </xdr:nvSpPr>
        <xdr:spPr>
          <a:xfrm>
            <a:off x="266766" y="2827020"/>
            <a:ext cx="3566160" cy="784860"/>
          </a:xfrm>
          <a:prstGeom prst="roundRect">
            <a:avLst/>
          </a:prstGeom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sp macro="" textlink="">
        <xdr:nvSpPr>
          <xdr:cNvPr id="44" name="CaixaDeTexto 43"/>
          <xdr:cNvSpPr txBox="1"/>
        </xdr:nvSpPr>
        <xdr:spPr>
          <a:xfrm>
            <a:off x="525551" y="3002280"/>
            <a:ext cx="2948940" cy="4114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%" g="0%" b="0%"/>
          </a:lnRef>
          <a:fillRef idx="0">
            <a:scrgbClr r="0%" g="0%" b="0%"/>
          </a:fillRef>
          <a:effectRef idx="0">
            <a:scrgbClr r="0%" g="0%" b="0%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PT" sz="2000" b="1"/>
              <a:t>Custos Não Conformidade</a:t>
            </a:r>
          </a:p>
        </xdr:txBody>
      </xdr:sp>
    </xdr:grpSp>
    <xdr:clientData/>
  </xdr:twoCellAnchor>
  <xdr:twoCellAnchor>
    <xdr:from>
      <xdr:col>0</xdr:col>
      <xdr:colOff>198120</xdr:colOff>
      <xdr:row>23</xdr:row>
      <xdr:rowOff>45720</xdr:rowOff>
    </xdr:from>
    <xdr:to>
      <xdr:col>5</xdr:col>
      <xdr:colOff>701040</xdr:colOff>
      <xdr:row>27</xdr:row>
      <xdr:rowOff>99060</xdr:rowOff>
    </xdr:to>
    <xdr:grpSp>
      <xdr:nvGrpSpPr>
        <xdr:cNvPr id="52" name="Grupo 51">
          <a:hlinkClick xmlns:r="http://purl.oclc.org/ooxml/officeDocument/relationships" r:id="rId6"/>
        </xdr:cNvPr>
        <xdr:cNvGrpSpPr/>
      </xdr:nvGrpSpPr>
      <xdr:grpSpPr>
        <a:xfrm>
          <a:off x="198120" y="4168140"/>
          <a:ext cx="3550920" cy="784860"/>
          <a:chOff x="198120" y="4168140"/>
          <a:chExt cx="3550920" cy="784860"/>
        </a:xfrm>
      </xdr:grpSpPr>
      <xdr:sp macro="" textlink="">
        <xdr:nvSpPr>
          <xdr:cNvPr id="45" name="Retângulo arredondado 44"/>
          <xdr:cNvSpPr/>
        </xdr:nvSpPr>
        <xdr:spPr>
          <a:xfrm>
            <a:off x="198120" y="4168140"/>
            <a:ext cx="3550920" cy="784860"/>
          </a:xfrm>
          <a:prstGeom prst="roundRect">
            <a:avLst/>
          </a:prstGeom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sp macro="" textlink="">
        <xdr:nvSpPr>
          <xdr:cNvPr id="46" name="CaixaDeTexto 45"/>
          <xdr:cNvSpPr txBox="1"/>
        </xdr:nvSpPr>
        <xdr:spPr>
          <a:xfrm>
            <a:off x="480060" y="4358640"/>
            <a:ext cx="3124200" cy="4114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%" g="0%" b="0%"/>
          </a:lnRef>
          <a:fillRef idx="0">
            <a:scrgbClr r="0%" g="0%" b="0%"/>
          </a:fillRef>
          <a:effectRef idx="0">
            <a:scrgbClr r="0%" g="0%" b="0%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PT" sz="2000" b="1"/>
              <a:t>Não</a:t>
            </a:r>
            <a:r>
              <a:rPr lang="pt-PT" sz="2000" b="1" baseline="0%"/>
              <a:t> Conformidades</a:t>
            </a:r>
            <a:endParaRPr lang="pt-PT" sz="2000" b="1"/>
          </a:p>
        </xdr:txBody>
      </xdr:sp>
    </xdr:grpSp>
    <xdr:clientData/>
  </xdr:twoCellAnchor>
  <xdr:twoCellAnchor>
    <xdr:from>
      <xdr:col>0</xdr:col>
      <xdr:colOff>198120</xdr:colOff>
      <xdr:row>30</xdr:row>
      <xdr:rowOff>121920</xdr:rowOff>
    </xdr:from>
    <xdr:to>
      <xdr:col>5</xdr:col>
      <xdr:colOff>723900</xdr:colOff>
      <xdr:row>34</xdr:row>
      <xdr:rowOff>175260</xdr:rowOff>
    </xdr:to>
    <xdr:grpSp>
      <xdr:nvGrpSpPr>
        <xdr:cNvPr id="53" name="Grupo 52">
          <a:hlinkClick xmlns:r="http://purl.oclc.org/ooxml/officeDocument/relationships" r:id="rId7"/>
        </xdr:cNvPr>
        <xdr:cNvGrpSpPr/>
      </xdr:nvGrpSpPr>
      <xdr:grpSpPr>
        <a:xfrm>
          <a:off x="198120" y="5524500"/>
          <a:ext cx="3573780" cy="784860"/>
          <a:chOff x="198120" y="5524500"/>
          <a:chExt cx="3573780" cy="784860"/>
        </a:xfrm>
      </xdr:grpSpPr>
      <xdr:sp macro="" textlink="">
        <xdr:nvSpPr>
          <xdr:cNvPr id="47" name="Retângulo arredondado 46"/>
          <xdr:cNvSpPr/>
        </xdr:nvSpPr>
        <xdr:spPr>
          <a:xfrm>
            <a:off x="198120" y="5524500"/>
            <a:ext cx="3573780" cy="784860"/>
          </a:xfrm>
          <a:prstGeom prst="roundRect">
            <a:avLst/>
          </a:prstGeom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sp macro="" textlink="">
        <xdr:nvSpPr>
          <xdr:cNvPr id="48" name="CaixaDeTexto 47"/>
          <xdr:cNvSpPr txBox="1"/>
        </xdr:nvSpPr>
        <xdr:spPr>
          <a:xfrm>
            <a:off x="510540" y="5699760"/>
            <a:ext cx="3070860" cy="4114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%" g="0%" b="0%"/>
          </a:lnRef>
          <a:fillRef idx="0">
            <a:scrgbClr r="0%" g="0%" b="0%"/>
          </a:fillRef>
          <a:effectRef idx="0">
            <a:scrgbClr r="0%" g="0%" b="0%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PT" sz="2000" b="1"/>
              <a:t>Totais</a:t>
            </a:r>
          </a:p>
        </xdr:txBody>
      </xdr:sp>
    </xdr:grpSp>
    <xdr:clientData/>
  </xdr:twoCellAnchor>
</xdr:wsDr>
</file>

<file path=xl/drawings/drawing3.xml><?xml version="1.0" encoding="utf-8"?>
<xdr:wsDr xmlns:xdr="http://purl.oclc.org/ooxml/drawingml/spreadsheetDrawing" xmlns:a="http://purl.oclc.org/ooxml/drawingml/main">
  <xdr:oneCellAnchor>
    <xdr:from>
      <xdr:col>0</xdr:col>
      <xdr:colOff>114300</xdr:colOff>
      <xdr:row>0</xdr:row>
      <xdr:rowOff>60960</xdr:rowOff>
    </xdr:from>
    <xdr:ext cx="7254240" cy="718530"/>
    <xdr:sp macro="" textlink="">
      <xdr:nvSpPr>
        <xdr:cNvPr id="2" name="CaixaDeTexto 1"/>
        <xdr:cNvSpPr txBox="1"/>
      </xdr:nvSpPr>
      <xdr:spPr>
        <a:xfrm>
          <a:off x="114300" y="60960"/>
          <a:ext cx="7254240" cy="718530"/>
        </a:xfrm>
        <a:prstGeom prst="rect">
          <a:avLst/>
        </a:prstGeom>
        <a:noFill/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PT" sz="2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ANÁLISE</a:t>
          </a:r>
          <a:r>
            <a:rPr lang="pt-PT" sz="2000" b="1"/>
            <a:t> DE DESPERDÍCIO DE FILME PLÁSTICO</a:t>
          </a:r>
        </a:p>
        <a:p>
          <a:r>
            <a:rPr lang="pt-PT" sz="2000" b="1"/>
            <a:t> | ENSACADORAS AUTOMÁTICAS</a:t>
          </a:r>
        </a:p>
      </xdr:txBody>
    </xdr:sp>
    <xdr:clientData/>
  </xdr:oneCellAnchor>
  <xdr:oneCellAnchor>
    <xdr:from>
      <xdr:col>9</xdr:col>
      <xdr:colOff>586740</xdr:colOff>
      <xdr:row>14</xdr:row>
      <xdr:rowOff>160020</xdr:rowOff>
    </xdr:from>
    <xdr:ext cx="1645920" cy="264560"/>
    <xdr:sp macro="" textlink="">
      <xdr:nvSpPr>
        <xdr:cNvPr id="7" name="CaixaDeTexto 6"/>
        <xdr:cNvSpPr txBox="1"/>
      </xdr:nvSpPr>
      <xdr:spPr>
        <a:xfrm>
          <a:off x="6073140" y="2636520"/>
          <a:ext cx="1645920" cy="264560"/>
        </a:xfrm>
        <a:prstGeom prst="rect">
          <a:avLst/>
        </a:prstGeom>
        <a:noFill/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PT" sz="1100"/>
        </a:p>
      </xdr:txBody>
    </xdr:sp>
    <xdr:clientData/>
  </xdr:oneCellAnchor>
  <xdr:twoCellAnchor editAs="oneCell">
    <xdr:from>
      <xdr:col>8</xdr:col>
      <xdr:colOff>403860</xdr:colOff>
      <xdr:row>6</xdr:row>
      <xdr:rowOff>144780</xdr:rowOff>
    </xdr:from>
    <xdr:to>
      <xdr:col>14</xdr:col>
      <xdr:colOff>0</xdr:colOff>
      <xdr:row>19</xdr:row>
      <xdr:rowOff>60959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designacao_produt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ignacao_produto 1"/>
            </a:graphicData>
          </a:graphic>
        </xdr:graphicFrame>
      </mc:Choice>
      <mc:Fallback xmlns:a="http://schemas.openxmlformats.org/drawingml/2006/main" xmlns:xdr="http://schemas.openxmlformats.org/drawingml/2006/spreadsheetDrawing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79620" y="1158240"/>
              <a:ext cx="2766060" cy="22936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396240</xdr:colOff>
      <xdr:row>21</xdr:row>
      <xdr:rowOff>15241</xdr:rowOff>
    </xdr:from>
    <xdr:to>
      <xdr:col>13</xdr:col>
      <xdr:colOff>106680</xdr:colOff>
      <xdr:row>28</xdr:row>
      <xdr:rowOff>167640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mês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 xmlns:a="http://schemas.openxmlformats.org/drawingml/2006/main" xmlns:xdr="http://schemas.openxmlformats.org/drawingml/2006/spreadsheetDrawing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72000" y="3771901"/>
              <a:ext cx="2758440" cy="14325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342900</xdr:colOff>
      <xdr:row>31</xdr:row>
      <xdr:rowOff>76201</xdr:rowOff>
    </xdr:from>
    <xdr:to>
      <xdr:col>13</xdr:col>
      <xdr:colOff>53340</xdr:colOff>
      <xdr:row>35</xdr:row>
      <xdr:rowOff>60960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an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:a="http://schemas.openxmlformats.org/drawingml/2006/main" xmlns:xdr="http://schemas.openxmlformats.org/drawingml/2006/spreadsheetDrawing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18660" y="5661661"/>
              <a:ext cx="2758440" cy="7162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>
    <xdr:from>
      <xdr:col>6</xdr:col>
      <xdr:colOff>99060</xdr:colOff>
      <xdr:row>82</xdr:row>
      <xdr:rowOff>45720</xdr:rowOff>
    </xdr:from>
    <xdr:to>
      <xdr:col>20</xdr:col>
      <xdr:colOff>472440</xdr:colOff>
      <xdr:row>107</xdr:row>
      <xdr:rowOff>99060</xdr:rowOff>
    </xdr:to>
    <xdr:grpSp>
      <xdr:nvGrpSpPr>
        <xdr:cNvPr id="23" name="Grupo 22"/>
        <xdr:cNvGrpSpPr/>
      </xdr:nvGrpSpPr>
      <xdr:grpSpPr>
        <a:xfrm>
          <a:off x="3756660" y="14958060"/>
          <a:ext cx="7719060" cy="4625340"/>
          <a:chOff x="2453640" y="11879580"/>
          <a:chExt cx="8907780" cy="4625340"/>
        </a:xfrm>
      </xdr:grpSpPr>
      <xdr:sp macro="" textlink="">
        <xdr:nvSpPr>
          <xdr:cNvPr id="24" name="Retângulo arredondado 23"/>
          <xdr:cNvSpPr/>
        </xdr:nvSpPr>
        <xdr:spPr>
          <a:xfrm>
            <a:off x="2453640" y="11879580"/>
            <a:ext cx="8907780" cy="4625340"/>
          </a:xfrm>
          <a:prstGeom prst="roundRect">
            <a:avLst/>
          </a:prstGeom>
          <a:ln>
            <a:noFill/>
          </a:ln>
          <a:effectLst>
            <a:outerShdw blurRad="190500" dist="228600" dir="2700000" algn="ctr">
              <a:srgbClr val="000000">
                <a:alpha val="30%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4800000"/>
            </a:lightRig>
          </a:scene3d>
          <a:sp3d prstMaterial="matte">
            <a:bevelT w="127000" h="63500"/>
          </a:sp3d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graphicFrame macro="">
        <xdr:nvGraphicFramePr>
          <xdr:cNvPr id="25" name="Gráfico 24"/>
          <xdr:cNvGraphicFramePr>
            <a:graphicFrameLocks/>
          </xdr:cNvGraphicFramePr>
        </xdr:nvGraphicFramePr>
        <xdr:xfrm>
          <a:off x="3093720" y="12252960"/>
          <a:ext cx="7642860" cy="3840480"/>
        </xdr:xfrm>
        <a:graphic>
          <a:graphicData uri="http://purl.oclc.org/ooxml/drawingml/chart">
            <c:chart xmlns:c="http://purl.oclc.org/ooxml/drawingml/chart" xmlns:r="http://purl.oclc.org/ooxml/officeDocument/relationships" r:id="rId1"/>
          </a:graphicData>
        </a:graphic>
      </xdr:graphicFrame>
    </xdr:grpSp>
    <xdr:clientData/>
  </xdr:twoCellAnchor>
  <xdr:twoCellAnchor>
    <xdr:from>
      <xdr:col>16</xdr:col>
      <xdr:colOff>175260</xdr:colOff>
      <xdr:row>51</xdr:row>
      <xdr:rowOff>160020</xdr:rowOff>
    </xdr:from>
    <xdr:to>
      <xdr:col>30</xdr:col>
      <xdr:colOff>548640</xdr:colOff>
      <xdr:row>77</xdr:row>
      <xdr:rowOff>30480</xdr:rowOff>
    </xdr:to>
    <xdr:grpSp>
      <xdr:nvGrpSpPr>
        <xdr:cNvPr id="26" name="Grupo 25"/>
        <xdr:cNvGrpSpPr/>
      </xdr:nvGrpSpPr>
      <xdr:grpSpPr>
        <a:xfrm>
          <a:off x="8740140" y="9403080"/>
          <a:ext cx="8907780" cy="4625340"/>
          <a:chOff x="6736080" y="6918960"/>
          <a:chExt cx="8907780" cy="4625340"/>
        </a:xfrm>
      </xdr:grpSpPr>
      <xdr:sp macro="" textlink="">
        <xdr:nvSpPr>
          <xdr:cNvPr id="27" name="Retângulo arredondado 26"/>
          <xdr:cNvSpPr/>
        </xdr:nvSpPr>
        <xdr:spPr>
          <a:xfrm>
            <a:off x="6736080" y="6918960"/>
            <a:ext cx="8907780" cy="4625340"/>
          </a:xfrm>
          <a:prstGeom prst="roundRect">
            <a:avLst/>
          </a:prstGeom>
          <a:ln>
            <a:noFill/>
          </a:ln>
          <a:effectLst>
            <a:outerShdw blurRad="190500" dist="228600" dir="2700000" algn="ctr">
              <a:srgbClr val="000000">
                <a:alpha val="30%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4800000"/>
            </a:lightRig>
          </a:scene3d>
          <a:sp3d prstMaterial="matte">
            <a:bevelT w="127000" h="63500"/>
          </a:sp3d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graphicFrame macro="">
        <xdr:nvGraphicFramePr>
          <xdr:cNvPr id="28" name="Gráfico 27"/>
          <xdr:cNvGraphicFramePr>
            <a:graphicFrameLocks/>
          </xdr:cNvGraphicFramePr>
        </xdr:nvGraphicFramePr>
        <xdr:xfrm>
          <a:off x="7322820" y="7322820"/>
          <a:ext cx="7741920" cy="3710940"/>
        </xdr:xfrm>
        <a:graphic>
          <a:graphicData uri="http://purl.oclc.org/ooxml/drawingml/chart">
            <c:chart xmlns:c="http://purl.oclc.org/ooxml/drawingml/chart" xmlns:r="http://purl.oclc.org/ooxml/officeDocument/relationships" r:id="rId2"/>
          </a:graphicData>
        </a:graphic>
      </xdr:graphicFrame>
    </xdr:grpSp>
    <xdr:clientData/>
  </xdr:twoCellAnchor>
  <xdr:twoCellAnchor>
    <xdr:from>
      <xdr:col>0</xdr:col>
      <xdr:colOff>365760</xdr:colOff>
      <xdr:row>52</xdr:row>
      <xdr:rowOff>45720</xdr:rowOff>
    </xdr:from>
    <xdr:to>
      <xdr:col>15</xdr:col>
      <xdr:colOff>129540</xdr:colOff>
      <xdr:row>77</xdr:row>
      <xdr:rowOff>99060</xdr:rowOff>
    </xdr:to>
    <xdr:grpSp>
      <xdr:nvGrpSpPr>
        <xdr:cNvPr id="29" name="Grupo 28"/>
        <xdr:cNvGrpSpPr/>
      </xdr:nvGrpSpPr>
      <xdr:grpSpPr>
        <a:xfrm>
          <a:off x="365760" y="9471660"/>
          <a:ext cx="7719060" cy="4625340"/>
          <a:chOff x="289560" y="6515100"/>
          <a:chExt cx="8907780" cy="4625340"/>
        </a:xfrm>
      </xdr:grpSpPr>
      <xdr:sp macro="" textlink="">
        <xdr:nvSpPr>
          <xdr:cNvPr id="30" name="Retângulo arredondado 29"/>
          <xdr:cNvSpPr/>
        </xdr:nvSpPr>
        <xdr:spPr>
          <a:xfrm>
            <a:off x="289560" y="6515100"/>
            <a:ext cx="8907780" cy="4625340"/>
          </a:xfrm>
          <a:prstGeom prst="roundRect">
            <a:avLst/>
          </a:prstGeom>
          <a:ln>
            <a:noFill/>
          </a:ln>
          <a:effectLst>
            <a:outerShdw blurRad="190500" dist="228600" dir="2700000" algn="ctr">
              <a:srgbClr val="000000">
                <a:alpha val="30%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4800000"/>
            </a:lightRig>
          </a:scene3d>
          <a:sp3d prstMaterial="matte">
            <a:bevelT w="127000" h="63500"/>
          </a:sp3d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graphicFrame macro="">
        <xdr:nvGraphicFramePr>
          <xdr:cNvPr id="31" name="Gráfico 30"/>
          <xdr:cNvGraphicFramePr>
            <a:graphicFrameLocks/>
          </xdr:cNvGraphicFramePr>
        </xdr:nvGraphicFramePr>
        <xdr:xfrm>
          <a:off x="899160" y="6926580"/>
          <a:ext cx="7696200" cy="3756660"/>
        </xdr:xfrm>
        <a:graphic>
          <a:graphicData uri="http://purl.oclc.org/ooxml/drawingml/chart">
            <c:chart xmlns:c="http://purl.oclc.org/ooxml/drawingml/chart" xmlns:r="http://purl.oclc.org/ooxml/officeDocument/relationships" r:id="rId3"/>
          </a:graphicData>
        </a:graphic>
      </xdr:graphicFrame>
    </xdr:grpSp>
    <xdr:clientData/>
  </xdr:twoCellAnchor>
  <xdr:twoCellAnchor>
    <xdr:from>
      <xdr:col>14</xdr:col>
      <xdr:colOff>358140</xdr:colOff>
      <xdr:row>20</xdr:row>
      <xdr:rowOff>129540</xdr:rowOff>
    </xdr:from>
    <xdr:to>
      <xdr:col>24</xdr:col>
      <xdr:colOff>480060</xdr:colOff>
      <xdr:row>36</xdr:row>
      <xdr:rowOff>83820</xdr:rowOff>
    </xdr:to>
    <xdr:grpSp>
      <xdr:nvGrpSpPr>
        <xdr:cNvPr id="32" name="Grupo 31"/>
        <xdr:cNvGrpSpPr/>
      </xdr:nvGrpSpPr>
      <xdr:grpSpPr>
        <a:xfrm>
          <a:off x="7703820" y="3703320"/>
          <a:ext cx="6217920" cy="2880360"/>
          <a:chOff x="9220200" y="3695700"/>
          <a:chExt cx="8907780" cy="4625340"/>
        </a:xfrm>
      </xdr:grpSpPr>
      <xdr:sp macro="" textlink="">
        <xdr:nvSpPr>
          <xdr:cNvPr id="33" name="Retângulo arredondado 32"/>
          <xdr:cNvSpPr/>
        </xdr:nvSpPr>
        <xdr:spPr>
          <a:xfrm>
            <a:off x="9220200" y="3695700"/>
            <a:ext cx="8907780" cy="4625340"/>
          </a:xfrm>
          <a:prstGeom prst="roundRect">
            <a:avLst/>
          </a:prstGeom>
          <a:ln>
            <a:noFill/>
          </a:ln>
          <a:effectLst>
            <a:outerShdw blurRad="190500" dist="228600" dir="2700000" algn="ctr">
              <a:srgbClr val="000000">
                <a:alpha val="30%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4800000"/>
            </a:lightRig>
          </a:scene3d>
          <a:sp3d prstMaterial="matte">
            <a:bevelT w="127000" h="63500"/>
          </a:sp3d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graphicFrame macro="">
        <xdr:nvGraphicFramePr>
          <xdr:cNvPr id="34" name="Gráfico 33"/>
          <xdr:cNvGraphicFramePr>
            <a:graphicFrameLocks/>
          </xdr:cNvGraphicFramePr>
        </xdr:nvGraphicFramePr>
        <xdr:xfrm>
          <a:off x="9845040" y="4191000"/>
          <a:ext cx="7810500" cy="3627120"/>
        </xdr:xfrm>
        <a:graphic>
          <a:graphicData uri="http://purl.oclc.org/ooxml/drawingml/chart">
            <c:chart xmlns:c="http://purl.oclc.org/ooxml/drawingml/chart" xmlns:r="http://purl.oclc.org/ooxml/officeDocument/relationships" r:id="rId4"/>
          </a:graphicData>
        </a:graphic>
      </xdr:graphicFrame>
    </xdr:grpSp>
    <xdr:clientData/>
  </xdr:twoCellAnchor>
  <xdr:twoCellAnchor>
    <xdr:from>
      <xdr:col>14</xdr:col>
      <xdr:colOff>312420</xdr:colOff>
      <xdr:row>1</xdr:row>
      <xdr:rowOff>0</xdr:rowOff>
    </xdr:from>
    <xdr:to>
      <xdr:col>24</xdr:col>
      <xdr:colOff>373380</xdr:colOff>
      <xdr:row>19</xdr:row>
      <xdr:rowOff>45720</xdr:rowOff>
    </xdr:to>
    <xdr:grpSp>
      <xdr:nvGrpSpPr>
        <xdr:cNvPr id="35" name="Grupo 34"/>
        <xdr:cNvGrpSpPr/>
      </xdr:nvGrpSpPr>
      <xdr:grpSpPr>
        <a:xfrm>
          <a:off x="7658100" y="182880"/>
          <a:ext cx="6156960" cy="3253740"/>
          <a:chOff x="457200" y="4297680"/>
          <a:chExt cx="8907780" cy="4625340"/>
        </a:xfrm>
      </xdr:grpSpPr>
      <xdr:sp macro="" textlink="">
        <xdr:nvSpPr>
          <xdr:cNvPr id="36" name="Retângulo arredondado 35"/>
          <xdr:cNvSpPr/>
        </xdr:nvSpPr>
        <xdr:spPr>
          <a:xfrm>
            <a:off x="457200" y="4297680"/>
            <a:ext cx="8907780" cy="4625340"/>
          </a:xfrm>
          <a:prstGeom prst="roundRect">
            <a:avLst/>
          </a:prstGeom>
          <a:ln>
            <a:noFill/>
          </a:ln>
          <a:effectLst>
            <a:outerShdw blurRad="190500" dist="228600" dir="2700000" algn="ctr">
              <a:srgbClr val="000000">
                <a:alpha val="30%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4800000"/>
            </a:lightRig>
          </a:scene3d>
          <a:sp3d prstMaterial="matte">
            <a:bevelT w="127000" h="63500"/>
          </a:sp3d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graphicFrame macro="">
        <xdr:nvGraphicFramePr>
          <xdr:cNvPr id="37" name="Gráfico 36"/>
          <xdr:cNvGraphicFramePr>
            <a:graphicFrameLocks/>
          </xdr:cNvGraphicFramePr>
        </xdr:nvGraphicFramePr>
        <xdr:xfrm>
          <a:off x="1021080" y="4808220"/>
          <a:ext cx="7848600" cy="3611880"/>
        </xdr:xfrm>
        <a:graphic>
          <a:graphicData uri="http://purl.oclc.org/ooxml/drawingml/chart">
            <c:chart xmlns:c="http://purl.oclc.org/ooxml/drawingml/chart" xmlns:r="http://purl.oclc.org/ooxml/officeDocument/relationships" r:id="rId5"/>
          </a:graphicData>
        </a:graphic>
      </xdr:graphicFrame>
    </xdr:grpSp>
    <xdr:clientData/>
  </xdr:twoCellAnchor>
  <xdr:twoCellAnchor>
    <xdr:from>
      <xdr:col>0</xdr:col>
      <xdr:colOff>228600</xdr:colOff>
      <xdr:row>8</xdr:row>
      <xdr:rowOff>53340</xdr:rowOff>
    </xdr:from>
    <xdr:to>
      <xdr:col>6</xdr:col>
      <xdr:colOff>167640</xdr:colOff>
      <xdr:row>12</xdr:row>
      <xdr:rowOff>106680</xdr:rowOff>
    </xdr:to>
    <xdr:grpSp>
      <xdr:nvGrpSpPr>
        <xdr:cNvPr id="3" name="Grupo 2"/>
        <xdr:cNvGrpSpPr/>
      </xdr:nvGrpSpPr>
      <xdr:grpSpPr>
        <a:xfrm>
          <a:off x="228600" y="1432560"/>
          <a:ext cx="3596640" cy="784860"/>
          <a:chOff x="320040" y="1356360"/>
          <a:chExt cx="3596640" cy="784860"/>
        </a:xfrm>
      </xdr:grpSpPr>
      <xdr:sp macro="" textlink="">
        <xdr:nvSpPr>
          <xdr:cNvPr id="38" name="Retângulo arredondado 37">
            <a:hlinkClick xmlns:r="http://purl.oclc.org/ooxml/officeDocument/relationships" r:id="rId6"/>
          </xdr:cNvPr>
          <xdr:cNvSpPr/>
        </xdr:nvSpPr>
        <xdr:spPr>
          <a:xfrm>
            <a:off x="320040" y="1356360"/>
            <a:ext cx="3596640" cy="784860"/>
          </a:xfrm>
          <a:prstGeom prst="roundRect">
            <a:avLst/>
          </a:prstGeom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sp macro="" textlink="">
        <xdr:nvSpPr>
          <xdr:cNvPr id="39" name="CaixaDeTexto 38">
            <a:hlinkClick xmlns:r="http://purl.oclc.org/ooxml/officeDocument/relationships" r:id="rId6"/>
          </xdr:cNvPr>
          <xdr:cNvSpPr txBox="1"/>
        </xdr:nvSpPr>
        <xdr:spPr>
          <a:xfrm>
            <a:off x="594360" y="1501140"/>
            <a:ext cx="1798320" cy="4114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%" g="0%" b="0%"/>
          </a:lnRef>
          <a:fillRef idx="0">
            <a:scrgbClr r="0%" g="0%" b="0%"/>
          </a:fillRef>
          <a:effectRef idx="0">
            <a:scrgbClr r="0%" g="0%" b="0%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PT" sz="2000" b="1"/>
              <a:t>Analise Geral</a:t>
            </a:r>
          </a:p>
        </xdr:txBody>
      </xdr:sp>
    </xdr:grpSp>
    <xdr:clientData/>
  </xdr:twoCellAnchor>
  <xdr:twoCellAnchor>
    <xdr:from>
      <xdr:col>0</xdr:col>
      <xdr:colOff>205740</xdr:colOff>
      <xdr:row>15</xdr:row>
      <xdr:rowOff>83820</xdr:rowOff>
    </xdr:from>
    <xdr:to>
      <xdr:col>8</xdr:col>
      <xdr:colOff>213360</xdr:colOff>
      <xdr:row>19</xdr:row>
      <xdr:rowOff>137160</xdr:rowOff>
    </xdr:to>
    <xdr:grpSp>
      <xdr:nvGrpSpPr>
        <xdr:cNvPr id="46" name="Grupo 45"/>
        <xdr:cNvGrpSpPr/>
      </xdr:nvGrpSpPr>
      <xdr:grpSpPr>
        <a:xfrm>
          <a:off x="205740" y="2743200"/>
          <a:ext cx="4183380" cy="784860"/>
          <a:chOff x="251460" y="2385060"/>
          <a:chExt cx="3566160" cy="784860"/>
        </a:xfrm>
        <a:effectLst>
          <a:glow rad="228600">
            <a:schemeClr val="accent1">
              <a:satMod val="175%"/>
              <a:alpha val="40%"/>
            </a:schemeClr>
          </a:glow>
        </a:effectLst>
      </xdr:grpSpPr>
      <xdr:sp macro="" textlink="">
        <xdr:nvSpPr>
          <xdr:cNvPr id="40" name="Retângulo arredondado 39">
            <a:hlinkClick xmlns:r="http://purl.oclc.org/ooxml/officeDocument/relationships" r:id="rId7"/>
          </xdr:cNvPr>
          <xdr:cNvSpPr/>
        </xdr:nvSpPr>
        <xdr:spPr>
          <a:xfrm>
            <a:off x="251460" y="2385060"/>
            <a:ext cx="3566160" cy="784860"/>
          </a:xfrm>
          <a:prstGeom prst="roundRect">
            <a:avLst/>
          </a:prstGeom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sp macro="" textlink="">
        <xdr:nvSpPr>
          <xdr:cNvPr id="41" name="CaixaDeTexto 40">
            <a:hlinkClick xmlns:r="http://purl.oclc.org/ooxml/officeDocument/relationships" r:id="rId7"/>
          </xdr:cNvPr>
          <xdr:cNvSpPr txBox="1"/>
        </xdr:nvSpPr>
        <xdr:spPr>
          <a:xfrm>
            <a:off x="579120" y="2567940"/>
            <a:ext cx="2948940" cy="4114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%" g="0%" b="0%"/>
          </a:lnRef>
          <a:fillRef idx="0">
            <a:scrgbClr r="0%" g="0%" b="0%"/>
          </a:fillRef>
          <a:effectRef idx="0">
            <a:scrgbClr r="0%" g="0%" b="0%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PT" sz="2000" b="1"/>
              <a:t>Custos Não Conformidade</a:t>
            </a:r>
          </a:p>
        </xdr:txBody>
      </xdr:sp>
    </xdr:grpSp>
    <xdr:clientData/>
  </xdr:twoCellAnchor>
  <xdr:twoCellAnchor>
    <xdr:from>
      <xdr:col>0</xdr:col>
      <xdr:colOff>243840</xdr:colOff>
      <xdr:row>23</xdr:row>
      <xdr:rowOff>38100</xdr:rowOff>
    </xdr:from>
    <xdr:to>
      <xdr:col>6</xdr:col>
      <xdr:colOff>182880</xdr:colOff>
      <xdr:row>27</xdr:row>
      <xdr:rowOff>91440</xdr:rowOff>
    </xdr:to>
    <xdr:grpSp>
      <xdr:nvGrpSpPr>
        <xdr:cNvPr id="5" name="Grupo 4"/>
        <xdr:cNvGrpSpPr/>
      </xdr:nvGrpSpPr>
      <xdr:grpSpPr>
        <a:xfrm>
          <a:off x="243840" y="4160520"/>
          <a:ext cx="3596640" cy="784860"/>
          <a:chOff x="312420" y="3451860"/>
          <a:chExt cx="3596640" cy="784860"/>
        </a:xfrm>
      </xdr:grpSpPr>
      <xdr:sp macro="" textlink="">
        <xdr:nvSpPr>
          <xdr:cNvPr id="47" name="Retângulo arredondado 46">
            <a:hlinkClick xmlns:r="http://purl.oclc.org/ooxml/officeDocument/relationships" r:id="rId8"/>
          </xdr:cNvPr>
          <xdr:cNvSpPr/>
        </xdr:nvSpPr>
        <xdr:spPr>
          <a:xfrm>
            <a:off x="312420" y="3451860"/>
            <a:ext cx="3596640" cy="784860"/>
          </a:xfrm>
          <a:prstGeom prst="roundRect">
            <a:avLst/>
          </a:prstGeom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sp macro="" textlink="">
        <xdr:nvSpPr>
          <xdr:cNvPr id="51" name="CaixaDeTexto 50">
            <a:hlinkClick xmlns:r="http://purl.oclc.org/ooxml/officeDocument/relationships" r:id="rId8"/>
          </xdr:cNvPr>
          <xdr:cNvSpPr txBox="1"/>
        </xdr:nvSpPr>
        <xdr:spPr>
          <a:xfrm>
            <a:off x="563880" y="3611880"/>
            <a:ext cx="2933700" cy="4114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%" g="0%" b="0%"/>
          </a:lnRef>
          <a:fillRef idx="0">
            <a:scrgbClr r="0%" g="0%" b="0%"/>
          </a:fillRef>
          <a:effectRef idx="0">
            <a:scrgbClr r="0%" g="0%" b="0%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PT" sz="2000" b="1"/>
              <a:t>Não</a:t>
            </a:r>
            <a:r>
              <a:rPr lang="pt-PT" sz="2000" b="1" baseline="0%"/>
              <a:t> Conformidades</a:t>
            </a:r>
            <a:endParaRPr lang="pt-PT" sz="2000" b="1"/>
          </a:p>
        </xdr:txBody>
      </xdr:sp>
    </xdr:grpSp>
    <xdr:clientData/>
  </xdr:twoCellAnchor>
  <xdr:twoCellAnchor>
    <xdr:from>
      <xdr:col>0</xdr:col>
      <xdr:colOff>228600</xdr:colOff>
      <xdr:row>30</xdr:row>
      <xdr:rowOff>152400</xdr:rowOff>
    </xdr:from>
    <xdr:to>
      <xdr:col>6</xdr:col>
      <xdr:colOff>167640</xdr:colOff>
      <xdr:row>35</xdr:row>
      <xdr:rowOff>22860</xdr:rowOff>
    </xdr:to>
    <xdr:grpSp>
      <xdr:nvGrpSpPr>
        <xdr:cNvPr id="4" name="Grupo 3"/>
        <xdr:cNvGrpSpPr/>
      </xdr:nvGrpSpPr>
      <xdr:grpSpPr>
        <a:xfrm>
          <a:off x="228600" y="5554980"/>
          <a:ext cx="3596640" cy="784860"/>
          <a:chOff x="342900" y="4411980"/>
          <a:chExt cx="3596640" cy="784860"/>
        </a:xfrm>
      </xdr:grpSpPr>
      <xdr:sp macro="" textlink="">
        <xdr:nvSpPr>
          <xdr:cNvPr id="48" name="Retângulo arredondado 47">
            <a:hlinkClick xmlns:r="http://purl.oclc.org/ooxml/officeDocument/relationships" r:id="rId9"/>
          </xdr:cNvPr>
          <xdr:cNvSpPr/>
        </xdr:nvSpPr>
        <xdr:spPr>
          <a:xfrm>
            <a:off x="342900" y="4411980"/>
            <a:ext cx="3596640" cy="784860"/>
          </a:xfrm>
          <a:prstGeom prst="roundRect">
            <a:avLst/>
          </a:prstGeom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sp macro="" textlink="">
        <xdr:nvSpPr>
          <xdr:cNvPr id="52" name="CaixaDeTexto 51">
            <a:hlinkClick xmlns:r="http://purl.oclc.org/ooxml/officeDocument/relationships" r:id="rId9"/>
          </xdr:cNvPr>
          <xdr:cNvSpPr txBox="1"/>
        </xdr:nvSpPr>
        <xdr:spPr>
          <a:xfrm>
            <a:off x="563880" y="4587240"/>
            <a:ext cx="2933700" cy="4114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%" g="0%" b="0%"/>
          </a:lnRef>
          <a:fillRef idx="0">
            <a:scrgbClr r="0%" g="0%" b="0%"/>
          </a:fillRef>
          <a:effectRef idx="0">
            <a:scrgbClr r="0%" g="0%" b="0%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PT" sz="2000" b="1"/>
              <a:t>Totais</a:t>
            </a:r>
          </a:p>
        </xdr:txBody>
      </xdr:sp>
    </xdr:grpSp>
    <xdr:clientData/>
  </xdr:twoCellAnchor>
</xdr:wsDr>
</file>

<file path=xl/drawings/drawing4.xml><?xml version="1.0" encoding="utf-8"?>
<xdr:wsDr xmlns:xdr="http://purl.oclc.org/ooxml/drawingml/spreadsheetDrawing" xmlns:a="http://purl.oclc.org/ooxml/drawingml/main">
  <xdr:oneCellAnchor>
    <xdr:from>
      <xdr:col>0</xdr:col>
      <xdr:colOff>30480</xdr:colOff>
      <xdr:row>0</xdr:row>
      <xdr:rowOff>45720</xdr:rowOff>
    </xdr:from>
    <xdr:ext cx="7254240" cy="718530"/>
    <xdr:sp macro="" textlink="">
      <xdr:nvSpPr>
        <xdr:cNvPr id="2" name="CaixaDeTexto 1"/>
        <xdr:cNvSpPr txBox="1"/>
      </xdr:nvSpPr>
      <xdr:spPr>
        <a:xfrm>
          <a:off x="30480" y="45720"/>
          <a:ext cx="7254240" cy="718530"/>
        </a:xfrm>
        <a:prstGeom prst="rect">
          <a:avLst/>
        </a:prstGeom>
        <a:noFill/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PT" sz="2000" b="1"/>
            <a:t>ANÁLISE DE DESPERDÍCIO DE FILME PLÁSTICO</a:t>
          </a:r>
        </a:p>
        <a:p>
          <a:r>
            <a:rPr lang="pt-PT" sz="2000" b="1"/>
            <a:t> | ENSACADORAS AUTOMÁTICAS</a:t>
          </a:r>
        </a:p>
      </xdr:txBody>
    </xdr:sp>
    <xdr:clientData/>
  </xdr:oneCellAnchor>
  <xdr:oneCellAnchor>
    <xdr:from>
      <xdr:col>9</xdr:col>
      <xdr:colOff>586740</xdr:colOff>
      <xdr:row>14</xdr:row>
      <xdr:rowOff>160020</xdr:rowOff>
    </xdr:from>
    <xdr:ext cx="1645920" cy="264560"/>
    <xdr:sp macro="" textlink="">
      <xdr:nvSpPr>
        <xdr:cNvPr id="7" name="CaixaDeTexto 6"/>
        <xdr:cNvSpPr txBox="1"/>
      </xdr:nvSpPr>
      <xdr:spPr>
        <a:xfrm>
          <a:off x="5372100" y="2636520"/>
          <a:ext cx="1645920" cy="264560"/>
        </a:xfrm>
        <a:prstGeom prst="rect">
          <a:avLst/>
        </a:prstGeom>
        <a:noFill/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PT" sz="1100"/>
        </a:p>
      </xdr:txBody>
    </xdr:sp>
    <xdr:clientData/>
  </xdr:oneCellAnchor>
  <xdr:twoCellAnchor>
    <xdr:from>
      <xdr:col>6</xdr:col>
      <xdr:colOff>99060</xdr:colOff>
      <xdr:row>82</xdr:row>
      <xdr:rowOff>45720</xdr:rowOff>
    </xdr:from>
    <xdr:to>
      <xdr:col>20</xdr:col>
      <xdr:colOff>472440</xdr:colOff>
      <xdr:row>107</xdr:row>
      <xdr:rowOff>99060</xdr:rowOff>
    </xdr:to>
    <xdr:grpSp>
      <xdr:nvGrpSpPr>
        <xdr:cNvPr id="23" name="Grupo 22"/>
        <xdr:cNvGrpSpPr/>
      </xdr:nvGrpSpPr>
      <xdr:grpSpPr>
        <a:xfrm>
          <a:off x="3756660" y="14958060"/>
          <a:ext cx="8206740" cy="4625340"/>
          <a:chOff x="2453640" y="11879580"/>
          <a:chExt cx="8907780" cy="4625340"/>
        </a:xfrm>
      </xdr:grpSpPr>
      <xdr:sp macro="" textlink="">
        <xdr:nvSpPr>
          <xdr:cNvPr id="24" name="Retângulo arredondado 23"/>
          <xdr:cNvSpPr/>
        </xdr:nvSpPr>
        <xdr:spPr>
          <a:xfrm>
            <a:off x="2453640" y="11879580"/>
            <a:ext cx="8907780" cy="4625340"/>
          </a:xfrm>
          <a:prstGeom prst="roundRect">
            <a:avLst/>
          </a:prstGeom>
          <a:ln>
            <a:noFill/>
          </a:ln>
          <a:effectLst>
            <a:outerShdw blurRad="190500" dist="228600" dir="2700000" algn="ctr">
              <a:srgbClr val="000000">
                <a:alpha val="30%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4800000"/>
            </a:lightRig>
          </a:scene3d>
          <a:sp3d prstMaterial="matte">
            <a:bevelT w="127000" h="63500"/>
          </a:sp3d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graphicFrame macro="">
        <xdr:nvGraphicFramePr>
          <xdr:cNvPr id="25" name="Gráfico 24"/>
          <xdr:cNvGraphicFramePr>
            <a:graphicFrameLocks/>
          </xdr:cNvGraphicFramePr>
        </xdr:nvGraphicFramePr>
        <xdr:xfrm>
          <a:off x="3093720" y="12252960"/>
          <a:ext cx="7642860" cy="3840480"/>
        </xdr:xfrm>
        <a:graphic>
          <a:graphicData uri="http://purl.oclc.org/ooxml/drawingml/chart">
            <c:chart xmlns:c="http://purl.oclc.org/ooxml/drawingml/chart" xmlns:r="http://purl.oclc.org/ooxml/officeDocument/relationships" r:id="rId1"/>
          </a:graphicData>
        </a:graphic>
      </xdr:graphicFrame>
    </xdr:grpSp>
    <xdr:clientData/>
  </xdr:twoCellAnchor>
  <xdr:twoCellAnchor>
    <xdr:from>
      <xdr:col>10</xdr:col>
      <xdr:colOff>106680</xdr:colOff>
      <xdr:row>20</xdr:row>
      <xdr:rowOff>15240</xdr:rowOff>
    </xdr:from>
    <xdr:to>
      <xdr:col>21</xdr:col>
      <xdr:colOff>350520</xdr:colOff>
      <xdr:row>37</xdr:row>
      <xdr:rowOff>60960</xdr:rowOff>
    </xdr:to>
    <xdr:grpSp>
      <xdr:nvGrpSpPr>
        <xdr:cNvPr id="26" name="Grupo 25"/>
        <xdr:cNvGrpSpPr/>
      </xdr:nvGrpSpPr>
      <xdr:grpSpPr>
        <a:xfrm>
          <a:off x="5501640" y="3589020"/>
          <a:ext cx="6949440" cy="3154680"/>
          <a:chOff x="6736080" y="6918960"/>
          <a:chExt cx="8907780" cy="4625340"/>
        </a:xfrm>
      </xdr:grpSpPr>
      <xdr:sp macro="" textlink="">
        <xdr:nvSpPr>
          <xdr:cNvPr id="27" name="Retângulo arredondado 26"/>
          <xdr:cNvSpPr/>
        </xdr:nvSpPr>
        <xdr:spPr>
          <a:xfrm>
            <a:off x="6736080" y="6918960"/>
            <a:ext cx="8907780" cy="4625340"/>
          </a:xfrm>
          <a:prstGeom prst="roundRect">
            <a:avLst/>
          </a:prstGeom>
          <a:ln>
            <a:noFill/>
          </a:ln>
          <a:effectLst>
            <a:outerShdw blurRad="190500" dist="228600" dir="2700000" algn="ctr">
              <a:srgbClr val="000000">
                <a:alpha val="30%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4800000"/>
            </a:lightRig>
          </a:scene3d>
          <a:sp3d prstMaterial="matte">
            <a:bevelT w="127000" h="63500"/>
          </a:sp3d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graphicFrame macro="">
        <xdr:nvGraphicFramePr>
          <xdr:cNvPr id="28" name="Gráfico 27"/>
          <xdr:cNvGraphicFramePr>
            <a:graphicFrameLocks/>
          </xdr:cNvGraphicFramePr>
        </xdr:nvGraphicFramePr>
        <xdr:xfrm>
          <a:off x="7322820" y="7322820"/>
          <a:ext cx="7741920" cy="3710940"/>
        </xdr:xfrm>
        <a:graphic>
          <a:graphicData uri="http://purl.oclc.org/ooxml/drawingml/chart">
            <c:chart xmlns:c="http://purl.oclc.org/ooxml/drawingml/chart" xmlns:r="http://purl.oclc.org/ooxml/officeDocument/relationships" r:id="rId2"/>
          </a:graphicData>
        </a:graphic>
      </xdr:graphicFrame>
    </xdr:grpSp>
    <xdr:clientData/>
  </xdr:twoCellAnchor>
  <xdr:twoCellAnchor>
    <xdr:from>
      <xdr:col>10</xdr:col>
      <xdr:colOff>121920</xdr:colOff>
      <xdr:row>2</xdr:row>
      <xdr:rowOff>175260</xdr:rowOff>
    </xdr:from>
    <xdr:to>
      <xdr:col>21</xdr:col>
      <xdr:colOff>205740</xdr:colOff>
      <xdr:row>18</xdr:row>
      <xdr:rowOff>160020</xdr:rowOff>
    </xdr:to>
    <xdr:grpSp>
      <xdr:nvGrpSpPr>
        <xdr:cNvPr id="29" name="Grupo 28"/>
        <xdr:cNvGrpSpPr/>
      </xdr:nvGrpSpPr>
      <xdr:grpSpPr>
        <a:xfrm>
          <a:off x="5516880" y="541020"/>
          <a:ext cx="6789420" cy="2827020"/>
          <a:chOff x="289560" y="6515100"/>
          <a:chExt cx="8907780" cy="4625340"/>
        </a:xfrm>
      </xdr:grpSpPr>
      <xdr:sp macro="" textlink="">
        <xdr:nvSpPr>
          <xdr:cNvPr id="30" name="Retângulo arredondado 29"/>
          <xdr:cNvSpPr/>
        </xdr:nvSpPr>
        <xdr:spPr>
          <a:xfrm>
            <a:off x="289560" y="6515100"/>
            <a:ext cx="8907780" cy="4625340"/>
          </a:xfrm>
          <a:prstGeom prst="roundRect">
            <a:avLst/>
          </a:prstGeom>
          <a:ln>
            <a:noFill/>
          </a:ln>
          <a:effectLst>
            <a:outerShdw blurRad="190500" dist="228600" dir="2700000" algn="ctr">
              <a:srgbClr val="000000">
                <a:alpha val="30%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4800000"/>
            </a:lightRig>
          </a:scene3d>
          <a:sp3d prstMaterial="matte">
            <a:bevelT w="127000" h="63500"/>
          </a:sp3d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graphicFrame macro="">
        <xdr:nvGraphicFramePr>
          <xdr:cNvPr id="31" name="Gráfico 30"/>
          <xdr:cNvGraphicFramePr>
            <a:graphicFrameLocks/>
          </xdr:cNvGraphicFramePr>
        </xdr:nvGraphicFramePr>
        <xdr:xfrm>
          <a:off x="899160" y="6926580"/>
          <a:ext cx="7696200" cy="3756660"/>
        </xdr:xfrm>
        <a:graphic>
          <a:graphicData uri="http://purl.oclc.org/ooxml/drawingml/chart">
            <c:chart xmlns:c="http://purl.oclc.org/ooxml/drawingml/chart" xmlns:r="http://purl.oclc.org/ooxml/officeDocument/relationships" r:id="rId3"/>
          </a:graphicData>
        </a:graphic>
      </xdr:graphicFrame>
    </xdr:grpSp>
    <xdr:clientData/>
  </xdr:twoCellAnchor>
  <xdr:twoCellAnchor>
    <xdr:from>
      <xdr:col>0</xdr:col>
      <xdr:colOff>198120</xdr:colOff>
      <xdr:row>7</xdr:row>
      <xdr:rowOff>129540</xdr:rowOff>
    </xdr:from>
    <xdr:to>
      <xdr:col>6</xdr:col>
      <xdr:colOff>137160</xdr:colOff>
      <xdr:row>12</xdr:row>
      <xdr:rowOff>0</xdr:rowOff>
    </xdr:to>
    <xdr:sp macro="" textlink="">
      <xdr:nvSpPr>
        <xdr:cNvPr id="38" name="Retângulo arredondado 37">
          <a:hlinkClick xmlns:r="http://purl.oclc.org/ooxml/officeDocument/relationships" r:id="rId4"/>
        </xdr:cNvPr>
        <xdr:cNvSpPr/>
      </xdr:nvSpPr>
      <xdr:spPr>
        <a:xfrm>
          <a:off x="198120" y="1325880"/>
          <a:ext cx="3596640" cy="784860"/>
        </a:xfrm>
        <a:prstGeom prst="roundRect">
          <a:avLst/>
        </a:prstGeom>
      </xdr:spPr>
      <xdr:style>
        <a:lnRef idx="2">
          <a:schemeClr val="accent1">
            <a:shade val="50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0</xdr:col>
      <xdr:colOff>594360</xdr:colOff>
      <xdr:row>8</xdr:row>
      <xdr:rowOff>121920</xdr:rowOff>
    </xdr:from>
    <xdr:to>
      <xdr:col>3</xdr:col>
      <xdr:colOff>563880</xdr:colOff>
      <xdr:row>10</xdr:row>
      <xdr:rowOff>167640</xdr:rowOff>
    </xdr:to>
    <xdr:sp macro="" textlink="">
      <xdr:nvSpPr>
        <xdr:cNvPr id="39" name="CaixaDeTexto 38">
          <a:hlinkClick xmlns:r="http://purl.oclc.org/ooxml/officeDocument/relationships" r:id="rId4"/>
        </xdr:cNvPr>
        <xdr:cNvSpPr txBox="1"/>
      </xdr:nvSpPr>
      <xdr:spPr>
        <a:xfrm>
          <a:off x="594360" y="1501140"/>
          <a:ext cx="1798320" cy="411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2000" b="1"/>
            <a:t>Analise Geral</a:t>
          </a:r>
        </a:p>
      </xdr:txBody>
    </xdr:sp>
    <xdr:clientData/>
  </xdr:twoCellAnchor>
  <xdr:twoCellAnchor>
    <xdr:from>
      <xdr:col>0</xdr:col>
      <xdr:colOff>175260</xdr:colOff>
      <xdr:row>15</xdr:row>
      <xdr:rowOff>0</xdr:rowOff>
    </xdr:from>
    <xdr:to>
      <xdr:col>6</xdr:col>
      <xdr:colOff>114300</xdr:colOff>
      <xdr:row>19</xdr:row>
      <xdr:rowOff>53340</xdr:rowOff>
    </xdr:to>
    <xdr:sp macro="" textlink="">
      <xdr:nvSpPr>
        <xdr:cNvPr id="43" name="Retângulo arredondado 42">
          <a:hlinkClick xmlns:r="http://purl.oclc.org/ooxml/officeDocument/relationships" r:id="rId5"/>
        </xdr:cNvPr>
        <xdr:cNvSpPr/>
      </xdr:nvSpPr>
      <xdr:spPr>
        <a:xfrm>
          <a:off x="175260" y="2659380"/>
          <a:ext cx="3596640" cy="784860"/>
        </a:xfrm>
        <a:prstGeom prst="roundRect">
          <a:avLst/>
        </a:prstGeom>
      </xdr:spPr>
      <xdr:style>
        <a:lnRef idx="2">
          <a:schemeClr val="accent1">
            <a:shade val="50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0</xdr:col>
      <xdr:colOff>190500</xdr:colOff>
      <xdr:row>22</xdr:row>
      <xdr:rowOff>106680</xdr:rowOff>
    </xdr:from>
    <xdr:to>
      <xdr:col>8</xdr:col>
      <xdr:colOff>137160</xdr:colOff>
      <xdr:row>26</xdr:row>
      <xdr:rowOff>160020</xdr:rowOff>
    </xdr:to>
    <xdr:sp macro="" textlink="">
      <xdr:nvSpPr>
        <xdr:cNvPr id="47" name="Retângulo arredondado 46">
          <a:hlinkClick xmlns:r="http://purl.oclc.org/ooxml/officeDocument/relationships" r:id="rId6"/>
        </xdr:cNvPr>
        <xdr:cNvSpPr/>
      </xdr:nvSpPr>
      <xdr:spPr>
        <a:xfrm>
          <a:off x="190500" y="4046220"/>
          <a:ext cx="4122420" cy="784860"/>
        </a:xfrm>
        <a:prstGeom prst="roundRect">
          <a:avLst/>
        </a:prstGeom>
        <a:effectLst>
          <a:glow rad="228600">
            <a:schemeClr val="accent1">
              <a:satMod val="175%"/>
              <a:alpha val="40%"/>
            </a:schemeClr>
          </a:glow>
        </a:effectLst>
      </xdr:spPr>
      <xdr:style>
        <a:lnRef idx="2">
          <a:schemeClr val="accent1">
            <a:shade val="50%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0</xdr:col>
      <xdr:colOff>502920</xdr:colOff>
      <xdr:row>15</xdr:row>
      <xdr:rowOff>160020</xdr:rowOff>
    </xdr:from>
    <xdr:to>
      <xdr:col>6</xdr:col>
      <xdr:colOff>76200</xdr:colOff>
      <xdr:row>18</xdr:row>
      <xdr:rowOff>22860</xdr:rowOff>
    </xdr:to>
    <xdr:sp macro="" textlink="">
      <xdr:nvSpPr>
        <xdr:cNvPr id="48" name="CaixaDeTexto 47">
          <a:hlinkClick xmlns:r="http://purl.oclc.org/ooxml/officeDocument/relationships" r:id="rId5"/>
        </xdr:cNvPr>
        <xdr:cNvSpPr txBox="1"/>
      </xdr:nvSpPr>
      <xdr:spPr>
        <a:xfrm>
          <a:off x="502920" y="2819400"/>
          <a:ext cx="3230880" cy="411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2000" b="1"/>
            <a:t>Custos Não Conformidade</a:t>
          </a:r>
        </a:p>
      </xdr:txBody>
    </xdr:sp>
    <xdr:clientData/>
  </xdr:twoCellAnchor>
  <xdr:twoCellAnchor>
    <xdr:from>
      <xdr:col>0</xdr:col>
      <xdr:colOff>533400</xdr:colOff>
      <xdr:row>23</xdr:row>
      <xdr:rowOff>60960</xdr:rowOff>
    </xdr:from>
    <xdr:to>
      <xdr:col>5</xdr:col>
      <xdr:colOff>419100</xdr:colOff>
      <xdr:row>25</xdr:row>
      <xdr:rowOff>106680</xdr:rowOff>
    </xdr:to>
    <xdr:sp macro="" textlink="">
      <xdr:nvSpPr>
        <xdr:cNvPr id="49" name="CaixaDeTexto 48">
          <a:hlinkClick xmlns:r="http://purl.oclc.org/ooxml/officeDocument/relationships" r:id="rId6"/>
        </xdr:cNvPr>
        <xdr:cNvSpPr txBox="1"/>
      </xdr:nvSpPr>
      <xdr:spPr>
        <a:xfrm>
          <a:off x="533400" y="4183380"/>
          <a:ext cx="2933700" cy="411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2000" b="1"/>
            <a:t>Não</a:t>
          </a:r>
          <a:r>
            <a:rPr lang="pt-PT" sz="2000" b="1" baseline="0%"/>
            <a:t> Conformidades</a:t>
          </a:r>
          <a:endParaRPr lang="pt-PT" sz="2000" b="1"/>
        </a:p>
      </xdr:txBody>
    </xdr:sp>
    <xdr:clientData/>
  </xdr:twoCellAnchor>
  <xdr:twoCellAnchor>
    <xdr:from>
      <xdr:col>0</xdr:col>
      <xdr:colOff>175260</xdr:colOff>
      <xdr:row>30</xdr:row>
      <xdr:rowOff>38100</xdr:rowOff>
    </xdr:from>
    <xdr:to>
      <xdr:col>6</xdr:col>
      <xdr:colOff>114300</xdr:colOff>
      <xdr:row>34</xdr:row>
      <xdr:rowOff>91440</xdr:rowOff>
    </xdr:to>
    <xdr:grpSp>
      <xdr:nvGrpSpPr>
        <xdr:cNvPr id="51" name="Grupo 50">
          <a:hlinkClick xmlns:r="http://purl.oclc.org/ooxml/officeDocument/relationships" r:id="rId7"/>
        </xdr:cNvPr>
        <xdr:cNvGrpSpPr/>
      </xdr:nvGrpSpPr>
      <xdr:grpSpPr>
        <a:xfrm>
          <a:off x="175260" y="5440680"/>
          <a:ext cx="3596640" cy="784860"/>
          <a:chOff x="198120" y="4411980"/>
          <a:chExt cx="3596640" cy="784860"/>
        </a:xfrm>
      </xdr:grpSpPr>
      <xdr:sp macro="" textlink="">
        <xdr:nvSpPr>
          <xdr:cNvPr id="44" name="Retângulo arredondado 43"/>
          <xdr:cNvSpPr/>
        </xdr:nvSpPr>
        <xdr:spPr>
          <a:xfrm>
            <a:off x="198120" y="4411980"/>
            <a:ext cx="3596640" cy="784860"/>
          </a:xfrm>
          <a:prstGeom prst="roundRect">
            <a:avLst/>
          </a:prstGeom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sp macro="" textlink="">
        <xdr:nvSpPr>
          <xdr:cNvPr id="50" name="CaixaDeTexto 49"/>
          <xdr:cNvSpPr txBox="1"/>
        </xdr:nvSpPr>
        <xdr:spPr>
          <a:xfrm>
            <a:off x="533400" y="4594860"/>
            <a:ext cx="3124200" cy="4114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%" g="0%" b="0%"/>
          </a:lnRef>
          <a:fillRef idx="0">
            <a:scrgbClr r="0%" g="0%" b="0%"/>
          </a:fillRef>
          <a:effectRef idx="0">
            <a:scrgbClr r="0%" g="0%" b="0%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PT" sz="2000" b="1"/>
              <a:t>Totais</a:t>
            </a:r>
          </a:p>
        </xdr:txBody>
      </xdr:sp>
    </xdr:grpSp>
    <xdr:clientData/>
  </xdr:twoCellAnchor>
</xdr:wsDr>
</file>

<file path=xl/drawings/drawing5.xml><?xml version="1.0" encoding="utf-8"?>
<xdr:wsDr xmlns:xdr="http://purl.oclc.org/ooxml/drawingml/spreadsheetDrawing" xmlns:a="http://purl.oclc.org/ooxml/drawingml/main">
  <xdr:oneCellAnchor>
    <xdr:from>
      <xdr:col>9</xdr:col>
      <xdr:colOff>586740</xdr:colOff>
      <xdr:row>14</xdr:row>
      <xdr:rowOff>160020</xdr:rowOff>
    </xdr:from>
    <xdr:ext cx="1645920" cy="264560"/>
    <xdr:sp macro="" textlink="">
      <xdr:nvSpPr>
        <xdr:cNvPr id="3" name="CaixaDeTexto 2"/>
        <xdr:cNvSpPr txBox="1"/>
      </xdr:nvSpPr>
      <xdr:spPr>
        <a:xfrm>
          <a:off x="5372100" y="2636520"/>
          <a:ext cx="1645920" cy="264560"/>
        </a:xfrm>
        <a:prstGeom prst="rect">
          <a:avLst/>
        </a:prstGeom>
        <a:noFill/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PT" sz="1100"/>
        </a:p>
      </xdr:txBody>
    </xdr:sp>
    <xdr:clientData/>
  </xdr:oneCellAnchor>
  <xdr:twoCellAnchor>
    <xdr:from>
      <xdr:col>8</xdr:col>
      <xdr:colOff>350520</xdr:colOff>
      <xdr:row>13</xdr:row>
      <xdr:rowOff>38100</xdr:rowOff>
    </xdr:from>
    <xdr:to>
      <xdr:col>19</xdr:col>
      <xdr:colOff>259080</xdr:colOff>
      <xdr:row>35</xdr:row>
      <xdr:rowOff>45720</xdr:rowOff>
    </xdr:to>
    <xdr:grpSp>
      <xdr:nvGrpSpPr>
        <xdr:cNvPr id="4" name="Grupo 3"/>
        <xdr:cNvGrpSpPr/>
      </xdr:nvGrpSpPr>
      <xdr:grpSpPr>
        <a:xfrm>
          <a:off x="4526280" y="2331720"/>
          <a:ext cx="6614160" cy="4030980"/>
          <a:chOff x="2453640" y="11879580"/>
          <a:chExt cx="8907780" cy="4625340"/>
        </a:xfrm>
      </xdr:grpSpPr>
      <xdr:sp macro="" textlink="">
        <xdr:nvSpPr>
          <xdr:cNvPr id="5" name="Retângulo arredondado 4"/>
          <xdr:cNvSpPr/>
        </xdr:nvSpPr>
        <xdr:spPr>
          <a:xfrm>
            <a:off x="2453640" y="11879580"/>
            <a:ext cx="8907780" cy="4625340"/>
          </a:xfrm>
          <a:prstGeom prst="roundRect">
            <a:avLst/>
          </a:prstGeom>
          <a:ln>
            <a:noFill/>
          </a:ln>
          <a:effectLst>
            <a:outerShdw blurRad="190500" dist="228600" dir="2700000" algn="ctr">
              <a:srgbClr val="000000">
                <a:alpha val="30%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4800000"/>
            </a:lightRig>
          </a:scene3d>
          <a:sp3d prstMaterial="matte">
            <a:bevelT w="127000" h="63500"/>
          </a:sp3d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graphicFrame macro="">
        <xdr:nvGraphicFramePr>
          <xdr:cNvPr id="6" name="Gráfico 5"/>
          <xdr:cNvGraphicFramePr>
            <a:graphicFrameLocks/>
          </xdr:cNvGraphicFramePr>
        </xdr:nvGraphicFramePr>
        <xdr:xfrm>
          <a:off x="3093720" y="12252960"/>
          <a:ext cx="7642860" cy="3840480"/>
        </xdr:xfrm>
        <a:graphic>
          <a:graphicData uri="http://purl.oclc.org/ooxml/drawingml/chart">
            <c:chart xmlns:c="http://purl.oclc.org/ooxml/drawingml/chart" xmlns:r="http://purl.oclc.org/ooxml/officeDocument/relationships" r:id="rId1"/>
          </a:graphicData>
        </a:graphic>
      </xdr:graphicFrame>
    </xdr:grpSp>
    <xdr:clientData/>
  </xdr:twoCellAnchor>
  <xdr:twoCellAnchor>
    <xdr:from>
      <xdr:col>0</xdr:col>
      <xdr:colOff>220980</xdr:colOff>
      <xdr:row>8</xdr:row>
      <xdr:rowOff>68580</xdr:rowOff>
    </xdr:from>
    <xdr:to>
      <xdr:col>6</xdr:col>
      <xdr:colOff>160020</xdr:colOff>
      <xdr:row>12</xdr:row>
      <xdr:rowOff>121920</xdr:rowOff>
    </xdr:to>
    <xdr:grpSp>
      <xdr:nvGrpSpPr>
        <xdr:cNvPr id="30" name="Grupo 29">
          <a:hlinkClick xmlns:r="http://purl.oclc.org/ooxml/officeDocument/relationships" r:id="rId2"/>
        </xdr:cNvPr>
        <xdr:cNvGrpSpPr/>
      </xdr:nvGrpSpPr>
      <xdr:grpSpPr>
        <a:xfrm>
          <a:off x="220980" y="1447800"/>
          <a:ext cx="3596640" cy="784860"/>
          <a:chOff x="220980" y="1447800"/>
          <a:chExt cx="3596640" cy="784860"/>
        </a:xfrm>
      </xdr:grpSpPr>
      <xdr:sp macro="" textlink="">
        <xdr:nvSpPr>
          <xdr:cNvPr id="13" name="Retângulo arredondado 12"/>
          <xdr:cNvSpPr/>
        </xdr:nvSpPr>
        <xdr:spPr>
          <a:xfrm>
            <a:off x="220980" y="1447800"/>
            <a:ext cx="3596640" cy="784860"/>
          </a:xfrm>
          <a:prstGeom prst="roundRect">
            <a:avLst/>
          </a:prstGeom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sp macro="" textlink="">
        <xdr:nvSpPr>
          <xdr:cNvPr id="14" name="CaixaDeTexto 13"/>
          <xdr:cNvSpPr txBox="1"/>
        </xdr:nvSpPr>
        <xdr:spPr>
          <a:xfrm>
            <a:off x="617220" y="1623060"/>
            <a:ext cx="3040380" cy="4114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%" g="0%" b="0%"/>
          </a:lnRef>
          <a:fillRef idx="0">
            <a:scrgbClr r="0%" g="0%" b="0%"/>
          </a:fillRef>
          <a:effectRef idx="0">
            <a:scrgbClr r="0%" g="0%" b="0%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PT" sz="2000" b="1"/>
              <a:t>Analise Geral</a:t>
            </a:r>
          </a:p>
        </xdr:txBody>
      </xdr:sp>
    </xdr:grpSp>
    <xdr:clientData/>
  </xdr:twoCellAnchor>
  <xdr:twoCellAnchor>
    <xdr:from>
      <xdr:col>0</xdr:col>
      <xdr:colOff>198120</xdr:colOff>
      <xdr:row>15</xdr:row>
      <xdr:rowOff>144780</xdr:rowOff>
    </xdr:from>
    <xdr:to>
      <xdr:col>6</xdr:col>
      <xdr:colOff>160020</xdr:colOff>
      <xdr:row>20</xdr:row>
      <xdr:rowOff>15240</xdr:rowOff>
    </xdr:to>
    <xdr:grpSp>
      <xdr:nvGrpSpPr>
        <xdr:cNvPr id="29" name="Grupo 28">
          <a:hlinkClick xmlns:r="http://purl.oclc.org/ooxml/officeDocument/relationships" r:id="rId3"/>
        </xdr:cNvPr>
        <xdr:cNvGrpSpPr/>
      </xdr:nvGrpSpPr>
      <xdr:grpSpPr>
        <a:xfrm>
          <a:off x="198120" y="2804160"/>
          <a:ext cx="3619500" cy="784860"/>
          <a:chOff x="198120" y="2804160"/>
          <a:chExt cx="3619500" cy="784860"/>
        </a:xfrm>
      </xdr:grpSpPr>
      <xdr:sp macro="" textlink="">
        <xdr:nvSpPr>
          <xdr:cNvPr id="15" name="Retângulo arredondado 14"/>
          <xdr:cNvSpPr/>
        </xdr:nvSpPr>
        <xdr:spPr>
          <a:xfrm>
            <a:off x="198120" y="2804160"/>
            <a:ext cx="3619500" cy="784860"/>
          </a:xfrm>
          <a:prstGeom prst="roundRect">
            <a:avLst/>
          </a:prstGeom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sp macro="" textlink="">
        <xdr:nvSpPr>
          <xdr:cNvPr id="20" name="CaixaDeTexto 19"/>
          <xdr:cNvSpPr txBox="1"/>
        </xdr:nvSpPr>
        <xdr:spPr>
          <a:xfrm>
            <a:off x="525780" y="2964180"/>
            <a:ext cx="3177366" cy="4114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%" g="0%" b="0%"/>
          </a:lnRef>
          <a:fillRef idx="0">
            <a:scrgbClr r="0%" g="0%" b="0%"/>
          </a:fillRef>
          <a:effectRef idx="0">
            <a:scrgbClr r="0%" g="0%" b="0%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PT" sz="2000" b="1"/>
              <a:t>Custos Não Conformidade</a:t>
            </a:r>
          </a:p>
        </xdr:txBody>
      </xdr:sp>
    </xdr:grpSp>
    <xdr:clientData/>
  </xdr:twoCellAnchor>
  <xdr:twoCellAnchor>
    <xdr:from>
      <xdr:col>0</xdr:col>
      <xdr:colOff>182880</xdr:colOff>
      <xdr:row>23</xdr:row>
      <xdr:rowOff>0</xdr:rowOff>
    </xdr:from>
    <xdr:to>
      <xdr:col>6</xdr:col>
      <xdr:colOff>121920</xdr:colOff>
      <xdr:row>27</xdr:row>
      <xdr:rowOff>53340</xdr:rowOff>
    </xdr:to>
    <xdr:grpSp>
      <xdr:nvGrpSpPr>
        <xdr:cNvPr id="28" name="Grupo 27">
          <a:hlinkClick xmlns:r="http://purl.oclc.org/ooxml/officeDocument/relationships" r:id="rId4"/>
        </xdr:cNvPr>
        <xdr:cNvGrpSpPr/>
      </xdr:nvGrpSpPr>
      <xdr:grpSpPr>
        <a:xfrm>
          <a:off x="182880" y="4122420"/>
          <a:ext cx="3596640" cy="784860"/>
          <a:chOff x="182880" y="4122420"/>
          <a:chExt cx="3596640" cy="784860"/>
        </a:xfrm>
      </xdr:grpSpPr>
      <xdr:sp macro="" textlink="">
        <xdr:nvSpPr>
          <xdr:cNvPr id="16" name="Retângulo arredondado 15"/>
          <xdr:cNvSpPr/>
        </xdr:nvSpPr>
        <xdr:spPr>
          <a:xfrm>
            <a:off x="182880" y="4122420"/>
            <a:ext cx="3596640" cy="784860"/>
          </a:xfrm>
          <a:prstGeom prst="roundRect">
            <a:avLst/>
          </a:prstGeom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sp macro="" textlink="">
        <xdr:nvSpPr>
          <xdr:cNvPr id="21" name="CaixaDeTexto 20"/>
          <xdr:cNvSpPr txBox="1"/>
        </xdr:nvSpPr>
        <xdr:spPr>
          <a:xfrm>
            <a:off x="525780" y="4297680"/>
            <a:ext cx="2933700" cy="4114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%" g="0%" b="0%"/>
          </a:lnRef>
          <a:fillRef idx="0">
            <a:scrgbClr r="0%" g="0%" b="0%"/>
          </a:fillRef>
          <a:effectRef idx="0">
            <a:scrgbClr r="0%" g="0%" b="0%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PT" sz="2000" b="1"/>
              <a:t>Não</a:t>
            </a:r>
            <a:r>
              <a:rPr lang="pt-PT" sz="2000" b="1" baseline="0%"/>
              <a:t> Conformidades</a:t>
            </a:r>
            <a:endParaRPr lang="pt-PT" sz="2000" b="1"/>
          </a:p>
        </xdr:txBody>
      </xdr:sp>
    </xdr:grpSp>
    <xdr:clientData/>
  </xdr:twoCellAnchor>
  <xdr:twoCellAnchor>
    <xdr:from>
      <xdr:col>0</xdr:col>
      <xdr:colOff>205740</xdr:colOff>
      <xdr:row>30</xdr:row>
      <xdr:rowOff>68580</xdr:rowOff>
    </xdr:from>
    <xdr:to>
      <xdr:col>8</xdr:col>
      <xdr:colOff>152400</xdr:colOff>
      <xdr:row>34</xdr:row>
      <xdr:rowOff>121920</xdr:rowOff>
    </xdr:to>
    <xdr:grpSp>
      <xdr:nvGrpSpPr>
        <xdr:cNvPr id="27" name="Grupo 26"/>
        <xdr:cNvGrpSpPr/>
      </xdr:nvGrpSpPr>
      <xdr:grpSpPr>
        <a:xfrm>
          <a:off x="205740" y="5471160"/>
          <a:ext cx="4122420" cy="784860"/>
          <a:chOff x="205740" y="5471160"/>
          <a:chExt cx="4122420" cy="784860"/>
        </a:xfrm>
      </xdr:grpSpPr>
      <xdr:sp macro="" textlink="">
        <xdr:nvSpPr>
          <xdr:cNvPr id="19" name="Retângulo arredondado 18">
            <a:hlinkClick xmlns:r="http://purl.oclc.org/ooxml/officeDocument/relationships" r:id="rId5"/>
          </xdr:cNvPr>
          <xdr:cNvSpPr/>
        </xdr:nvSpPr>
        <xdr:spPr>
          <a:xfrm>
            <a:off x="205740" y="5471160"/>
            <a:ext cx="4122420" cy="784860"/>
          </a:xfrm>
          <a:prstGeom prst="roundRect">
            <a:avLst/>
          </a:prstGeom>
          <a:effectLst>
            <a:glow rad="228600">
              <a:schemeClr val="accent1">
                <a:satMod val="175%"/>
                <a:alpha val="40%"/>
              </a:schemeClr>
            </a:glow>
          </a:effectLst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sp macro="" textlink="">
        <xdr:nvSpPr>
          <xdr:cNvPr id="22" name="CaixaDeTexto 21">
            <a:hlinkClick xmlns:r="http://purl.oclc.org/ooxml/officeDocument/relationships" r:id="rId5"/>
          </xdr:cNvPr>
          <xdr:cNvSpPr txBox="1"/>
        </xdr:nvSpPr>
        <xdr:spPr>
          <a:xfrm>
            <a:off x="571500" y="5654040"/>
            <a:ext cx="3619500" cy="4114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%" g="0%" b="0%"/>
          </a:lnRef>
          <a:fillRef idx="0">
            <a:scrgbClr r="0%" g="0%" b="0%"/>
          </a:fillRef>
          <a:effectRef idx="0">
            <a:scrgbClr r="0%" g="0%" b="0%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PT" sz="2000" b="1"/>
              <a:t>Totais</a:t>
            </a:r>
          </a:p>
        </xdr:txBody>
      </xdr:sp>
    </xdr:grpSp>
    <xdr:clientData/>
  </xdr:twoCellAnchor>
  <xdr:twoCellAnchor editAs="oneCell">
    <xdr:from>
      <xdr:col>9</xdr:col>
      <xdr:colOff>411480</xdr:colOff>
      <xdr:row>6</xdr:row>
      <xdr:rowOff>76201</xdr:rowOff>
    </xdr:from>
    <xdr:to>
      <xdr:col>21</xdr:col>
      <xdr:colOff>403860</xdr:colOff>
      <xdr:row>11</xdr:row>
      <xdr:rowOff>83821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3" name="designacao_produto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ignacao_produto 2"/>
            </a:graphicData>
          </a:graphic>
        </xdr:graphicFrame>
      </mc:Choice>
      <mc:Fallback xmlns:a="http://schemas.openxmlformats.org/drawingml/2006/main" xmlns:xdr="http://schemas.openxmlformats.org/drawingml/2006/spreadsheetDrawing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96840" y="1089661"/>
              <a:ext cx="7307580" cy="9220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464820</xdr:colOff>
      <xdr:row>22</xdr:row>
      <xdr:rowOff>83821</xdr:rowOff>
    </xdr:from>
    <xdr:to>
      <xdr:col>24</xdr:col>
      <xdr:colOff>175260</xdr:colOff>
      <xdr:row>30</xdr:row>
      <xdr:rowOff>53340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mês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2"/>
            </a:graphicData>
          </a:graphic>
        </xdr:graphicFrame>
      </mc:Choice>
      <mc:Fallback xmlns:a="http://schemas.openxmlformats.org/drawingml/2006/main" xmlns:xdr="http://schemas.openxmlformats.org/drawingml/2006/spreadsheetDrawing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46180" y="4023361"/>
              <a:ext cx="2758440" cy="14325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457200</xdr:colOff>
      <xdr:row>17</xdr:row>
      <xdr:rowOff>99061</xdr:rowOff>
    </xdr:from>
    <xdr:to>
      <xdr:col>24</xdr:col>
      <xdr:colOff>167640</xdr:colOff>
      <xdr:row>21</xdr:row>
      <xdr:rowOff>83820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ano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2"/>
            </a:graphicData>
          </a:graphic>
        </xdr:graphicFrame>
      </mc:Choice>
      <mc:Fallback xmlns:a="http://schemas.openxmlformats.org/drawingml/2006/main" xmlns:xdr="http://schemas.openxmlformats.org/drawingml/2006/spreadsheetDrawing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38560" y="3124201"/>
              <a:ext cx="2758440" cy="7162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>
    <xdr:from>
      <xdr:col>19</xdr:col>
      <xdr:colOff>533400</xdr:colOff>
      <xdr:row>12</xdr:row>
      <xdr:rowOff>7330</xdr:rowOff>
    </xdr:from>
    <xdr:to>
      <xdr:col>24</xdr:col>
      <xdr:colOff>60960</xdr:colOff>
      <xdr:row>16</xdr:row>
      <xdr:rowOff>175260</xdr:rowOff>
    </xdr:to>
    <xdr:grpSp>
      <xdr:nvGrpSpPr>
        <xdr:cNvPr id="26" name="Grupo 25"/>
        <xdr:cNvGrpSpPr/>
      </xdr:nvGrpSpPr>
      <xdr:grpSpPr>
        <a:xfrm>
          <a:off x="11414760" y="2118070"/>
          <a:ext cx="2575560" cy="899450"/>
          <a:chOff x="624840" y="1195952"/>
          <a:chExt cx="3307080" cy="1204348"/>
        </a:xfrm>
      </xdr:grpSpPr>
      <xdr:sp macro="" textlink="">
        <xdr:nvSpPr>
          <xdr:cNvPr id="31" name="Retângulo arredondado 30"/>
          <xdr:cNvSpPr/>
        </xdr:nvSpPr>
        <xdr:spPr>
          <a:xfrm>
            <a:off x="624840" y="1196340"/>
            <a:ext cx="3307080" cy="1203960"/>
          </a:xfrm>
          <a:prstGeom prst="roundRect">
            <a:avLst/>
          </a:prstGeom>
          <a:solidFill>
            <a:schemeClr val="accent1">
              <a:lumMod val="40%"/>
              <a:lumOff val="60%"/>
            </a:schemeClr>
          </a:solidFill>
          <a:ln>
            <a:solidFill>
              <a:schemeClr val="bg1">
                <a:lumMod val="85%"/>
              </a:schemeClr>
            </a:solidFill>
          </a:ln>
        </xdr:spPr>
        <xdr:style>
          <a:lnRef idx="2">
            <a:schemeClr val="accent1">
              <a:shade val="50%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sp macro="" textlink="">
        <xdr:nvSpPr>
          <xdr:cNvPr id="32" name="CaixaDeTexto 31"/>
          <xdr:cNvSpPr txBox="1"/>
        </xdr:nvSpPr>
        <xdr:spPr>
          <a:xfrm>
            <a:off x="810742" y="1195952"/>
            <a:ext cx="2945062" cy="745211"/>
          </a:xfrm>
          <a:prstGeom prst="rect">
            <a:avLst/>
          </a:prstGeom>
          <a:noFill/>
        </xdr:spPr>
        <xdr:style>
          <a:lnRef idx="0">
            <a:scrgbClr r="0%" g="0%" b="0%"/>
          </a:lnRef>
          <a:fillRef idx="0">
            <a:scrgbClr r="0%" g="0%" b="0%"/>
          </a:fillRef>
          <a:effectRef idx="0">
            <a:scrgbClr r="0%" g="0%" b="0%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lang="pt-PT" sz="1400" b="1">
                <a:solidFill>
                  <a:srgbClr val="FF0000"/>
                </a:solidFill>
              </a:rPr>
              <a:t>Custo Desperdicio por Saco Produzido</a:t>
            </a:r>
            <a:endParaRPr lang="pt-PT" sz="1100" b="1">
              <a:solidFill>
                <a:srgbClr val="FF0000"/>
              </a:solidFill>
            </a:endParaRPr>
          </a:p>
        </xdr:txBody>
      </xdr:sp>
      <xdr:sp macro="" textlink="Analises_Desp!E155">
        <xdr:nvSpPr>
          <xdr:cNvPr id="33" name="CaixaDeTexto 32"/>
          <xdr:cNvSpPr txBox="1"/>
        </xdr:nvSpPr>
        <xdr:spPr>
          <a:xfrm>
            <a:off x="1043850" y="1859925"/>
            <a:ext cx="2438399" cy="472440"/>
          </a:xfrm>
          <a:prstGeom prst="rect">
            <a:avLst/>
          </a:prstGeom>
          <a:noFill/>
        </xdr:spPr>
        <xdr:style>
          <a:lnRef idx="0">
            <a:scrgbClr r="0%" g="0%" b="0%"/>
          </a:lnRef>
          <a:fillRef idx="0">
            <a:scrgbClr r="0%" g="0%" b="0%"/>
          </a:fillRef>
          <a:effectRef idx="0">
            <a:scrgbClr r="0%" g="0%" b="0%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fld id="{2064B72B-F3F8-436F-8B3D-673B564B97B2}" type="TxLink">
              <a:rPr lang="en-US" sz="2400" b="0" i="0" u="none" strike="noStrike">
                <a:solidFill>
                  <a:srgbClr val="FF0000"/>
                </a:solidFill>
                <a:latin typeface="Calibri"/>
                <a:ea typeface="Calibri"/>
                <a:cs typeface="Calibri"/>
              </a:rPr>
              <a:t>0,0029 €</a:t>
            </a:fld>
            <a:endParaRPr lang="pt-PT" sz="7200" b="0">
              <a:solidFill>
                <a:srgbClr val="FF0000"/>
              </a:solidFill>
            </a:endParaRPr>
          </a:p>
        </xdr:txBody>
      </xdr:sp>
    </xdr:grpSp>
    <xdr:clientData/>
  </xdr:twoCellAnchor>
  <xdr:oneCellAnchor>
    <xdr:from>
      <xdr:col>0</xdr:col>
      <xdr:colOff>38100</xdr:colOff>
      <xdr:row>0</xdr:row>
      <xdr:rowOff>30480</xdr:rowOff>
    </xdr:from>
    <xdr:ext cx="7254240" cy="718530"/>
    <xdr:sp macro="" textlink="">
      <xdr:nvSpPr>
        <xdr:cNvPr id="34" name="CaixaDeTexto 33"/>
        <xdr:cNvSpPr txBox="1"/>
      </xdr:nvSpPr>
      <xdr:spPr>
        <a:xfrm>
          <a:off x="38100" y="30480"/>
          <a:ext cx="7254240" cy="718530"/>
        </a:xfrm>
        <a:prstGeom prst="rect">
          <a:avLst/>
        </a:prstGeom>
        <a:noFill/>
      </xdr:spPr>
      <xdr:style>
        <a:lnRef idx="0">
          <a:scrgbClr r="0%" g="0%" b="0%"/>
        </a:lnRef>
        <a:fillRef idx="0">
          <a:scrgbClr r="0%" g="0%" b="0%"/>
        </a:fillRef>
        <a:effectRef idx="0">
          <a:scrgbClr r="0%" g="0%" b="0%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PT" sz="2000" b="1"/>
            <a:t>ANÁLISE DE DESPERDÍCIO DE FILME PLÁSTICO</a:t>
          </a:r>
        </a:p>
        <a:p>
          <a:r>
            <a:rPr lang="pt-PT" sz="2000" b="1"/>
            <a:t> | ENSACADORAS AUTOMÁTICAS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r:id="rId1" refreshedBy="João Silva" refreshedDateIso="2026-10-08T23:10:27.01899977400899175" createdVersion="6" refreshedVersion="6" minRefreshableVersion="3" recordCount="1792">
  <cacheSource type="worksheet">
    <worksheetSource name="Fato_Producao"/>
  </cacheSource>
  <cacheFields count="21">
    <cacheField name="data" numFmtId="14">
      <sharedItems containsSemiMixedTypes="0" containsNonDate="0" containsDate="1" containsString="0" minDate="2023-10-01T00:00:00" maxDate="2026-10-01T00:00:00" count="1096"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</sharedItems>
      <fieldGroup par="18" base="0">
        <rangePr groupBy="days" startDate="2023-10-01T00:00:00" endDate="2026-10-01T00:00:00"/>
        <groupItems count="368">
          <s v="&lt;01/10/2023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10/2026"/>
        </groupItems>
      </fieldGroup>
    </cacheField>
    <cacheField name="referencia" numFmtId="0">
      <sharedItems containsSemiMixedTypes="0" containsString="0" containsNumber="1" containsInteger="1" minValue="45500" maxValue="45514" count="15">
        <n v="45513"/>
        <n v="45501"/>
        <n v="45504"/>
        <n v="45509"/>
        <n v="45507"/>
        <n v="45512"/>
        <n v="45506"/>
        <n v="45502"/>
        <n v="45508"/>
        <n v="45503"/>
        <n v="45511"/>
        <n v="45500"/>
        <n v="45510"/>
        <n v="45514"/>
        <n v="45505"/>
      </sharedItems>
    </cacheField>
    <cacheField name="designacao_produto" numFmtId="0">
      <sharedItems count="13">
        <s v="filete pescada"/>
        <s v="pescada posta cozer"/>
        <s v="pescada posta fritar"/>
        <s v="lascas bacalhau"/>
        <s v="salmao posta"/>
        <s v="red-fish posta"/>
        <s v="perca posta"/>
        <s v="carapau pelim"/>
        <s v="lula suja"/>
        <s v="sardinha pequena"/>
        <s v="lula limpa"/>
        <s v="tiras pota"/>
        <s v="camarao"/>
      </sharedItems>
    </cacheField>
    <cacheField name="contador_maquina" numFmtId="0">
      <sharedItems containsSemiMixedTypes="0" containsString="0" containsNumber="1" containsInteger="1" minValue="1800" maxValue="4199"/>
    </cacheField>
    <cacheField name="quantidade_real_produzida" numFmtId="0">
      <sharedItems containsSemiMixedTypes="0" containsString="0" containsNumber="1" containsInteger="1" minValue="1632" maxValue="4021" count="1249">
        <n v="2230"/>
        <n v="2249"/>
        <n v="2938"/>
        <n v="2671"/>
        <n v="3124"/>
        <n v="2012"/>
        <n v="2790"/>
        <n v="3629"/>
        <n v="3309"/>
        <n v="2580"/>
        <n v="1828"/>
        <n v="3305"/>
        <n v="2752"/>
        <n v="2585"/>
        <n v="3112"/>
        <n v="2357"/>
        <n v="2815"/>
        <n v="2231"/>
        <n v="2333"/>
        <n v="2592"/>
        <n v="1735"/>
        <n v="3676"/>
        <n v="3459"/>
        <n v="3913"/>
        <n v="3617"/>
        <n v="3593"/>
        <n v="3462"/>
        <n v="2217"/>
        <n v="3058"/>
        <n v="2083"/>
        <n v="2778"/>
        <n v="3661"/>
        <n v="3795"/>
        <n v="1689"/>
        <n v="3228"/>
        <n v="1815"/>
        <n v="3278"/>
        <n v="3175"/>
        <n v="1933"/>
        <n v="3109"/>
        <n v="2030"/>
        <n v="2733"/>
        <n v="2659"/>
        <n v="2425"/>
        <n v="1908"/>
        <n v="2730"/>
        <n v="2610"/>
        <n v="2134"/>
        <n v="2548"/>
        <n v="2779"/>
        <n v="2757"/>
        <n v="3126"/>
        <n v="3759"/>
        <n v="2670"/>
        <n v="2901"/>
        <n v="2420"/>
        <n v="2408"/>
        <n v="2601"/>
        <n v="3204"/>
        <n v="2367"/>
        <n v="3266"/>
        <n v="3032"/>
        <n v="2835"/>
        <n v="2579"/>
        <n v="3009"/>
        <n v="3449"/>
        <n v="3383"/>
        <n v="1825"/>
        <n v="2526"/>
        <n v="2570"/>
        <n v="2478"/>
        <n v="3614"/>
        <n v="2077"/>
        <n v="2211"/>
        <n v="2857"/>
        <n v="2086"/>
        <n v="2460"/>
        <n v="1752"/>
        <n v="2110"/>
        <n v="2355"/>
        <n v="3630"/>
        <n v="3167"/>
        <n v="3403"/>
        <n v="2770"/>
        <n v="2930"/>
        <n v="2927"/>
        <n v="2467"/>
        <n v="1691"/>
        <n v="3483"/>
        <n v="2343"/>
        <n v="3088"/>
        <n v="3525"/>
        <n v="3637"/>
        <n v="1717"/>
        <n v="2157"/>
        <n v="3412"/>
        <n v="2814"/>
        <n v="1899"/>
        <n v="2255"/>
        <n v="3435"/>
        <n v="3837"/>
        <n v="2780"/>
        <n v="1643"/>
        <n v="3565"/>
        <n v="3726"/>
        <n v="3718"/>
        <n v="3538"/>
        <n v="3513"/>
        <n v="3311"/>
        <n v="1977"/>
        <n v="3087"/>
        <n v="2807"/>
        <n v="1755"/>
        <n v="3482"/>
        <n v="2168"/>
        <n v="2992"/>
        <n v="1981"/>
        <n v="3148"/>
        <n v="3755"/>
        <n v="1659"/>
        <n v="3574"/>
        <n v="2589"/>
        <n v="1952"/>
        <n v="2862"/>
        <n v="1809"/>
        <n v="3048"/>
        <n v="2281"/>
        <n v="2710"/>
        <n v="2482"/>
        <n v="2840"/>
        <n v="3787"/>
        <n v="2407"/>
        <n v="2340"/>
        <n v="2417"/>
        <n v="1907"/>
        <n v="2850"/>
        <n v="2438"/>
        <n v="2459"/>
        <n v="2307"/>
        <n v="2439"/>
        <n v="2183"/>
        <n v="2065"/>
        <n v="3378"/>
        <n v="3118"/>
        <n v="1920"/>
        <n v="2223"/>
        <n v="2245"/>
        <n v="2754"/>
        <n v="3585"/>
        <n v="1918"/>
        <n v="3627"/>
        <n v="1681"/>
        <n v="3125"/>
        <n v="3006"/>
        <n v="2686"/>
        <n v="1734"/>
        <n v="2624"/>
        <n v="3892"/>
        <n v="2042"/>
        <n v="1744"/>
        <n v="1942"/>
        <n v="1709"/>
        <n v="3472"/>
        <n v="2116"/>
        <n v="3703"/>
        <n v="2366"/>
        <n v="3504"/>
        <n v="1897"/>
        <n v="3440"/>
        <n v="2446"/>
        <n v="2498"/>
        <n v="2771"/>
        <n v="3036"/>
        <n v="2568"/>
        <n v="2864"/>
        <n v="3544"/>
        <n v="3702"/>
        <n v="3750"/>
        <n v="3195"/>
        <n v="2955"/>
        <n v="2237"/>
        <n v="2627"/>
        <n v="2540"/>
        <n v="3655"/>
        <n v="2196"/>
        <n v="3353"/>
        <n v="2561"/>
        <n v="3074"/>
        <n v="2441"/>
        <n v="2137"/>
        <n v="2284"/>
        <n v="3351"/>
        <n v="1808"/>
        <n v="2884"/>
        <n v="3509"/>
        <n v="2693"/>
        <n v="1679"/>
        <n v="3777"/>
        <n v="2472"/>
        <n v="3664"/>
        <n v="2684"/>
        <n v="1690"/>
        <n v="3592"/>
        <n v="3397"/>
        <n v="3556"/>
        <n v="2524"/>
        <n v="3849"/>
        <n v="2143"/>
        <n v="3223"/>
        <n v="3668"/>
        <n v="1762"/>
        <n v="3563"/>
        <n v="2204"/>
        <n v="3808"/>
        <n v="3649"/>
        <n v="2458"/>
        <n v="3645"/>
        <n v="3751"/>
        <n v="2799"/>
        <n v="1932"/>
        <n v="2630"/>
        <n v="2654"/>
        <n v="1944"/>
        <n v="2826"/>
        <n v="2564"/>
        <n v="2040"/>
        <n v="2517"/>
        <n v="2294"/>
        <n v="3756"/>
        <n v="3741"/>
        <n v="2598"/>
        <n v="2490"/>
        <n v="2641"/>
        <n v="3385"/>
        <n v="3721"/>
        <n v="1937"/>
        <n v="3821"/>
        <n v="2877"/>
        <n v="2802"/>
        <n v="3628"/>
        <n v="1768"/>
        <n v="2219"/>
        <n v="2491"/>
        <n v="1878"/>
        <n v="2702"/>
        <n v="1860"/>
        <n v="1753"/>
        <n v="3164"/>
        <n v="3978"/>
        <n v="2277"/>
        <n v="2031"/>
        <n v="3374"/>
        <n v="2188"/>
        <n v="3039"/>
        <n v="2596"/>
        <n v="1898"/>
        <n v="3518"/>
        <n v="2193"/>
        <n v="2464"/>
        <n v="2326"/>
        <n v="1829"/>
        <n v="3215"/>
        <n v="2130"/>
        <n v="3743"/>
        <n v="2854"/>
        <n v="3558"/>
        <n v="3971"/>
        <n v="3354"/>
        <n v="3078"/>
        <n v="2041"/>
        <n v="3716"/>
        <n v="2450"/>
        <n v="3678"/>
        <n v="3475"/>
        <n v="2190"/>
        <n v="1971"/>
        <n v="3379"/>
        <n v="2264"/>
        <n v="2893"/>
        <n v="3404"/>
        <n v="3282"/>
        <n v="2358"/>
        <n v="1943"/>
        <n v="1905"/>
        <n v="2161"/>
        <n v="3636"/>
        <n v="2121"/>
        <n v="2906"/>
        <n v="3693"/>
        <n v="3302"/>
        <n v="2547"/>
        <n v="2449"/>
        <n v="1994"/>
        <n v="1788"/>
        <n v="2673"/>
        <n v="2062"/>
        <n v="1838"/>
        <n v="3572"/>
        <n v="2513"/>
        <n v="2914"/>
        <n v="3529"/>
        <n v="3380"/>
        <n v="2915"/>
        <n v="3415"/>
        <n v="2903"/>
        <n v="1730"/>
        <n v="3792"/>
        <n v="2442"/>
        <n v="2163"/>
        <n v="2980"/>
        <n v="1676"/>
        <n v="3376"/>
        <n v="3597"/>
        <n v="2396"/>
        <n v="3832"/>
        <n v="2463"/>
        <n v="2516"/>
        <n v="2312"/>
        <n v="1909"/>
        <n v="3562"/>
        <n v="2979"/>
        <n v="2907"/>
        <n v="2668"/>
        <n v="3900"/>
        <n v="3825"/>
        <n v="3493"/>
        <n v="3586"/>
        <n v="2329"/>
        <n v="1819"/>
        <n v="3436"/>
        <n v="1708"/>
        <n v="3031"/>
        <n v="3437"/>
        <n v="1748"/>
        <n v="3947"/>
        <n v="3689"/>
        <n v="2120"/>
        <n v="2376"/>
        <n v="2837"/>
        <n v="2413"/>
        <n v="3020"/>
        <n v="2383"/>
        <n v="3875"/>
        <n v="1844"/>
        <n v="1703"/>
        <n v="3707"/>
        <n v="2575"/>
        <n v="2735"/>
        <n v="1771"/>
        <n v="3102"/>
        <n v="3931"/>
        <n v="3634"/>
        <n v="2692"/>
        <n v="2600"/>
        <n v="3603"/>
        <n v="2350"/>
        <n v="2505"/>
        <n v="2958"/>
        <n v="3291"/>
        <n v="1715"/>
        <n v="2968"/>
        <n v="2527"/>
        <n v="3199"/>
        <n v="2247"/>
        <n v="3710"/>
        <n v="3446"/>
        <n v="2295"/>
        <n v="3479"/>
        <n v="2129"/>
        <n v="3328"/>
        <n v="2839"/>
        <n v="1647"/>
        <n v="3602"/>
        <n v="1660"/>
        <n v="3739"/>
        <n v="2403"/>
        <n v="2489"/>
        <n v="1948"/>
        <n v="3754"/>
        <n v="2801"/>
        <n v="3073"/>
        <n v="3520"/>
        <n v="2208"/>
        <n v="2640"/>
        <n v="2380"/>
        <n v="2451"/>
        <n v="2416"/>
        <n v="2205"/>
        <n v="2115"/>
        <n v="1935"/>
        <n v="3166"/>
        <n v="3612"/>
        <n v="1958"/>
        <n v="2866"/>
        <n v="2599"/>
        <n v="1906"/>
        <n v="2235"/>
        <n v="2412"/>
        <n v="2368"/>
        <n v="3724"/>
        <n v="3387"/>
        <n v="3010"/>
        <n v="2173"/>
        <n v="2070"/>
        <n v="1953"/>
        <n v="3932"/>
        <n v="3566"/>
        <n v="3906"/>
        <n v="3794"/>
        <n v="3144"/>
        <n v="3909"/>
        <n v="3433"/>
        <n v="3067"/>
        <n v="2304"/>
        <n v="2728"/>
        <n v="2861"/>
        <n v="3342"/>
        <n v="3646"/>
        <n v="2198"/>
        <n v="1901"/>
        <n v="3445"/>
        <n v="3507"/>
        <n v="2363"/>
        <n v="1887"/>
        <n v="3127"/>
        <n v="2676"/>
        <n v="2593"/>
        <n v="3659"/>
        <n v="3095"/>
        <n v="2652"/>
        <n v="2530"/>
        <n v="3631"/>
        <n v="2153"/>
        <n v="3030"/>
        <n v="1761"/>
        <n v="2825"/>
        <n v="3395"/>
        <n v="3833"/>
        <n v="3015"/>
        <n v="1881"/>
        <n v="2021"/>
        <n v="2891"/>
        <n v="2384"/>
        <n v="3648"/>
        <n v="2694"/>
        <n v="2385"/>
        <n v="2253"/>
        <n v="3253"/>
        <n v="1723"/>
        <n v="1812"/>
        <n v="3577"/>
        <n v="2859"/>
        <n v="3851"/>
        <n v="2081"/>
        <n v="1875"/>
        <n v="2018"/>
        <n v="3157"/>
        <n v="2434"/>
        <n v="2549"/>
        <n v="3468"/>
        <n v="3559"/>
        <n v="3769"/>
        <n v="2165"/>
        <n v="2337"/>
        <n v="2152"/>
        <n v="3231"/>
        <n v="3770"/>
        <n v="3471"/>
        <n v="1988"/>
        <n v="3017"/>
        <n v="1832"/>
        <n v="2697"/>
        <n v="2965"/>
        <n v="2586"/>
        <n v="3910"/>
        <n v="3665"/>
        <n v="2272"/>
        <n v="2855"/>
        <n v="2625"/>
        <n v="3224"/>
        <n v="2058"/>
        <n v="1831"/>
        <n v="2553"/>
        <n v="3531"/>
        <n v="2111"/>
        <n v="2176"/>
        <n v="1858"/>
        <n v="3642"/>
        <n v="3456"/>
        <n v="2725"/>
        <n v="2747"/>
        <n v="2032"/>
        <n v="2060"/>
        <n v="1726"/>
        <n v="2533"/>
        <n v="3386"/>
        <n v="2532"/>
        <n v="2418"/>
        <n v="3595"/>
        <n v="3528"/>
        <n v="3460"/>
        <n v="3811"/>
        <n v="2555"/>
        <n v="2577"/>
        <n v="1731"/>
        <n v="2766"/>
        <n v="1854"/>
        <n v="2644"/>
        <n v="3174"/>
        <n v="3838"/>
        <n v="2703"/>
        <n v="3407"/>
        <n v="1955"/>
        <n v="2943"/>
        <n v="1834"/>
        <n v="2772"/>
        <n v="1721"/>
        <n v="3779"/>
        <n v="2048"/>
        <n v="1902"/>
        <n v="3338"/>
        <n v="3600"/>
        <n v="2860"/>
        <n v="2578"/>
        <n v="1806"/>
        <n v="2647"/>
        <n v="1695"/>
        <n v="1738"/>
        <n v="3255"/>
        <n v="2520"/>
        <n v="1727"/>
        <n v="3579"/>
        <n v="2037"/>
        <n v="1985"/>
        <n v="3382"/>
        <n v="2124"/>
        <n v="2888"/>
        <n v="2039"/>
        <n v="2795"/>
        <n v="2827"/>
        <n v="1632"/>
        <n v="2806"/>
        <n v="3292"/>
        <n v="2415"/>
        <n v="2605"/>
        <n v="2353"/>
        <n v="3371"/>
        <n v="2462"/>
        <n v="2471"/>
        <n v="1966"/>
        <n v="2920"/>
        <n v="2177"/>
        <n v="3715"/>
        <n v="3455"/>
        <n v="2488"/>
        <n v="2257"/>
        <n v="2546"/>
        <n v="1740"/>
        <n v="2587"/>
        <n v="2521"/>
        <n v="1827"/>
        <n v="3466"/>
        <n v="3447"/>
        <n v="3369"/>
        <n v="3639"/>
        <n v="2706"/>
        <n v="3601"/>
        <n v="2090"/>
        <n v="2496"/>
        <n v="1941"/>
        <n v="2718"/>
        <n v="3806"/>
        <n v="2494"/>
        <n v="3839"/>
        <n v="2179"/>
        <n v="1685"/>
        <n v="3682"/>
        <n v="3405"/>
        <n v="3394"/>
        <n v="3557"/>
        <n v="1822"/>
        <n v="1862"/>
        <n v="2053"/>
        <n v="3079"/>
        <n v="1884"/>
        <n v="3523"/>
        <n v="3025"/>
        <n v="2309"/>
        <n v="3357"/>
        <n v="2750"/>
        <n v="2310"/>
        <n v="2751"/>
        <n v="2876"/>
        <n v="1866"/>
        <n v="1784"/>
        <n v="3171"/>
        <n v="2267"/>
        <n v="1962"/>
        <n v="1801"/>
        <n v="2838"/>
        <n v="2910"/>
        <n v="3272"/>
        <n v="3686"/>
        <n v="3286"/>
        <n v="3055"/>
        <n v="2932"/>
        <n v="2370"/>
        <n v="1803"/>
        <n v="2612"/>
        <n v="3517"/>
        <n v="3234"/>
        <n v="2987"/>
        <n v="3458"/>
        <n v="2972"/>
        <n v="3926"/>
        <n v="3205"/>
        <n v="3297"/>
        <n v="1849"/>
        <n v="2181"/>
        <n v="3001"/>
        <n v="3478"/>
        <n v="2841"/>
        <n v="2759"/>
        <n v="2849"/>
        <n v="1826"/>
        <n v="3093"/>
        <n v="2613"/>
        <n v="2682"/>
        <n v="3796"/>
        <n v="2868"/>
        <n v="2055"/>
        <n v="3105"/>
        <n v="2001"/>
        <n v="2088"/>
        <n v="1990"/>
        <n v="2529"/>
        <n v="2447"/>
        <n v="2986"/>
        <n v="3605"/>
        <n v="2572"/>
        <n v="2716"/>
        <n v="3329"/>
        <n v="2400"/>
        <n v="2606"/>
        <n v="1791"/>
        <n v="3072"/>
        <n v="3492"/>
        <n v="1733"/>
        <n v="2226"/>
        <n v="3402"/>
        <n v="3494"/>
        <n v="2581"/>
        <n v="2399"/>
        <n v="3367"/>
        <n v="3281"/>
        <n v="1840"/>
        <n v="2300"/>
        <n v="1666"/>
        <n v="2761"/>
        <n v="2288"/>
        <n v="2683"/>
        <n v="2842"/>
        <n v="2102"/>
        <n v="3893"/>
        <n v="3243"/>
        <n v="1800"/>
        <n v="2921"/>
        <n v="2732"/>
        <n v="3389"/>
        <n v="3567"/>
        <n v="2880"/>
        <n v="2271"/>
        <n v="2331"/>
        <n v="2201"/>
        <n v="2542"/>
        <n v="3190"/>
        <n v="3299"/>
        <n v="2941"/>
        <n v="3918"/>
        <n v="2427"/>
        <n v="2911"/>
        <n v="3742"/>
        <n v="1850"/>
        <n v="3765"/>
        <n v="3776"/>
        <n v="2962"/>
        <n v="1663"/>
        <n v="3814"/>
        <n v="3960"/>
        <n v="2068"/>
        <n v="3427"/>
        <n v="2583"/>
        <n v="3004"/>
        <n v="2411"/>
        <n v="1923"/>
        <n v="3062"/>
        <n v="3690"/>
        <n v="2734"/>
        <n v="1714"/>
        <n v="1719"/>
        <n v="3502"/>
        <n v="2960"/>
        <n v="2649"/>
        <n v="3410"/>
        <n v="2342"/>
        <n v="2948"/>
        <n v="2942"/>
        <n v="3584"/>
        <n v="2688"/>
        <n v="1811"/>
        <n v="2002"/>
        <n v="3698"/>
        <n v="3653"/>
        <n v="1823"/>
        <n v="2681"/>
        <n v="2617"/>
        <n v="3575"/>
        <n v="2916"/>
        <n v="1924"/>
        <n v="1774"/>
        <n v="1885"/>
        <n v="3008"/>
        <n v="2297"/>
        <n v="2374"/>
        <n v="3300"/>
        <n v="2246"/>
        <n v="2781"/>
        <n v="2753"/>
        <n v="2852"/>
        <n v="3417"/>
        <n v="3521"/>
        <n v="3717"/>
        <n v="2170"/>
        <n v="2241"/>
        <n v="2628"/>
        <n v="3356"/>
        <n v="2221"/>
        <n v="2069"/>
        <n v="3547"/>
        <n v="2604"/>
        <n v="3381"/>
        <n v="2571"/>
        <n v="2922"/>
        <n v="3116"/>
        <n v="2700"/>
        <n v="3136"/>
        <n v="2266"/>
        <n v="2791"/>
        <n v="2360"/>
        <n v="2406"/>
        <n v="2359"/>
        <n v="3011"/>
        <n v="2017"/>
        <n v="3180"/>
        <n v="2225"/>
        <n v="2169"/>
        <n v="2122"/>
        <n v="3884"/>
        <n v="2035"/>
        <n v="3512"/>
        <n v="1864"/>
        <n v="2846"/>
        <n v="2146"/>
        <n v="2602"/>
        <n v="3762"/>
        <n v="3227"/>
        <n v="1728"/>
        <n v="3003"/>
        <n v="2639"/>
        <n v="2889"/>
        <n v="2749"/>
        <n v="2714"/>
        <n v="3334"/>
        <n v="2936"/>
        <n v="1802"/>
        <n v="3251"/>
        <n v="3242"/>
        <n v="2258"/>
        <n v="3650"/>
        <n v="1945"/>
        <n v="2316"/>
        <n v="3209"/>
        <n v="2010"/>
        <n v="2959"/>
        <n v="2969"/>
        <n v="2971"/>
        <n v="1931"/>
        <n v="2653"/>
        <n v="3753"/>
        <n v="2078"/>
        <n v="2514"/>
        <n v="3365"/>
        <n v="2045"/>
        <n v="1745"/>
        <n v="2319"/>
        <n v="3453"/>
        <n v="3936"/>
        <n v="3830"/>
        <n v="3568"/>
        <n v="2983"/>
        <n v="3515"/>
        <n v="1891"/>
        <n v="3326"/>
        <n v="3481"/>
        <n v="3957"/>
        <n v="2317"/>
        <n v="3271"/>
        <n v="3244"/>
        <n v="2956"/>
        <n v="2051"/>
        <n v="2638"/>
        <n v="2743"/>
        <n v="2811"/>
        <n v="1724"/>
        <n v="2789"/>
        <n v="3077"/>
        <n v="2809"/>
        <n v="3084"/>
        <n v="3123"/>
        <n v="2669"/>
        <n v="2871"/>
        <n v="2144"/>
        <n v="2335"/>
        <n v="3158"/>
        <n v="3508"/>
        <n v="3196"/>
        <n v="2268"/>
        <n v="1835"/>
        <n v="1836"/>
        <n v="2305"/>
        <n v="3938"/>
        <n v="3429"/>
        <n v="3358"/>
        <n v="2072"/>
        <n v="2677"/>
        <n v="1787"/>
        <n v="2511"/>
        <n v="2476"/>
        <n v="3696"/>
        <n v="3942"/>
        <n v="1853"/>
        <n v="2254"/>
        <n v="2937"/>
        <n v="2402"/>
        <n v="2797"/>
        <n v="2084"/>
        <n v="1798"/>
        <n v="3881"/>
        <n v="3570"/>
        <n v="3098"/>
        <n v="3473"/>
        <n v="2636"/>
        <n v="2191"/>
        <n v="1639"/>
        <n v="2320"/>
        <n v="3461"/>
        <n v="2286"/>
        <n v="3793"/>
        <n v="3420"/>
        <n v="3700"/>
        <n v="3497"/>
        <n v="3961"/>
        <n v="2667"/>
        <n v="3128"/>
        <n v="2816"/>
        <n v="3189"/>
        <n v="2114"/>
        <n v="2755"/>
        <n v="2256"/>
        <n v="2138"/>
        <n v="1720"/>
        <n v="3050"/>
        <n v="3788"/>
        <n v="2361"/>
        <n v="2539"/>
        <n v="2848"/>
        <n v="2455"/>
        <n v="1677"/>
        <n v="1736"/>
        <n v="3208"/>
        <n v="2009"/>
        <n v="3526"/>
        <n v="1684"/>
        <n v="2836"/>
        <n v="3391"/>
        <n v="2902"/>
        <n v="3014"/>
        <n v="1779"/>
        <n v="3071"/>
        <n v="2909"/>
        <n v="2934"/>
        <n v="2946"/>
        <n v="2619"/>
        <n v="3361"/>
        <n v="2503"/>
        <n v="2475"/>
        <n v="2016"/>
        <n v="3293"/>
        <n v="2180"/>
        <n v="3933"/>
        <n v="2394"/>
        <n v="3060"/>
        <n v="3315"/>
        <n v="2274"/>
        <n v="1718"/>
        <n v="2195"/>
        <n v="2140"/>
        <n v="2964"/>
        <n v="3583"/>
        <n v="3606"/>
        <n v="2509"/>
        <n v="2229"/>
        <n v="2332"/>
        <n v="2769"/>
        <n v="3434"/>
        <n v="3236"/>
        <n v="3409"/>
        <n v="2507"/>
        <n v="2918"/>
        <n v="3101"/>
        <n v="2899"/>
        <n v="3463"/>
        <n v="3736"/>
        <n v="3767"/>
        <n v="3729"/>
        <n v="3791"/>
        <n v="2887"/>
        <n v="2466"/>
        <n v="2924"/>
        <n v="2456"/>
        <n v="2940"/>
        <n v="2666"/>
        <n v="2428"/>
        <n v="2662"/>
        <n v="3264"/>
        <n v="3553"/>
        <n v="2206"/>
        <n v="1739"/>
        <n v="2935"/>
        <n v="2296"/>
        <n v="3424"/>
        <n v="2609"/>
        <n v="3857"/>
        <n v="3548"/>
        <n v="2858"/>
        <n v="2512"/>
        <n v="2260"/>
        <n v="2538"/>
        <n v="3024"/>
        <n v="3694"/>
        <n v="3053"/>
        <n v="3722"/>
        <n v="3002"/>
        <n v="3421"/>
        <n v="3533"/>
        <n v="3891"/>
        <n v="2149"/>
        <n v="2132"/>
        <n v="2701"/>
        <n v="1910"/>
        <n v="3522"/>
        <n v="2773"/>
        <n v="2437"/>
        <n v="2197"/>
        <n v="1704"/>
        <n v="2093"/>
        <n v="3486"/>
        <n v="3727"/>
        <n v="1951"/>
        <n v="3220"/>
        <n v="3732"/>
        <n v="3303"/>
        <n v="2218"/>
        <n v="2101"/>
        <n v="1767"/>
        <n v="3212"/>
        <n v="2283"/>
        <n v="3679"/>
        <n v="2119"/>
        <n v="1694"/>
        <n v="2014"/>
        <n v="1654"/>
        <n v="3362"/>
        <n v="2796"/>
        <n v="3643"/>
        <n v="1911"/>
        <n v="3364"/>
        <n v="3217"/>
        <n v="2588"/>
        <n v="1963"/>
        <n v="3554"/>
        <n v="1843"/>
        <n v="3240"/>
        <n v="3438"/>
        <n v="3827"/>
        <n v="3232"/>
        <n v="3896"/>
        <n v="2865"/>
        <n v="2036"/>
        <n v="3810"/>
        <n v="1824"/>
        <n v="3138"/>
        <n v="3275"/>
        <n v="3882"/>
        <n v="3760"/>
        <n v="2872"/>
        <n v="2543"/>
        <n v="2726"/>
        <n v="2787"/>
        <n v="1991"/>
        <n v="2104"/>
        <n v="2097"/>
        <n v="3252"/>
        <n v="2698"/>
        <n v="2634"/>
        <n v="3778"/>
        <n v="2974"/>
        <n v="2687"/>
        <n v="3081"/>
        <n v="2346"/>
        <n v="3745"/>
        <n v="2707"/>
        <n v="3294"/>
        <n v="1856"/>
        <n v="2982"/>
        <n v="3609"/>
        <n v="2378"/>
        <n v="1873"/>
        <n v="2881"/>
        <n v="2131"/>
        <n v="3625"/>
        <n v="2192"/>
        <n v="3323"/>
        <n v="2582"/>
        <n v="3758"/>
        <n v="2194"/>
        <n v="1949"/>
        <n v="3719"/>
        <n v="4021"/>
        <n v="2155"/>
        <n v="2063"/>
        <n v="2717"/>
        <n v="2746"/>
        <n v="2468"/>
        <n v="3360"/>
        <n v="2961"/>
        <n v="3000"/>
        <n v="2448"/>
        <n v="3673"/>
        <n v="1845"/>
        <n v="3596"/>
        <n v="2199"/>
        <n v="3141"/>
        <n v="3080"/>
        <n v="3214"/>
        <n v="2506"/>
        <n v="3861"/>
        <n v="3543"/>
        <n v="2642"/>
        <n v="3261"/>
        <n v="1710"/>
        <n v="2678"/>
        <n v="3237"/>
        <n v="1895"/>
        <n v="2657"/>
        <n v="3580"/>
        <n v="2851"/>
        <n v="2433"/>
        <n v="2805"/>
        <n v="1921"/>
        <n v="3652"/>
        <n v="2259"/>
        <n v="2833"/>
        <n v="2793"/>
        <n v="2325"/>
        <n v="3552"/>
        <n v="3735"/>
        <n v="3392"/>
        <n v="3022"/>
        <n v="3115"/>
        <n v="2504"/>
        <n v="1842"/>
        <n v="3747"/>
        <n v="2784"/>
        <n v="3169"/>
        <n v="2847"/>
        <n v="3269"/>
        <n v="3262"/>
        <n v="1876"/>
        <n v="3388"/>
        <n v="2212"/>
        <n v="3201"/>
        <n v="1939"/>
        <n v="2947"/>
        <n v="3801"/>
        <n v="2308"/>
        <n v="2345"/>
        <n v="2330"/>
        <n v="2234"/>
        <n v="3373"/>
        <n v="2251"/>
        <n v="2843"/>
        <n v="2500"/>
        <n v="2660"/>
        <n v="2742"/>
        <n v="1974"/>
        <n v="3771"/>
        <n v="3831"/>
        <n v="2615"/>
        <n v="2655"/>
        <n v="3626"/>
        <n v="1725"/>
        <n v="3783"/>
        <n v="3944"/>
        <n v="1863"/>
        <n v="2336"/>
        <n v="3439"/>
        <n v="3800"/>
        <n v="1773"/>
        <n v="1678"/>
        <n v="2768"/>
        <n v="2049"/>
        <n v="2953"/>
        <n v="3551"/>
        <n v="2339"/>
        <n v="3052"/>
        <n v="3443"/>
        <n v="2136"/>
        <n v="3103"/>
        <n v="2492"/>
        <n v="2853"/>
        <n v="2869"/>
        <n v="1776"/>
        <n v="3524"/>
        <n v="3866"/>
        <n v="3491"/>
        <n v="2023"/>
        <n v="3066"/>
        <n v="3092"/>
        <n v="3139"/>
        <n v="2993"/>
        <n v="2997"/>
        <n v="3005"/>
        <n v="3165"/>
        <n v="2664"/>
        <n v="3186"/>
        <n v="2290"/>
        <n v="3709"/>
        <n v="2059"/>
        <n v="3663"/>
        <n v="1926"/>
        <n v="3465"/>
        <n v="2931"/>
        <n v="1772"/>
        <n v="2712"/>
        <n v="3872"/>
        <n v="3506"/>
        <n v="3213"/>
        <n v="1847"/>
        <n v="3257"/>
        <n v="3276"/>
        <n v="3304"/>
        <n v="3345"/>
        <n v="3280"/>
        <n v="2075"/>
        <n v="2560"/>
        <n v="3026"/>
        <n v="3444"/>
        <n v="2391"/>
        <n v="2723"/>
        <n v="1671"/>
        <n v="2635"/>
        <n v="2150"/>
        <n v="2776"/>
        <n v="3467"/>
        <n v="3499"/>
        <n v="2275"/>
        <n v="3950"/>
        <n v="2112"/>
        <n v="2302"/>
        <n v="2210"/>
        <n v="3339"/>
        <n v="3308"/>
        <n v="1743"/>
        <n v="3033"/>
        <n v="2727"/>
        <n v="2313"/>
        <n v="3802"/>
        <n v="1859"/>
        <n v="1707"/>
        <n v="3607"/>
        <n v="2804"/>
        <n v="3370"/>
        <n v="1794"/>
        <n v="2950"/>
        <n v="3803"/>
        <n v="3782"/>
        <n v="2990"/>
        <n v="2354"/>
        <n v="2352"/>
        <n v="2885"/>
        <n v="3667"/>
        <n v="3560"/>
        <n v="2178"/>
        <n v="3350"/>
        <n v="1696"/>
        <n v="3267"/>
        <n v="3619"/>
        <n v="3359"/>
        <n v="3496"/>
        <n v="3120"/>
        <n v="3911"/>
        <n v="3780"/>
        <n v="3107"/>
        <n v="2523"/>
        <n v="2883"/>
        <n v="1995"/>
        <n v="3027"/>
        <n v="3550"/>
        <n v="3133"/>
        <n v="2099"/>
        <n v="3824"/>
        <n v="3045"/>
        <n v="3701"/>
        <n v="2222"/>
        <n v="2501"/>
        <n v="3298"/>
        <n v="3929"/>
        <n v="2874"/>
        <n v="3571"/>
        <n v="2073"/>
        <n v="2631"/>
        <n v="3746"/>
        <n v="2324"/>
        <n v="3340"/>
        <n v="3099"/>
        <n v="3516"/>
        <n v="3337"/>
        <n v="2117"/>
        <n v="3654"/>
        <n v="2923"/>
        <n v="3781"/>
        <n v="2565"/>
        <n v="2185"/>
        <n v="3059"/>
        <n v="2044"/>
        <n v="2715"/>
        <n v="3843"/>
        <n v="2584"/>
      </sharedItems>
    </cacheField>
    <cacheField name="desperdicio_pct" numFmtId="10">
      <sharedItems containsSemiMixedTypes="0" containsString="0" containsNumber="1" minValue="2.4899999999999999E-2" maxValue="0.1399"/>
    </cacheField>
    <cacheField name="desperdicio_m" numFmtId="2">
      <sharedItems containsSemiMixedTypes="0" containsString="0" containsNumber="1" minValue="15.4" maxValue="165.12"/>
    </cacheField>
    <cacheField name="embalagens_danificadas" numFmtId="0">
      <sharedItems containsSemiMixedTypes="0" containsString="0" containsNumber="1" containsInteger="1" minValue="1" maxValue="171"/>
    </cacheField>
    <cacheField name="peso_errado" numFmtId="0">
      <sharedItems containsSemiMixedTypes="0" containsString="0" containsNumber="1" containsInteger="1" minValue="-3" maxValue="451"/>
    </cacheField>
    <cacheField name="impressao" numFmtId="0">
      <sharedItems containsSemiMixedTypes="0" containsString="0" containsNumber="1" containsInteger="1" minValue="1" maxValue="205"/>
    </cacheField>
    <cacheField name="total_embalagens_nao_conforme" numFmtId="0">
      <sharedItems containsSemiMixedTypes="0" containsString="0" containsNumber="1" containsInteger="1" minValue="52" maxValue="516"/>
    </cacheField>
    <cacheField name="data_ultima_revisao" numFmtId="14">
      <sharedItems containsSemiMixedTypes="0" containsNonDate="0" containsDate="1" containsString="0" minDate="2023-09-16T00:00:00" maxDate="2026-08-20T00:00:00" count="21">
        <d v="2023-09-16T00:00:00"/>
        <d v="2023-11-06T00:00:00"/>
        <d v="2024-01-09T00:00:00"/>
        <d v="2024-03-08T00:00:00"/>
        <d v="2024-05-02T00:00:00"/>
        <d v="2024-06-23T00:00:00"/>
        <d v="2024-08-13T00:00:00"/>
        <d v="2024-10-15T00:00:00"/>
        <d v="2024-12-09T00:00:00"/>
        <d v="2025-02-02T00:00:00"/>
        <d v="2025-03-22T00:00:00"/>
        <d v="2025-05-13T00:00:00"/>
        <d v="2025-06-29T00:00:00"/>
        <d v="2025-08-14T00:00:00"/>
        <d v="2025-10-09T00:00:00"/>
        <d v="2025-11-28T00:00:00"/>
        <d v="2026-01-13T00:00:00"/>
        <d v="2026-02-27T00:00:00"/>
        <d v="2026-04-24T00:00:00"/>
        <d v="2026-06-19T00:00:00"/>
        <d v="2026-08-19T00:00:00"/>
      </sharedItems>
      <fieldGroup par="20" base="11">
        <rangePr groupBy="months" startDate="2023-09-16T00:00:00" endDate="2026-08-20T00:00:00"/>
        <groupItems count="14">
          <s v="&lt;16/09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0/08/2026"/>
        </groupItems>
      </fieldGroup>
    </cacheField>
    <cacheField name="dias_desde_revisao" numFmtId="0">
      <sharedItems containsSemiMixedTypes="0" containsString="0" containsNumber="1" containsInteger="1" minValue="0" maxValue="63" count="64"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51"/>
        <n v="52"/>
        <n v="53"/>
        <n v="54"/>
        <n v="55"/>
        <n v="56"/>
        <n v="57"/>
        <n v="58"/>
        <n v="59"/>
        <n v="60"/>
        <n v="61"/>
        <n v="62"/>
        <n v="63"/>
      </sharedItems>
    </cacheField>
    <cacheField name="custo_desperdicio_eur" numFmtId="164">
      <sharedItems containsSemiMixedTypes="0" containsString="0" containsNumber="1" minValue="1.85" maxValue="23.12" count="826">
        <n v="5.49"/>
        <n v="6.76"/>
        <n v="10.08"/>
        <n v="6.72"/>
        <n v="9.2799999999999994"/>
        <n v="7"/>
        <n v="9.0399999999999991"/>
        <n v="13.6"/>
        <n v="12.71"/>
        <n v="9.67"/>
        <n v="7.97"/>
        <n v="7.21"/>
        <n v="11"/>
        <n v="11.92"/>
        <n v="9.66"/>
        <n v="7.98"/>
        <n v="9.44"/>
        <n v="4.4400000000000004"/>
        <n v="9.24"/>
        <n v="12.72"/>
        <n v="8.3800000000000008"/>
        <n v="11.34"/>
        <n v="8.4700000000000006"/>
        <n v="14.28"/>
        <n v="17.07"/>
        <n v="8.6"/>
        <n v="17.649999999999999"/>
        <n v="4.83"/>
        <n v="9.9"/>
        <n v="3.83"/>
        <n v="12.6"/>
        <n v="18.72"/>
        <n v="13.98"/>
        <n v="4.2699999999999996"/>
        <n v="15.23"/>
        <n v="5"/>
        <n v="15.14"/>
        <n v="11.2"/>
        <n v="3.76"/>
        <n v="10.47"/>
        <n v="7.03"/>
        <n v="8.94"/>
        <n v="7.85"/>
        <n v="11.29"/>
        <n v="8.9600000000000009"/>
        <n v="9.15"/>
        <n v="13.84"/>
        <n v="8.86"/>
        <n v="11.11"/>
        <n v="10.15"/>
        <n v="11.1"/>
        <n v="18.16"/>
        <n v="2.89"/>
        <n v="3.02"/>
        <n v="9.18"/>
        <n v="3.43"/>
        <n v="5.03"/>
        <n v="6.45"/>
        <n v="6.24"/>
        <n v="15.81"/>
        <n v="11.65"/>
        <n v="6.33"/>
        <n v="7.8"/>
        <n v="7.53"/>
        <n v="9.85"/>
        <n v="6.49"/>
        <n v="5.73"/>
        <n v="8"/>
        <n v="8.85"/>
        <n v="6.47"/>
        <n v="8.01"/>
        <n v="8.68"/>
        <n v="4.66"/>
        <n v="5.61"/>
        <n v="4.9000000000000004"/>
        <n v="7.67"/>
        <n v="4.93"/>
        <n v="7.08"/>
        <n v="9.07"/>
        <n v="11.59"/>
        <n v="8.92"/>
        <n v="12.94"/>
        <n v="5.78"/>
        <n v="6.09"/>
        <n v="9"/>
        <n v="10.89"/>
        <n v="19"/>
        <n v="4.97"/>
        <n v="13.23"/>
        <n v="12.63"/>
        <n v="5.19"/>
        <n v="7.48"/>
        <n v="12.86"/>
        <n v="9.4499999999999993"/>
        <n v="5.83"/>
        <n v="14.34"/>
        <n v="11.47"/>
        <n v="12.9"/>
        <n v="15.55"/>
        <n v="21.64"/>
        <n v="6.99"/>
        <n v="11.04"/>
        <n v="13.75"/>
        <n v="6.41"/>
        <n v="9.81"/>
        <n v="4.5"/>
        <n v="10.88"/>
        <n v="10.66"/>
        <n v="13.89"/>
        <n v="14.66"/>
        <n v="10.53"/>
        <n v="15.32"/>
        <n v="10.92"/>
        <n v="9.09"/>
        <n v="16.489999999999998"/>
        <n v="7.24"/>
        <n v="16.89"/>
        <n v="12.59"/>
        <n v="15.34"/>
        <n v="8.7100000000000009"/>
        <n v="16.329999999999998"/>
        <n v="14.35"/>
        <n v="15.72"/>
        <n v="8.6999999999999993"/>
        <n v="10.1"/>
        <n v="7.92"/>
        <n v="14.62"/>
        <n v="12.14"/>
        <n v="9.9499999999999993"/>
        <n v="6.81"/>
        <n v="11.02"/>
        <n v="11.7"/>
        <n v="21.19"/>
        <n v="17.11"/>
        <n v="8.0399999999999991"/>
        <n v="10.119999999999999"/>
        <n v="11.07"/>
        <n v="15.54"/>
        <n v="14.89"/>
        <n v="23.12"/>
        <n v="12.13"/>
        <n v="15.86"/>
        <n v="18.14"/>
        <n v="9.0500000000000007"/>
        <n v="5.94"/>
        <n v="6.35"/>
        <n v="2.39"/>
        <n v="4.84"/>
        <n v="3.4"/>
        <n v="5.54"/>
        <n v="2.4500000000000002"/>
        <n v="3.19"/>
        <n v="6.82"/>
        <n v="10.86"/>
        <n v="8.15"/>
        <n v="5.28"/>
        <n v="13.27"/>
        <n v="12.07"/>
        <n v="5.72"/>
        <n v="3.39"/>
        <n v="6.16"/>
        <n v="4.87"/>
        <n v="6.54"/>
        <n v="9.11"/>
        <n v="5.33"/>
        <n v="10.17"/>
        <n v="9.98"/>
        <n v="5.07"/>
        <n v="8.66"/>
        <n v="9.32"/>
        <n v="6.06"/>
        <n v="10.77"/>
        <n v="14.96"/>
        <n v="9.7200000000000006"/>
        <n v="4.0999999999999996"/>
        <n v="13.86"/>
        <n v="7.79"/>
        <n v="18.190000000000001"/>
        <n v="4.7699999999999996"/>
        <n v="15.71"/>
        <n v="9.27"/>
        <n v="8.44"/>
        <n v="13.8"/>
        <n v="9.52"/>
        <n v="8.2799999999999994"/>
        <n v="22.27"/>
        <n v="4.78"/>
        <n v="12.68"/>
        <n v="8.1"/>
        <n v="15.77"/>
        <n v="16.260000000000002"/>
        <n v="13.35"/>
        <n v="11.68"/>
        <n v="9.36"/>
        <n v="7.28"/>
        <n v="6.18"/>
        <n v="15.12"/>
        <n v="11.08"/>
        <n v="10.98"/>
        <n v="8.93"/>
        <n v="9.68"/>
        <n v="12.84"/>
        <n v="15.8"/>
        <n v="16.04"/>
        <n v="13.77"/>
        <n v="18.68"/>
        <n v="7.72"/>
        <n v="17.739999999999998"/>
        <n v="13.41"/>
        <n v="20.78"/>
        <n v="7.93"/>
        <n v="7.09"/>
        <n v="11.54"/>
        <n v="7.18"/>
        <n v="5.91"/>
        <n v="4.95"/>
        <n v="5.82"/>
        <n v="7.43"/>
        <n v="8.02"/>
        <n v="10.75"/>
        <n v="4.38"/>
        <n v="5.5"/>
        <n v="9.1300000000000008"/>
        <n v="5.89"/>
        <n v="8.9"/>
        <n v="2.1800000000000002"/>
        <n v="4.09"/>
        <n v="6.52"/>
        <n v="5.38"/>
        <n v="6.78"/>
        <n v="4.6399999999999997"/>
        <n v="8.4"/>
        <n v="2.5499999999999998"/>
        <n v="6.32"/>
        <n v="5.57"/>
        <n v="9.59"/>
        <n v="7.36"/>
        <n v="8.6199999999999992"/>
        <n v="8.4600000000000009"/>
        <n v="14.17"/>
        <n v="15.4"/>
        <n v="9.0299999999999994"/>
        <n v="6.77"/>
        <n v="8.33"/>
        <n v="13.78"/>
        <n v="7.61"/>
        <n v="11.6"/>
        <n v="13.71"/>
        <n v="6.37"/>
        <n v="5.14"/>
        <n v="16.75"/>
        <n v="8.65"/>
        <n v="14.43"/>
        <n v="12.36"/>
        <n v="12.38"/>
        <n v="7.9"/>
        <n v="9.69"/>
        <n v="14.5"/>
        <n v="6.59"/>
        <n v="5.34"/>
        <n v="18.46"/>
        <n v="13.07"/>
        <n v="10.5"/>
        <n v="11.27"/>
        <n v="9.1"/>
        <n v="17.95"/>
        <n v="8.5500000000000007"/>
        <n v="11.48"/>
        <n v="10.48"/>
        <n v="20.16"/>
        <n v="15.16"/>
        <n v="17.43"/>
        <n v="14.74"/>
        <n v="10.34"/>
        <n v="15.85"/>
        <n v="12.65"/>
        <n v="3.75"/>
        <n v="5.09"/>
        <n v="2.08"/>
        <n v="6.14"/>
        <n v="5.0599999999999996"/>
        <n v="10.71"/>
        <n v="7.95"/>
        <n v="8.41"/>
        <n v="9.5399999999999991"/>
        <n v="10.44"/>
        <n v="3.9"/>
        <n v="7.66"/>
        <n v="13.44"/>
        <n v="9.6300000000000008"/>
        <n v="5.51"/>
        <n v="9.02"/>
        <n v="14.87"/>
        <n v="5.26"/>
        <n v="8.74"/>
        <n v="3.93"/>
        <n v="8.5299999999999994"/>
        <n v="3.86"/>
        <n v="8.16"/>
        <n v="6.12"/>
        <n v="10.18"/>
        <n v="8.82"/>
        <n v="8.61"/>
        <n v="9.2100000000000009"/>
        <n v="13.33"/>
        <n v="7.17"/>
        <n v="8.11"/>
        <n v="10.8"/>
        <n v="12.45"/>
        <n v="6.84"/>
        <n v="9.94"/>
        <n v="12.69"/>
        <n v="13.79"/>
        <n v="8.98"/>
        <n v="7.16"/>
        <n v="9.61"/>
        <n v="12.28"/>
        <n v="12.06"/>
        <n v="13.81"/>
        <n v="19.670000000000002"/>
        <n v="16.579999999999998"/>
        <n v="11.09"/>
        <n v="8.58"/>
        <n v="18.59"/>
        <n v="12.44"/>
        <n v="18.82"/>
        <n v="16.11"/>
        <n v="15.19"/>
        <n v="11.26"/>
        <n v="10.57"/>
        <n v="6.94"/>
        <n v="5.1100000000000003"/>
        <n v="7.12"/>
        <n v="8.2899999999999991"/>
        <n v="7.62"/>
        <n v="6.83"/>
        <n v="6.3"/>
        <n v="5.47"/>
        <n v="2.58"/>
        <n v="8.17"/>
        <n v="12.05"/>
        <n v="5.56"/>
        <n v="8.2100000000000009"/>
        <n v="5.41"/>
        <n v="11.84"/>
        <n v="4.32"/>
        <n v="10.93"/>
        <n v="15.99"/>
        <n v="11.42"/>
        <n v="3.55"/>
        <n v="12.88"/>
        <n v="12.01"/>
        <n v="7.71"/>
        <n v="5.9"/>
        <n v="9.31"/>
        <n v="13.76"/>
        <n v="7.45"/>
        <n v="4.5199999999999996"/>
        <n v="5.58"/>
        <n v="6.68"/>
        <n v="15.46"/>
        <n v="15.01"/>
        <n v="11.56"/>
        <n v="6.98"/>
        <n v="6.23"/>
        <n v="10.130000000000001"/>
        <n v="16.18"/>
        <n v="15.61"/>
        <n v="11.78"/>
        <n v="15.68"/>
        <n v="14.6"/>
        <n v="8.84"/>
        <n v="11.15"/>
        <n v="9.01"/>
        <n v="8.27"/>
        <n v="6.85"/>
        <n v="12.77"/>
        <n v="11.76"/>
        <n v="17.920000000000002"/>
        <n v="20.329999999999998"/>
        <n v="15.48"/>
        <n v="5.17"/>
        <n v="5.31"/>
        <n v="8.56"/>
        <n v="10.61"/>
        <n v="11.21"/>
        <n v="5.05"/>
        <n v="9.77"/>
        <n v="12.24"/>
        <n v="8.89"/>
        <n v="8.8699999999999992"/>
        <n v="10.41"/>
        <n v="6.01"/>
        <n v="12.64"/>
        <n v="6.05"/>
        <n v="5.87"/>
        <n v="7.57"/>
        <n v="12.42"/>
        <n v="4.79"/>
        <n v="9.99"/>
        <n v="7.75"/>
        <n v="6.36"/>
        <n v="6.92"/>
        <n v="7.81"/>
        <n v="10.19"/>
        <n v="11.31"/>
        <n v="9.86"/>
        <n v="12.34"/>
        <n v="8.69"/>
        <n v="5.67"/>
        <n v="6.93"/>
        <n v="19.62"/>
        <n v="13.18"/>
        <n v="13.08"/>
        <n v="13.31"/>
        <n v="5.71"/>
        <n v="4.07"/>
        <n v="11.77"/>
        <n v="5.79"/>
        <n v="14.16"/>
        <n v="17.899999999999999"/>
        <n v="4.17"/>
        <n v="6.42"/>
        <n v="10.58"/>
        <n v="10.36"/>
        <n v="10.029999999999999"/>
        <n v="8.19"/>
        <n v="14.98"/>
        <n v="15.83"/>
        <n v="5.85"/>
        <n v="18.32"/>
        <n v="12.99"/>
        <n v="13.93"/>
        <n v="13"/>
        <n v="11.19"/>
        <n v="7.86"/>
        <n v="9.17"/>
        <n v="8.23"/>
        <n v="9.76"/>
        <n v="18.7"/>
        <n v="8.35"/>
        <n v="19.850000000000001"/>
        <n v="3.92"/>
        <n v="3.79"/>
        <n v="4.82"/>
        <n v="6.19"/>
        <n v="3.7"/>
        <n v="5.62"/>
        <n v="2.41"/>
        <n v="4.55"/>
        <n v="6.55"/>
        <n v="3.99"/>
        <n v="5.44"/>
        <n v="6.21"/>
        <n v="4.28"/>
        <n v="7.26"/>
        <n v="14.25"/>
        <n v="15.1"/>
        <n v="10.73"/>
        <n v="6"/>
        <n v="4.6900000000000004"/>
        <n v="9.58"/>
        <n v="12.1"/>
        <n v="15.47"/>
        <n v="6.34"/>
        <n v="5.65"/>
        <n v="15.97"/>
        <n v="17.02"/>
        <n v="8.1199999999999992"/>
        <n v="12.53"/>
        <n v="3.66"/>
        <n v="6.38"/>
        <n v="6.66"/>
        <n v="4.2300000000000004"/>
        <n v="14.38"/>
        <n v="14.8"/>
        <n v="6.9"/>
        <n v="13.54"/>
        <n v="6.22"/>
        <n v="7.19"/>
        <n v="12.12"/>
        <n v="10.210000000000001"/>
        <n v="8.42"/>
        <n v="10.039999999999999"/>
        <n v="7.07"/>
        <n v="17.59"/>
        <n v="11.38"/>
        <n v="15.9"/>
        <n v="13.39"/>
        <n v="13.9"/>
        <n v="22.18"/>
        <n v="12.54"/>
        <n v="11.95"/>
        <n v="6.95"/>
        <n v="14.4"/>
        <n v="8.14"/>
        <n v="4.33"/>
        <n v="8.0500000000000007"/>
        <n v="5.15"/>
        <n v="5.66"/>
        <n v="8.91"/>
        <n v="12.57"/>
        <n v="8.06"/>
        <n v="3.74"/>
        <n v="4.41"/>
        <n v="11.69"/>
        <n v="9.4"/>
        <n v="7.52"/>
        <n v="3.17"/>
        <n v="3.73"/>
        <n v="4.75"/>
        <n v="8.1999999999999993"/>
        <n v="7.2"/>
        <n v="7.04"/>
        <n v="9.7100000000000009"/>
        <n v="9.83"/>
        <n v="3.52"/>
        <n v="7.27"/>
        <n v="6.63"/>
        <n v="7.06"/>
        <n v="5.63"/>
        <n v="6.61"/>
        <n v="5.45"/>
        <n v="10.62"/>
        <n v="9.7799999999999994"/>
        <n v="15.59"/>
        <n v="7.83"/>
        <n v="5.88"/>
        <n v="10.69"/>
        <n v="11.85"/>
        <n v="9.5"/>
        <n v="17.91"/>
        <n v="10.3"/>
        <n v="10.81"/>
        <n v="19.940000000000001"/>
        <n v="8.32"/>
        <n v="15.6"/>
        <n v="6.91"/>
        <n v="9.23"/>
        <n v="17.25"/>
        <n v="11.97"/>
        <n v="11.87"/>
        <n v="6.43"/>
        <n v="11.5"/>
        <n v="12.17"/>
        <n v="7.76"/>
        <n v="5.32"/>
        <n v="18.309999999999999"/>
        <n v="16.38"/>
        <n v="8.51"/>
        <n v="3.26"/>
        <n v="4.2"/>
        <n v="4.57"/>
        <n v="5.98"/>
        <n v="4.37"/>
        <n v="5.96"/>
        <n v="11.83"/>
        <n v="5.77"/>
        <n v="7.56"/>
        <n v="2.96"/>
        <n v="10.63"/>
        <n v="7.84"/>
        <n v="9.2899999999999991"/>
        <n v="12.85"/>
        <n v="12.49"/>
        <n v="3.2"/>
        <n v="10.84"/>
        <n v="6.89"/>
        <n v="7.46"/>
        <n v="8.7799999999999994"/>
        <n v="4.62"/>
        <n v="13.57"/>
        <n v="3.29"/>
        <n v="9.5299999999999994"/>
        <n v="20.88"/>
        <n v="17.36"/>
        <n v="12.33"/>
        <n v="7.33"/>
        <n v="5.68"/>
        <n v="5.52"/>
        <n v="8.07"/>
        <n v="6.08"/>
        <n v="7.6"/>
        <n v="14.02"/>
        <n v="13.94"/>
        <n v="12.41"/>
        <n v="5.35"/>
        <n v="5.75"/>
        <n v="12.5"/>
        <n v="8.24"/>
        <n v="13.4"/>
        <n v="10.39"/>
        <n v="12.91"/>
        <n v="9.14"/>
        <n v="4.4000000000000004"/>
        <n v="13.66"/>
        <n v="6.62"/>
        <n v="6.03"/>
        <n v="7.77"/>
        <n v="14.11"/>
        <n v="6.28"/>
        <n v="13.13"/>
        <n v="15.93"/>
        <n v="7.96"/>
        <n v="17.04"/>
        <n v="14.2"/>
        <n v="17.29"/>
        <n v="13.53"/>
        <n v="13.02"/>
        <n v="10.96"/>
        <n v="11.94"/>
        <n v="16.850000000000001"/>
        <n v="8.67"/>
        <n v="11.44"/>
        <n v="20.52"/>
        <n v="14.76"/>
        <n v="4.49"/>
        <n v="4.7"/>
        <n v="4.99"/>
        <n v="8.0299999999999994"/>
        <n v="5.81"/>
        <n v="4.5999999999999996"/>
        <n v="8.3699999999999992"/>
        <n v="9.9700000000000006"/>
        <n v="6.8"/>
        <n v="12.51"/>
        <n v="14.47"/>
        <n v="18.100000000000001"/>
        <n v="7.39"/>
        <n v="10.01"/>
        <n v="14.22"/>
        <n v="15.28"/>
        <n v="7.3"/>
        <n v="12.87"/>
        <n v="16.02"/>
        <n v="17.079999999999998"/>
        <n v="16.93"/>
        <n v="11.16"/>
        <n v="12.74"/>
        <n v="1.85"/>
        <n v="4.12"/>
        <n v="7.88"/>
        <n v="4.54"/>
        <n v="2.3199999999999998"/>
        <n v="9.6199999999999992"/>
        <n v="8.5"/>
        <n v="8.8800000000000008"/>
        <n v="9.92"/>
        <n v="2.79"/>
        <n v="10.76"/>
        <n v="8.64"/>
        <n v="13.46"/>
        <n v="13.17"/>
        <n v="9.19"/>
        <n v="6.73"/>
        <n v="11.75"/>
        <n v="8.36"/>
        <n v="12.23"/>
        <n v="11.88"/>
        <n v="9.65"/>
        <n v="12.78"/>
        <n v="4.43"/>
        <n v="6.51"/>
        <n v="7.44"/>
        <n v="6.58"/>
        <n v="12.81"/>
        <n v="6.74"/>
        <n v="6.44"/>
        <n v="5.64"/>
        <n v="11.24"/>
        <n v="9.57"/>
        <n v="10.25"/>
        <n v="7.74"/>
        <n v="13.14"/>
        <n v="4.03"/>
        <n v="7.11"/>
        <n v="12.47"/>
        <n v="13.26"/>
        <n v="13.21"/>
        <n v="7.14"/>
        <n v="7.49"/>
        <n v="11.63"/>
        <n v="15.44"/>
        <n v="8.34"/>
        <n v="15"/>
        <n v="15.21"/>
        <n v="14.94"/>
        <n v="11.45"/>
        <n v="15.51"/>
        <n v="10.38"/>
        <n v="12.19"/>
        <n v="4.91"/>
        <n v="14.9"/>
        <n v="16.8"/>
        <n v="12.09"/>
        <n v="14.86"/>
        <n v="4.9800000000000004"/>
        <n v="5.3"/>
        <n v="4.04"/>
        <n v="6.4"/>
        <n v="8.09"/>
        <n v="7.13"/>
        <n v="5.08"/>
        <n v="5.6"/>
        <n v="9.35"/>
        <n v="17.190000000000001"/>
        <n v="13.04"/>
        <n v="19.95"/>
        <n v="15.49"/>
        <n v="11.66"/>
        <n v="5.92"/>
        <n v="13.28"/>
        <n v="9.06"/>
        <n v="16.96"/>
        <n v="10.26"/>
        <n v="11.03"/>
        <n v="4"/>
        <n v="8.57"/>
        <n v="10"/>
        <n v="2.76"/>
        <n v="3.49"/>
        <n v="5.04"/>
        <n v="10.49"/>
        <n v="5.46"/>
        <n v="9.3000000000000007"/>
        <n v="4.26"/>
        <n v="4.3"/>
        <n v="11.43"/>
        <n v="16.239999999999998"/>
        <n v="6.86"/>
        <n v="7.63"/>
        <n v="12.55"/>
        <n v="16.62"/>
        <n v="14.07"/>
        <n v="14.56"/>
        <n v="11.33"/>
        <n v="5.42"/>
        <n v="15.05"/>
        <n v="8.99"/>
        <n v="3.09"/>
        <n v="11.51"/>
        <n v="7.64"/>
        <n v="4.1100000000000003"/>
        <n v="2.75"/>
        <n v="11.14"/>
        <n v="5.43"/>
        <n v="10.35"/>
        <n v="11.74"/>
        <n v="13.68"/>
        <n v="10.23"/>
        <n v="11.52"/>
        <n v="16.309999999999999"/>
        <n v="10.65"/>
        <n v="5.55"/>
        <n v="12.32"/>
        <n v="8.5399999999999991"/>
        <n v="15.18"/>
        <n v="14.52"/>
        <n v="12.35"/>
        <n v="14.73"/>
        <n v="5.86"/>
        <n v="11.71"/>
        <n v="8.81"/>
        <n v="19.64"/>
        <n v="13.62"/>
        <n v="9.75"/>
        <n v="16.059999999999999"/>
        <n v="13.09"/>
        <n v="10.050000000000001"/>
        <n v="2.16"/>
        <n v="7.55"/>
        <n v="6.27"/>
        <n v="9.4700000000000006"/>
        <n v="7.02"/>
        <n v="10.91"/>
        <n v="12.96"/>
        <n v="12.46"/>
        <n v="5.93"/>
        <n v="16.399999999999999"/>
        <n v="10.94"/>
        <n v="18.55"/>
        <n v="17.850000000000001"/>
        <n v="15.29"/>
        <n v="8.59"/>
        <n v="19.22"/>
        <n v="18.28"/>
        <n v="6.25"/>
        <n v="6.29"/>
        <n v="2.77"/>
        <n v="7.68"/>
        <n v="3.12"/>
        <n v="8.73"/>
        <n v="10.32"/>
        <n v="4.45"/>
        <n v="9.7899999999999991"/>
        <n v="9.6999999999999993"/>
        <n v="10.87"/>
        <n v="7.29"/>
        <n v="12.27"/>
        <n v="7.34"/>
        <n v="16.670000000000002"/>
        <n v="17.52"/>
        <n v="9.91"/>
        <n v="5.18"/>
        <n v="9.34"/>
        <n v="18.09"/>
        <n v="17.14"/>
        <n v="14.65"/>
        <n v="16.079999999999998"/>
        <n v="11.82"/>
        <n v="12.82"/>
        <n v="14.69"/>
        <n v="3.32"/>
        <n v="5.99"/>
        <n v="4.21"/>
        <n v="5.39"/>
        <n v="14.83"/>
        <n v="19.170000000000002"/>
        <n v="6.69"/>
        <n v="6.07"/>
        <n v="5.48"/>
        <n v="11.57"/>
        <n v="14.78"/>
        <n v="13.22"/>
        <n v="14"/>
        <n v="10.82"/>
      </sharedItems>
    </cacheField>
    <cacheField name="mês" numFmtId="0">
      <sharedItems count="12">
        <s v="outubro"/>
        <s v="novembro"/>
        <s v="dezembro"/>
        <s v="janeiro"/>
        <s v="fevereiro"/>
        <s v="março"/>
        <s v="abril"/>
        <s v="maio"/>
        <s v="junho"/>
        <s v="julho"/>
        <s v="agosto"/>
        <s v="setembro"/>
      </sharedItems>
    </cacheField>
    <cacheField name="ano" numFmtId="0">
      <sharedItems containsSemiMixedTypes="0" containsString="0" containsNumber="1" containsInteger="1" minValue="2023" maxValue="2026" count="4">
        <n v="2023"/>
        <n v="2024"/>
        <n v="2025"/>
        <n v="2026"/>
      </sharedItems>
    </cacheField>
    <cacheField name="dias_desde_ultima data" numFmtId="0">
      <sharedItems containsMixedTypes="1" containsNumber="1" containsInteger="1" minValue="42" maxValue="63"/>
    </cacheField>
    <cacheField name="flag_avaria_erro" numFmtId="0">
      <sharedItems/>
    </cacheField>
    <cacheField name="Meses" numFmtId="0" databaseField="0">
      <fieldGroup base="0">
        <rangePr groupBy="months" startDate="2023-10-01T00:00:00" endDate="2026-10-01T00:00:00"/>
        <groupItems count="14">
          <s v="&lt;01/10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10/2026"/>
        </groupItems>
      </fieldGroup>
    </cacheField>
    <cacheField name="Trimestres" numFmtId="0" databaseField="0">
      <fieldGroup base="11">
        <rangePr groupBy="quarters" startDate="2023-09-16T00:00:00" endDate="2026-08-20T00:00:00"/>
        <groupItems count="6">
          <s v="&lt;16/09/2023"/>
          <s v="Trim1"/>
          <s v="Trim2"/>
          <s v="Trim3"/>
          <s v="Trim4"/>
          <s v="&gt;20/08/2026"/>
        </groupItems>
      </fieldGroup>
    </cacheField>
    <cacheField name="Anos" numFmtId="0" databaseField="0">
      <fieldGroup base="11">
        <rangePr groupBy="years" startDate="2023-09-16T00:00:00" endDate="2026-08-20T00:00:00"/>
        <groupItems count="6">
          <s v="&lt;16/09/2023"/>
          <s v="2023"/>
          <s v="2024"/>
          <s v="2025"/>
          <s v="2026"/>
          <s v="&gt;20/08/2026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count="1792">
  <r>
    <x v="0"/>
    <x v="0"/>
    <x v="0"/>
    <n v="2362"/>
    <x v="0"/>
    <n v="5.5899999999999998E-2"/>
    <n v="42.24"/>
    <n v="3"/>
    <n v="126"/>
    <n v="3"/>
    <n v="132"/>
    <x v="0"/>
    <x v="0"/>
    <x v="0"/>
    <x v="0"/>
    <x v="0"/>
    <s v=""/>
    <s v="Nao"/>
  </r>
  <r>
    <x v="1"/>
    <x v="1"/>
    <x v="1"/>
    <n v="2400"/>
    <x v="1"/>
    <n v="6.2899999999999998E-2"/>
    <n v="48.32"/>
    <n v="5"/>
    <n v="144"/>
    <n v="2"/>
    <n v="151"/>
    <x v="0"/>
    <x v="1"/>
    <x v="1"/>
    <x v="0"/>
    <x v="0"/>
    <s v=""/>
    <s v="Nao"/>
  </r>
  <r>
    <x v="1"/>
    <x v="2"/>
    <x v="2"/>
    <n v="3163"/>
    <x v="2"/>
    <n v="7.1099999999999997E-2"/>
    <n v="72"/>
    <n v="8"/>
    <n v="214"/>
    <n v="3"/>
    <n v="225"/>
    <x v="0"/>
    <x v="1"/>
    <x v="2"/>
    <x v="0"/>
    <x v="0"/>
    <s v=""/>
    <s v="Nao"/>
  </r>
  <r>
    <x v="2"/>
    <x v="1"/>
    <x v="1"/>
    <n v="2821"/>
    <x v="3"/>
    <n v="5.3199999999999997E-2"/>
    <n v="48"/>
    <n v="7"/>
    <n v="141"/>
    <n v="2"/>
    <n v="150"/>
    <x v="0"/>
    <x v="2"/>
    <x v="3"/>
    <x v="0"/>
    <x v="0"/>
    <s v=""/>
    <s v="Nao"/>
  </r>
  <r>
    <x v="3"/>
    <x v="3"/>
    <x v="3"/>
    <n v="3379"/>
    <x v="4"/>
    <n v="7.5499999999999998E-2"/>
    <n v="71.400000000000006"/>
    <n v="17"/>
    <n v="235"/>
    <n v="3"/>
    <n v="255"/>
    <x v="0"/>
    <x v="3"/>
    <x v="4"/>
    <x v="0"/>
    <x v="0"/>
    <s v=""/>
    <s v="Nao"/>
  </r>
  <r>
    <x v="3"/>
    <x v="4"/>
    <x v="4"/>
    <n v="2137"/>
    <x v="5"/>
    <n v="5.8500000000000003E-2"/>
    <n v="43.75"/>
    <n v="4"/>
    <n v="117"/>
    <n v="4"/>
    <n v="125"/>
    <x v="0"/>
    <x v="3"/>
    <x v="5"/>
    <x v="0"/>
    <x v="0"/>
    <s v=""/>
    <s v="Nao"/>
  </r>
  <r>
    <x v="4"/>
    <x v="5"/>
    <x v="5"/>
    <n v="2980"/>
    <x v="6"/>
    <n v="6.3799999999999996E-2"/>
    <n v="64.599999999999994"/>
    <n v="8"/>
    <n v="180"/>
    <n v="2"/>
    <n v="190"/>
    <x v="0"/>
    <x v="4"/>
    <x v="6"/>
    <x v="0"/>
    <x v="0"/>
    <s v=""/>
    <s v="Nao"/>
  </r>
  <r>
    <x v="4"/>
    <x v="6"/>
    <x v="6"/>
    <n v="3888"/>
    <x v="7"/>
    <n v="6.6600000000000006E-2"/>
    <n v="90.65"/>
    <n v="7"/>
    <n v="247"/>
    <n v="5"/>
    <n v="259"/>
    <x v="0"/>
    <x v="4"/>
    <x v="7"/>
    <x v="0"/>
    <x v="0"/>
    <s v=""/>
    <s v="Nao"/>
  </r>
  <r>
    <x v="5"/>
    <x v="6"/>
    <x v="6"/>
    <n v="3551"/>
    <x v="8"/>
    <n v="6.8099999999999994E-2"/>
    <n v="84.7"/>
    <n v="11"/>
    <n v="227"/>
    <n v="4"/>
    <n v="242"/>
    <x v="0"/>
    <x v="5"/>
    <x v="8"/>
    <x v="0"/>
    <x v="0"/>
    <s v=""/>
    <s v="Nao"/>
  </r>
  <r>
    <x v="6"/>
    <x v="7"/>
    <x v="7"/>
    <n v="2828"/>
    <x v="9"/>
    <n v="8.77E-2"/>
    <n v="74.400000000000006"/>
    <n v="72"/>
    <n v="170"/>
    <n v="6"/>
    <n v="248"/>
    <x v="0"/>
    <x v="6"/>
    <x v="9"/>
    <x v="0"/>
    <x v="0"/>
    <s v=""/>
    <s v="Nao"/>
  </r>
  <r>
    <x v="6"/>
    <x v="8"/>
    <x v="8"/>
    <n v="2006"/>
    <x v="10"/>
    <n v="8.8700000000000001E-2"/>
    <n v="56.96"/>
    <n v="15"/>
    <n v="159"/>
    <n v="4"/>
    <n v="178"/>
    <x v="0"/>
    <x v="6"/>
    <x v="10"/>
    <x v="0"/>
    <x v="0"/>
    <s v=""/>
    <s v="Nao"/>
  </r>
  <r>
    <x v="7"/>
    <x v="9"/>
    <x v="9"/>
    <n v="3557"/>
    <x v="11"/>
    <n v="7.0800000000000002E-2"/>
    <n v="65.52"/>
    <n v="10"/>
    <n v="237"/>
    <n v="5"/>
    <n v="252"/>
    <x v="0"/>
    <x v="7"/>
    <x v="11"/>
    <x v="0"/>
    <x v="0"/>
    <s v=""/>
    <s v="Nao"/>
  </r>
  <r>
    <x v="8"/>
    <x v="5"/>
    <x v="5"/>
    <n v="2983"/>
    <x v="12"/>
    <n v="7.7399999999999997E-2"/>
    <n v="78.540000000000006"/>
    <n v="10"/>
    <n v="217"/>
    <n v="4"/>
    <n v="231"/>
    <x v="0"/>
    <x v="8"/>
    <x v="12"/>
    <x v="0"/>
    <x v="0"/>
    <s v=""/>
    <s v="Nao"/>
  </r>
  <r>
    <x v="9"/>
    <x v="10"/>
    <x v="10"/>
    <n v="2851"/>
    <x v="13"/>
    <n v="9.3299999999999994E-2"/>
    <n v="85.12"/>
    <n v="29"/>
    <n v="230"/>
    <n v="7"/>
    <n v="266"/>
    <x v="0"/>
    <x v="9"/>
    <x v="13"/>
    <x v="0"/>
    <x v="0"/>
    <s v=""/>
    <s v="Nao"/>
  </r>
  <r>
    <x v="10"/>
    <x v="6"/>
    <x v="6"/>
    <n v="3296"/>
    <x v="14"/>
    <n v="5.5800000000000002E-2"/>
    <n v="64.400000000000006"/>
    <n v="8"/>
    <n v="171"/>
    <n v="5"/>
    <n v="184"/>
    <x v="0"/>
    <x v="10"/>
    <x v="14"/>
    <x v="0"/>
    <x v="0"/>
    <s v=""/>
    <s v="Nao"/>
  </r>
  <r>
    <x v="11"/>
    <x v="6"/>
    <x v="6"/>
    <n v="2509"/>
    <x v="15"/>
    <n v="6.0600000000000001E-2"/>
    <n v="53.2"/>
    <n v="9"/>
    <n v="141"/>
    <n v="2"/>
    <n v="152"/>
    <x v="0"/>
    <x v="11"/>
    <x v="15"/>
    <x v="0"/>
    <x v="0"/>
    <s v=""/>
    <s v="Nao"/>
  </r>
  <r>
    <x v="11"/>
    <x v="7"/>
    <x v="7"/>
    <n v="3057"/>
    <x v="16"/>
    <n v="7.9200000000000007E-2"/>
    <n v="72.599999999999994"/>
    <n v="61"/>
    <n v="173"/>
    <n v="8"/>
    <n v="242"/>
    <x v="0"/>
    <x v="11"/>
    <x v="16"/>
    <x v="0"/>
    <x v="0"/>
    <s v=""/>
    <s v="Nao"/>
  </r>
  <r>
    <x v="12"/>
    <x v="11"/>
    <x v="0"/>
    <n v="2363"/>
    <x v="17"/>
    <n v="5.5899999999999998E-2"/>
    <n v="36.96"/>
    <n v="4"/>
    <n v="125"/>
    <n v="3"/>
    <n v="132"/>
    <x v="0"/>
    <x v="12"/>
    <x v="17"/>
    <x v="0"/>
    <x v="0"/>
    <s v=""/>
    <s v="Nao"/>
  </r>
  <r>
    <x v="13"/>
    <x v="4"/>
    <x v="4"/>
    <n v="2498"/>
    <x v="18"/>
    <n v="6.6100000000000006E-2"/>
    <n v="57.75"/>
    <n v="8"/>
    <n v="152"/>
    <n v="5"/>
    <n v="165"/>
    <x v="0"/>
    <x v="13"/>
    <x v="18"/>
    <x v="0"/>
    <x v="0"/>
    <s v=""/>
    <s v="Nao"/>
  </r>
  <r>
    <x v="14"/>
    <x v="1"/>
    <x v="1"/>
    <n v="2876"/>
    <x v="19"/>
    <n v="9.8699999999999996E-2"/>
    <n v="90.88"/>
    <n v="8"/>
    <n v="272"/>
    <n v="4"/>
    <n v="284"/>
    <x v="0"/>
    <x v="14"/>
    <x v="19"/>
    <x v="0"/>
    <x v="0"/>
    <s v=""/>
    <s v="Nao"/>
  </r>
  <r>
    <x v="15"/>
    <x v="12"/>
    <x v="11"/>
    <n v="1922"/>
    <x v="20"/>
    <n v="9.7299999999999998E-2"/>
    <n v="59.84"/>
    <n v="28"/>
    <n v="156"/>
    <n v="3"/>
    <n v="187"/>
    <x v="0"/>
    <x v="15"/>
    <x v="20"/>
    <x v="0"/>
    <x v="0"/>
    <s v=""/>
    <s v="Nao"/>
  </r>
  <r>
    <x v="15"/>
    <x v="13"/>
    <x v="9"/>
    <n v="3991"/>
    <x v="21"/>
    <n v="7.8899999999999998E-2"/>
    <n v="94.5"/>
    <n v="19"/>
    <n v="292"/>
    <n v="4"/>
    <n v="315"/>
    <x v="0"/>
    <x v="15"/>
    <x v="21"/>
    <x v="0"/>
    <x v="0"/>
    <s v=""/>
    <s v="Nao"/>
  </r>
  <r>
    <x v="16"/>
    <x v="9"/>
    <x v="9"/>
    <n v="3755"/>
    <x v="22"/>
    <n v="7.8799999999999995E-2"/>
    <n v="76.959999999999994"/>
    <n v="13"/>
    <n v="279"/>
    <n v="4"/>
    <n v="296"/>
    <x v="0"/>
    <x v="16"/>
    <x v="22"/>
    <x v="0"/>
    <x v="0"/>
    <s v=""/>
    <s v="Nao"/>
  </r>
  <r>
    <x v="17"/>
    <x v="6"/>
    <x v="6"/>
    <n v="4185"/>
    <x v="23"/>
    <n v="6.5000000000000002E-2"/>
    <n v="95.2"/>
    <n v="8"/>
    <n v="257"/>
    <n v="7"/>
    <n v="272"/>
    <x v="0"/>
    <x v="17"/>
    <x v="23"/>
    <x v="0"/>
    <x v="0"/>
    <s v=""/>
    <s v="Nao"/>
  </r>
  <r>
    <x v="17"/>
    <x v="1"/>
    <x v="1"/>
    <n v="3998"/>
    <x v="24"/>
    <n v="9.5299999999999996E-2"/>
    <n v="121.92"/>
    <n v="20"/>
    <n v="350"/>
    <n v="11"/>
    <n v="381"/>
    <x v="0"/>
    <x v="17"/>
    <x v="24"/>
    <x v="0"/>
    <x v="0"/>
    <s v=""/>
    <s v="Nao"/>
  </r>
  <r>
    <x v="18"/>
    <x v="11"/>
    <x v="0"/>
    <n v="3849"/>
    <x v="25"/>
    <n v="6.6500000000000004E-2"/>
    <n v="71.680000000000007"/>
    <n v="6"/>
    <n v="245"/>
    <n v="5"/>
    <n v="256"/>
    <x v="0"/>
    <x v="18"/>
    <x v="25"/>
    <x v="0"/>
    <x v="0"/>
    <s v=""/>
    <s v="Nao"/>
  </r>
  <r>
    <x v="18"/>
    <x v="12"/>
    <x v="11"/>
    <n v="3856"/>
    <x v="26"/>
    <n v="0.1022"/>
    <n v="126.08"/>
    <n v="55"/>
    <n v="332"/>
    <n v="7"/>
    <n v="394"/>
    <x v="0"/>
    <x v="18"/>
    <x v="26"/>
    <x v="0"/>
    <x v="0"/>
    <s v=""/>
    <s v="Nao"/>
  </r>
  <r>
    <x v="19"/>
    <x v="9"/>
    <x v="9"/>
    <n v="2386"/>
    <x v="27"/>
    <n v="7.0800000000000002E-2"/>
    <n v="43.94"/>
    <n v="5"/>
    <n v="160"/>
    <n v="4"/>
    <n v="169"/>
    <x v="0"/>
    <x v="19"/>
    <x v="27"/>
    <x v="0"/>
    <x v="0"/>
    <s v=""/>
    <s v="Nao"/>
  </r>
  <r>
    <x v="19"/>
    <x v="0"/>
    <x v="0"/>
    <n v="3296"/>
    <x v="28"/>
    <n v="7.22E-2"/>
    <n v="76.16"/>
    <n v="11"/>
    <n v="224"/>
    <n v="3"/>
    <n v="238"/>
    <x v="0"/>
    <x v="19"/>
    <x v="28"/>
    <x v="0"/>
    <x v="0"/>
    <s v=""/>
    <s v="Nao"/>
  </r>
  <r>
    <x v="20"/>
    <x v="11"/>
    <x v="0"/>
    <n v="2197"/>
    <x v="29"/>
    <n v="5.1900000000000002E-2"/>
    <n v="31.92"/>
    <n v="3"/>
    <n v="108"/>
    <n v="3"/>
    <n v="114"/>
    <x v="0"/>
    <x v="20"/>
    <x v="29"/>
    <x v="0"/>
    <x v="0"/>
    <s v=""/>
    <s v="Nao"/>
  </r>
  <r>
    <x v="20"/>
    <x v="6"/>
    <x v="6"/>
    <n v="3018"/>
    <x v="30"/>
    <n v="7.9500000000000001E-2"/>
    <n v="84"/>
    <n v="13"/>
    <n v="223"/>
    <n v="4"/>
    <n v="240"/>
    <x v="0"/>
    <x v="20"/>
    <x v="30"/>
    <x v="0"/>
    <x v="0"/>
    <s v=""/>
    <s v="Nao"/>
  </r>
  <r>
    <x v="21"/>
    <x v="14"/>
    <x v="12"/>
    <n v="4077"/>
    <x v="31"/>
    <n v="0.10199999999999999"/>
    <n v="124.8"/>
    <n v="127"/>
    <n v="277"/>
    <n v="12"/>
    <n v="416"/>
    <x v="0"/>
    <x v="21"/>
    <x v="31"/>
    <x v="0"/>
    <x v="0"/>
    <s v=""/>
    <s v="Nao"/>
  </r>
  <r>
    <x v="22"/>
    <x v="0"/>
    <x v="0"/>
    <n v="4131"/>
    <x v="32"/>
    <n v="8.1299999999999997E-2"/>
    <n v="107.52"/>
    <n v="15"/>
    <n v="314"/>
    <n v="7"/>
    <n v="336"/>
    <x v="0"/>
    <x v="22"/>
    <x v="32"/>
    <x v="0"/>
    <x v="0"/>
    <s v=""/>
    <s v="Nao"/>
  </r>
  <r>
    <x v="22"/>
    <x v="11"/>
    <x v="0"/>
    <n v="1816"/>
    <x v="33"/>
    <n v="6.9900000000000004E-2"/>
    <n v="35.56"/>
    <n v="6"/>
    <n v="119"/>
    <n v="2"/>
    <n v="127"/>
    <x v="0"/>
    <x v="22"/>
    <x v="33"/>
    <x v="0"/>
    <x v="0"/>
    <s v=""/>
    <s v="Nao"/>
  </r>
  <r>
    <x v="23"/>
    <x v="10"/>
    <x v="10"/>
    <n v="3568"/>
    <x v="34"/>
    <n v="9.5299999999999996E-2"/>
    <n v="108.8"/>
    <n v="41"/>
    <n v="289"/>
    <n v="10"/>
    <n v="340"/>
    <x v="0"/>
    <x v="23"/>
    <x v="34"/>
    <x v="0"/>
    <x v="0"/>
    <s v=""/>
    <s v="Nao"/>
  </r>
  <r>
    <x v="23"/>
    <x v="9"/>
    <x v="9"/>
    <n v="1990"/>
    <x v="35"/>
    <n v="8.7900000000000006E-2"/>
    <n v="45.5"/>
    <n v="11"/>
    <n v="161"/>
    <n v="3"/>
    <n v="175"/>
    <x v="0"/>
    <x v="23"/>
    <x v="35"/>
    <x v="0"/>
    <x v="0"/>
    <s v=""/>
    <s v="Nao"/>
  </r>
  <r>
    <x v="24"/>
    <x v="1"/>
    <x v="1"/>
    <n v="3616"/>
    <x v="36"/>
    <n v="9.35E-2"/>
    <n v="108.16"/>
    <n v="24"/>
    <n v="309"/>
    <n v="5"/>
    <n v="338"/>
    <x v="0"/>
    <x v="24"/>
    <x v="36"/>
    <x v="0"/>
    <x v="0"/>
    <s v=""/>
    <s v="Nao"/>
  </r>
  <r>
    <x v="24"/>
    <x v="13"/>
    <x v="9"/>
    <n v="3486"/>
    <x v="37"/>
    <n v="8.9200000000000002E-2"/>
    <n v="93.3"/>
    <n v="11"/>
    <n v="291"/>
    <n v="9"/>
    <n v="311"/>
    <x v="0"/>
    <x v="24"/>
    <x v="37"/>
    <x v="0"/>
    <x v="0"/>
    <s v=""/>
    <s v="Nao"/>
  </r>
  <r>
    <x v="25"/>
    <x v="11"/>
    <x v="0"/>
    <n v="2045"/>
    <x v="38"/>
    <n v="5.4800000000000001E-2"/>
    <n v="31.36"/>
    <n v="3"/>
    <n v="106"/>
    <n v="3"/>
    <n v="112"/>
    <x v="0"/>
    <x v="25"/>
    <x v="38"/>
    <x v="0"/>
    <x v="0"/>
    <s v=""/>
    <s v="Nao"/>
  </r>
  <r>
    <x v="25"/>
    <x v="5"/>
    <x v="5"/>
    <n v="3329"/>
    <x v="39"/>
    <n v="6.6100000000000006E-2"/>
    <n v="74.8"/>
    <n v="63"/>
    <n v="45"/>
    <n v="112"/>
    <n v="220"/>
    <x v="0"/>
    <x v="25"/>
    <x v="39"/>
    <x v="0"/>
    <x v="0"/>
    <s v=""/>
    <s v="Sim"/>
  </r>
  <r>
    <x v="26"/>
    <x v="0"/>
    <x v="0"/>
    <n v="2199"/>
    <x v="40"/>
    <n v="7.6899999999999996E-2"/>
    <n v="54.08"/>
    <n v="7"/>
    <n v="159"/>
    <n v="3"/>
    <n v="169"/>
    <x v="0"/>
    <x v="26"/>
    <x v="40"/>
    <x v="0"/>
    <x v="0"/>
    <s v=""/>
    <s v="Nao"/>
  </r>
  <r>
    <x v="27"/>
    <x v="0"/>
    <x v="0"/>
    <n v="2948"/>
    <x v="41"/>
    <n v="7.2900000000000006E-2"/>
    <n v="68.8"/>
    <n v="7"/>
    <n v="205"/>
    <n v="3"/>
    <n v="215"/>
    <x v="0"/>
    <x v="27"/>
    <x v="41"/>
    <x v="0"/>
    <x v="0"/>
    <s v=""/>
    <s v="Nao"/>
  </r>
  <r>
    <x v="28"/>
    <x v="13"/>
    <x v="9"/>
    <n v="2877"/>
    <x v="42"/>
    <n v="7.5800000000000006E-2"/>
    <n v="65.400000000000006"/>
    <n v="11"/>
    <n v="201"/>
    <n v="6"/>
    <n v="218"/>
    <x v="0"/>
    <x v="28"/>
    <x v="42"/>
    <x v="0"/>
    <x v="0"/>
    <s v=""/>
    <s v="Nao"/>
  </r>
  <r>
    <x v="29"/>
    <x v="14"/>
    <x v="12"/>
    <n v="2676"/>
    <x v="43"/>
    <n v="9.3799999999999994E-2"/>
    <n v="75.3"/>
    <n v="59"/>
    <n v="184"/>
    <n v="8"/>
    <n v="251"/>
    <x v="0"/>
    <x v="29"/>
    <x v="43"/>
    <x v="0"/>
    <x v="0"/>
    <s v=""/>
    <s v="Nao"/>
  </r>
  <r>
    <x v="29"/>
    <x v="4"/>
    <x v="4"/>
    <n v="2068"/>
    <x v="44"/>
    <n v="7.7399999999999997E-2"/>
    <n v="56"/>
    <n v="6"/>
    <n v="152"/>
    <n v="2"/>
    <n v="160"/>
    <x v="0"/>
    <x v="29"/>
    <x v="44"/>
    <x v="0"/>
    <x v="0"/>
    <s v=""/>
    <s v="Nao"/>
  </r>
  <r>
    <x v="30"/>
    <x v="0"/>
    <x v="0"/>
    <n v="2950"/>
    <x v="45"/>
    <n v="7.46E-2"/>
    <n v="70.400000000000006"/>
    <n v="12"/>
    <n v="205"/>
    <n v="3"/>
    <n v="220"/>
    <x v="0"/>
    <x v="30"/>
    <x v="45"/>
    <x v="0"/>
    <x v="0"/>
    <s v=""/>
    <s v="Nao"/>
  </r>
  <r>
    <x v="31"/>
    <x v="1"/>
    <x v="1"/>
    <n v="2919"/>
    <x v="46"/>
    <n v="0.10589999999999999"/>
    <n v="98.88"/>
    <n v="14"/>
    <n v="286"/>
    <n v="9"/>
    <n v="309"/>
    <x v="0"/>
    <x v="31"/>
    <x v="46"/>
    <x v="1"/>
    <x v="0"/>
    <s v=""/>
    <s v="Nao"/>
  </r>
  <r>
    <x v="32"/>
    <x v="13"/>
    <x v="9"/>
    <n v="2380"/>
    <x v="47"/>
    <n v="0.10340000000000001"/>
    <n v="73.8"/>
    <n v="13"/>
    <n v="229"/>
    <n v="4"/>
    <n v="246"/>
    <x v="0"/>
    <x v="32"/>
    <x v="47"/>
    <x v="1"/>
    <x v="0"/>
    <s v=""/>
    <s v="Nao"/>
  </r>
  <r>
    <x v="32"/>
    <x v="7"/>
    <x v="7"/>
    <n v="2796"/>
    <x v="48"/>
    <n v="8.8700000000000001E-2"/>
    <n v="74.400000000000006"/>
    <n v="48"/>
    <n v="195"/>
    <n v="5"/>
    <n v="248"/>
    <x v="0"/>
    <x v="32"/>
    <x v="9"/>
    <x v="1"/>
    <x v="0"/>
    <s v=""/>
    <s v="Nao"/>
  </r>
  <r>
    <x v="33"/>
    <x v="2"/>
    <x v="2"/>
    <n v="3027"/>
    <x v="49"/>
    <n v="8.1900000000000001E-2"/>
    <n v="79.36"/>
    <n v="102"/>
    <n v="12"/>
    <n v="134"/>
    <n v="248"/>
    <x v="0"/>
    <x v="33"/>
    <x v="48"/>
    <x v="1"/>
    <x v="0"/>
    <s v=""/>
    <s v="Sim"/>
  </r>
  <r>
    <x v="33"/>
    <x v="9"/>
    <x v="9"/>
    <n v="3112"/>
    <x v="50"/>
    <n v="0.11409999999999999"/>
    <n v="92.3"/>
    <n v="5"/>
    <n v="340"/>
    <n v="10"/>
    <n v="355"/>
    <x v="0"/>
    <x v="33"/>
    <x v="49"/>
    <x v="1"/>
    <x v="0"/>
    <s v=""/>
    <s v="Nao"/>
  </r>
  <r>
    <x v="34"/>
    <x v="3"/>
    <x v="3"/>
    <n v="3431"/>
    <x v="51"/>
    <n v="8.8900000000000007E-2"/>
    <n v="85.4"/>
    <n v="13"/>
    <n v="288"/>
    <n v="4"/>
    <n v="305"/>
    <x v="0"/>
    <x v="34"/>
    <x v="50"/>
    <x v="1"/>
    <x v="0"/>
    <s v=""/>
    <s v="Nao"/>
  </r>
  <r>
    <x v="35"/>
    <x v="6"/>
    <x v="6"/>
    <n v="4105"/>
    <x v="52"/>
    <n v="8.43E-2"/>
    <n v="121.1"/>
    <n v="15"/>
    <n v="325"/>
    <n v="6"/>
    <n v="346"/>
    <x v="0"/>
    <x v="35"/>
    <x v="51"/>
    <x v="1"/>
    <x v="0"/>
    <n v="50"/>
    <s v="Nao"/>
  </r>
  <r>
    <x v="36"/>
    <x v="11"/>
    <x v="0"/>
    <n v="2756"/>
    <x v="53"/>
    <n v="3.1199999999999999E-2"/>
    <n v="24.08"/>
    <n v="2"/>
    <n v="82"/>
    <n v="2"/>
    <n v="86"/>
    <x v="1"/>
    <x v="36"/>
    <x v="52"/>
    <x v="1"/>
    <x v="0"/>
    <s v=""/>
    <s v="Nao"/>
  </r>
  <r>
    <x v="36"/>
    <x v="11"/>
    <x v="0"/>
    <n v="2991"/>
    <x v="54"/>
    <n v="3.0099999999999998E-2"/>
    <n v="25.2"/>
    <n v="3"/>
    <n v="86"/>
    <n v="1"/>
    <n v="90"/>
    <x v="1"/>
    <x v="36"/>
    <x v="53"/>
    <x v="1"/>
    <x v="0"/>
    <s v=""/>
    <s v="Nao"/>
  </r>
  <r>
    <x v="37"/>
    <x v="8"/>
    <x v="8"/>
    <n v="2625"/>
    <x v="55"/>
    <n v="7.8100000000000003E-2"/>
    <n v="65.599999999999994"/>
    <n v="25"/>
    <n v="174"/>
    <n v="6"/>
    <n v="205"/>
    <x v="1"/>
    <x v="37"/>
    <x v="54"/>
    <x v="1"/>
    <x v="0"/>
    <s v=""/>
    <s v="Nao"/>
  </r>
  <r>
    <x v="37"/>
    <x v="9"/>
    <x v="9"/>
    <n v="2528"/>
    <x v="56"/>
    <n v="4.7500000000000001E-2"/>
    <n v="31.2"/>
    <n v="3"/>
    <n v="114"/>
    <n v="3"/>
    <n v="120"/>
    <x v="1"/>
    <x v="37"/>
    <x v="55"/>
    <x v="1"/>
    <x v="0"/>
    <s v=""/>
    <s v="Nao"/>
  </r>
  <r>
    <x v="38"/>
    <x v="9"/>
    <x v="9"/>
    <n v="2777"/>
    <x v="57"/>
    <n v="6.3399999999999998E-2"/>
    <n v="45.76"/>
    <n v="6"/>
    <n v="165"/>
    <n v="5"/>
    <n v="176"/>
    <x v="1"/>
    <x v="38"/>
    <x v="56"/>
    <x v="1"/>
    <x v="0"/>
    <s v=""/>
    <s v="Nao"/>
  </r>
  <r>
    <x v="38"/>
    <x v="2"/>
    <x v="2"/>
    <n v="3348"/>
    <x v="58"/>
    <n v="4.2999999999999997E-2"/>
    <n v="46.08"/>
    <n v="6"/>
    <n v="135"/>
    <n v="3"/>
    <n v="144"/>
    <x v="1"/>
    <x v="38"/>
    <x v="57"/>
    <x v="1"/>
    <x v="0"/>
    <s v=""/>
    <s v="Nao"/>
  </r>
  <r>
    <x v="39"/>
    <x v="5"/>
    <x v="5"/>
    <n v="2498"/>
    <x v="59"/>
    <n v="5.2400000000000002E-2"/>
    <n v="44.54"/>
    <n v="7"/>
    <n v="120"/>
    <n v="4"/>
    <n v="131"/>
    <x v="1"/>
    <x v="39"/>
    <x v="58"/>
    <x v="1"/>
    <x v="0"/>
    <s v=""/>
    <s v="Nao"/>
  </r>
  <r>
    <x v="40"/>
    <x v="8"/>
    <x v="8"/>
    <n v="3619"/>
    <x v="60"/>
    <n v="9.7500000000000003E-2"/>
    <n v="112.96"/>
    <n v="35"/>
    <n v="312"/>
    <n v="6"/>
    <n v="353"/>
    <x v="1"/>
    <x v="40"/>
    <x v="59"/>
    <x v="1"/>
    <x v="0"/>
    <s v=""/>
    <s v="Nao"/>
  </r>
  <r>
    <x v="40"/>
    <x v="12"/>
    <x v="11"/>
    <n v="3292"/>
    <x v="61"/>
    <n v="7.9000000000000001E-2"/>
    <n v="83.2"/>
    <n v="35"/>
    <n v="218"/>
    <n v="7"/>
    <n v="260"/>
    <x v="1"/>
    <x v="40"/>
    <x v="60"/>
    <x v="1"/>
    <x v="0"/>
    <s v=""/>
    <s v="Nao"/>
  </r>
  <r>
    <x v="41"/>
    <x v="3"/>
    <x v="3"/>
    <n v="3009"/>
    <x v="62"/>
    <n v="5.7799999999999997E-2"/>
    <n v="48.72"/>
    <n v="5"/>
    <n v="166"/>
    <n v="3"/>
    <n v="174"/>
    <x v="1"/>
    <x v="41"/>
    <x v="61"/>
    <x v="1"/>
    <x v="0"/>
    <s v=""/>
    <s v="Nao"/>
  </r>
  <r>
    <x v="42"/>
    <x v="10"/>
    <x v="10"/>
    <n v="2753"/>
    <x v="63"/>
    <n v="6.3200000000000006E-2"/>
    <n v="55.68"/>
    <n v="15"/>
    <n v="157"/>
    <n v="2"/>
    <n v="174"/>
    <x v="1"/>
    <x v="42"/>
    <x v="62"/>
    <x v="1"/>
    <x v="0"/>
    <s v=""/>
    <s v="Nao"/>
  </r>
  <r>
    <x v="43"/>
    <x v="3"/>
    <x v="3"/>
    <n v="3216"/>
    <x v="64"/>
    <n v="6.4399999999999999E-2"/>
    <n v="57.96"/>
    <n v="12"/>
    <n v="189"/>
    <n v="6"/>
    <n v="207"/>
    <x v="1"/>
    <x v="43"/>
    <x v="63"/>
    <x v="1"/>
    <x v="0"/>
    <s v=""/>
    <s v="Nao"/>
  </r>
  <r>
    <x v="43"/>
    <x v="5"/>
    <x v="5"/>
    <n v="3656"/>
    <x v="65"/>
    <n v="5.6599999999999998E-2"/>
    <n v="70.38"/>
    <n v="10"/>
    <n v="191"/>
    <n v="6"/>
    <n v="207"/>
    <x v="1"/>
    <x v="43"/>
    <x v="64"/>
    <x v="1"/>
    <x v="0"/>
    <s v=""/>
    <s v="Nao"/>
  </r>
  <r>
    <x v="44"/>
    <x v="9"/>
    <x v="9"/>
    <n v="3610"/>
    <x v="66"/>
    <n v="6.2899999999999998E-2"/>
    <n v="59.02"/>
    <n v="7"/>
    <n v="217"/>
    <n v="3"/>
    <n v="227"/>
    <x v="1"/>
    <x v="44"/>
    <x v="65"/>
    <x v="1"/>
    <x v="0"/>
    <s v=""/>
    <s v="Nao"/>
  </r>
  <r>
    <x v="44"/>
    <x v="7"/>
    <x v="7"/>
    <n v="1972"/>
    <x v="67"/>
    <n v="7.4499999999999997E-2"/>
    <n v="44.1"/>
    <n v="38"/>
    <n v="40"/>
    <n v="69"/>
    <n v="147"/>
    <x v="1"/>
    <x v="44"/>
    <x v="66"/>
    <x v="1"/>
    <x v="0"/>
    <s v=""/>
    <s v="Sim"/>
  </r>
  <r>
    <x v="45"/>
    <x v="5"/>
    <x v="5"/>
    <n v="2694"/>
    <x v="68"/>
    <n v="6.2399999999999997E-2"/>
    <n v="57.12"/>
    <n v="4"/>
    <n v="161"/>
    <n v="3"/>
    <n v="168"/>
    <x v="1"/>
    <x v="45"/>
    <x v="67"/>
    <x v="1"/>
    <x v="0"/>
    <s v=""/>
    <s v="Nao"/>
  </r>
  <r>
    <x v="46"/>
    <x v="4"/>
    <x v="4"/>
    <n v="2728"/>
    <x v="69"/>
    <n v="5.79E-2"/>
    <n v="55.3"/>
    <n v="5"/>
    <n v="151"/>
    <n v="2"/>
    <n v="158"/>
    <x v="1"/>
    <x v="46"/>
    <x v="68"/>
    <x v="1"/>
    <x v="0"/>
    <s v=""/>
    <s v="Nao"/>
  </r>
  <r>
    <x v="47"/>
    <x v="5"/>
    <x v="5"/>
    <n v="2614"/>
    <x v="70"/>
    <n v="5.1999999999999998E-2"/>
    <n v="46.24"/>
    <n v="9"/>
    <n v="124"/>
    <n v="3"/>
    <n v="136"/>
    <x v="1"/>
    <x v="47"/>
    <x v="69"/>
    <x v="1"/>
    <x v="0"/>
    <s v=""/>
    <s v="Nao"/>
  </r>
  <r>
    <x v="47"/>
    <x v="9"/>
    <x v="9"/>
    <n v="3894"/>
    <x v="71"/>
    <n v="7.1900000000000006E-2"/>
    <n v="72.8"/>
    <n v="10"/>
    <n v="265"/>
    <n v="5"/>
    <n v="280"/>
    <x v="1"/>
    <x v="47"/>
    <x v="70"/>
    <x v="1"/>
    <x v="0"/>
    <s v=""/>
    <s v="Nao"/>
  </r>
  <r>
    <x v="48"/>
    <x v="14"/>
    <x v="12"/>
    <n v="2270"/>
    <x v="72"/>
    <n v="8.5000000000000006E-2"/>
    <n v="57.9"/>
    <n v="39"/>
    <n v="149"/>
    <n v="5"/>
    <n v="193"/>
    <x v="1"/>
    <x v="48"/>
    <x v="71"/>
    <x v="1"/>
    <x v="0"/>
    <s v=""/>
    <s v="Nao"/>
  </r>
  <r>
    <x v="48"/>
    <x v="3"/>
    <x v="3"/>
    <n v="2339"/>
    <x v="73"/>
    <n v="5.4699999999999999E-2"/>
    <n v="35.840000000000003"/>
    <n v="1"/>
    <n v="123"/>
    <n v="4"/>
    <n v="128"/>
    <x v="1"/>
    <x v="48"/>
    <x v="72"/>
    <x v="1"/>
    <x v="0"/>
    <s v=""/>
    <s v="Nao"/>
  </r>
  <r>
    <x v="49"/>
    <x v="11"/>
    <x v="0"/>
    <n v="3024"/>
    <x v="74"/>
    <n v="5.5199999999999999E-2"/>
    <n v="46.76"/>
    <n v="9"/>
    <n v="153"/>
    <n v="5"/>
    <n v="167"/>
    <x v="1"/>
    <x v="49"/>
    <x v="73"/>
    <x v="1"/>
    <x v="0"/>
    <s v=""/>
    <s v="Nao"/>
  </r>
  <r>
    <x v="49"/>
    <x v="5"/>
    <x v="5"/>
    <n v="2189"/>
    <x v="75"/>
    <n v="4.7100000000000003E-2"/>
    <n v="35.020000000000003"/>
    <n v="4"/>
    <n v="97"/>
    <n v="2"/>
    <n v="103"/>
    <x v="1"/>
    <x v="49"/>
    <x v="74"/>
    <x v="1"/>
    <x v="0"/>
    <s v=""/>
    <s v="Nao"/>
  </r>
  <r>
    <x v="50"/>
    <x v="4"/>
    <x v="4"/>
    <n v="2597"/>
    <x v="76"/>
    <n v="5.28E-2"/>
    <n v="47.95"/>
    <n v="4"/>
    <n v="131"/>
    <n v="2"/>
    <n v="137"/>
    <x v="1"/>
    <x v="50"/>
    <x v="75"/>
    <x v="1"/>
    <x v="0"/>
    <s v=""/>
    <s v="Nao"/>
  </r>
  <r>
    <x v="50"/>
    <x v="2"/>
    <x v="2"/>
    <n v="1862"/>
    <x v="77"/>
    <n v="5.91E-2"/>
    <n v="35.200000000000003"/>
    <n v="3"/>
    <n v="105"/>
    <n v="2"/>
    <n v="110"/>
    <x v="1"/>
    <x v="50"/>
    <x v="76"/>
    <x v="1"/>
    <x v="0"/>
    <s v=""/>
    <s v="Nao"/>
  </r>
  <r>
    <x v="51"/>
    <x v="8"/>
    <x v="8"/>
    <n v="2310"/>
    <x v="78"/>
    <n v="8.6599999999999996E-2"/>
    <n v="64"/>
    <n v="27"/>
    <n v="167"/>
    <n v="6"/>
    <n v="200"/>
    <x v="1"/>
    <x v="0"/>
    <x v="44"/>
    <x v="1"/>
    <x v="0"/>
    <s v=""/>
    <s v="Nao"/>
  </r>
  <r>
    <x v="52"/>
    <x v="2"/>
    <x v="2"/>
    <n v="2513"/>
    <x v="79"/>
    <n v="6.2899999999999998E-2"/>
    <n v="50.56"/>
    <n v="9"/>
    <n v="146"/>
    <n v="3"/>
    <n v="158"/>
    <x v="1"/>
    <x v="1"/>
    <x v="77"/>
    <x v="1"/>
    <x v="0"/>
    <s v=""/>
    <s v="Nao"/>
  </r>
  <r>
    <x v="52"/>
    <x v="0"/>
    <x v="0"/>
    <n v="3848"/>
    <x v="80"/>
    <n v="5.67E-2"/>
    <n v="69.760000000000005"/>
    <n v="7"/>
    <n v="206"/>
    <n v="5"/>
    <n v="218"/>
    <x v="1"/>
    <x v="1"/>
    <x v="78"/>
    <x v="1"/>
    <x v="0"/>
    <s v=""/>
    <s v="Nao"/>
  </r>
  <r>
    <x v="53"/>
    <x v="4"/>
    <x v="4"/>
    <n v="3374"/>
    <x v="81"/>
    <n v="6.1400000000000003E-2"/>
    <n v="72.45"/>
    <n v="8"/>
    <n v="194"/>
    <n v="5"/>
    <n v="207"/>
    <x v="1"/>
    <x v="2"/>
    <x v="79"/>
    <x v="1"/>
    <x v="0"/>
    <s v=""/>
    <s v="Nao"/>
  </r>
  <r>
    <x v="54"/>
    <x v="10"/>
    <x v="10"/>
    <n v="3784"/>
    <x v="82"/>
    <n v="0.1007"/>
    <n v="121.92"/>
    <n v="41"/>
    <n v="335"/>
    <n v="5"/>
    <n v="381"/>
    <x v="1"/>
    <x v="3"/>
    <x v="24"/>
    <x v="1"/>
    <x v="0"/>
    <s v=""/>
    <s v="Nao"/>
  </r>
  <r>
    <x v="54"/>
    <x v="13"/>
    <x v="9"/>
    <n v="3052"/>
    <x v="83"/>
    <n v="9.2399999999999996E-2"/>
    <n v="84.6"/>
    <n v="11"/>
    <n v="267"/>
    <n v="4"/>
    <n v="282"/>
    <x v="1"/>
    <x v="3"/>
    <x v="49"/>
    <x v="1"/>
    <x v="0"/>
    <s v=""/>
    <s v="Nao"/>
  </r>
  <r>
    <x v="55"/>
    <x v="10"/>
    <x v="10"/>
    <n v="3129"/>
    <x v="84"/>
    <n v="6.3600000000000004E-2"/>
    <n v="63.68"/>
    <n v="29"/>
    <n v="167"/>
    <n v="3"/>
    <n v="199"/>
    <x v="1"/>
    <x v="4"/>
    <x v="80"/>
    <x v="1"/>
    <x v="0"/>
    <s v=""/>
    <s v="Nao"/>
  </r>
  <r>
    <x v="56"/>
    <x v="4"/>
    <x v="4"/>
    <n v="3158"/>
    <x v="85"/>
    <n v="7.3099999999999998E-2"/>
    <n v="80.849999999999994"/>
    <n v="8"/>
    <n v="217"/>
    <n v="6"/>
    <n v="231"/>
    <x v="1"/>
    <x v="5"/>
    <x v="81"/>
    <x v="1"/>
    <x v="0"/>
    <s v=""/>
    <s v="Nao"/>
  </r>
  <r>
    <x v="56"/>
    <x v="2"/>
    <x v="2"/>
    <n v="2596"/>
    <x v="86"/>
    <n v="4.9700000000000001E-2"/>
    <n v="41.28"/>
    <n v="2"/>
    <n v="124"/>
    <n v="3"/>
    <n v="129"/>
    <x v="1"/>
    <x v="5"/>
    <x v="82"/>
    <x v="1"/>
    <x v="0"/>
    <s v=""/>
    <s v="Nao"/>
  </r>
  <r>
    <x v="57"/>
    <x v="12"/>
    <x v="11"/>
    <n v="1842"/>
    <x v="87"/>
    <n v="8.2000000000000003E-2"/>
    <n v="48.32"/>
    <n v="13"/>
    <n v="136"/>
    <n v="2"/>
    <n v="151"/>
    <x v="1"/>
    <x v="6"/>
    <x v="1"/>
    <x v="1"/>
    <x v="0"/>
    <s v=""/>
    <s v="Nao"/>
  </r>
  <r>
    <x v="58"/>
    <x v="13"/>
    <x v="9"/>
    <n v="3794"/>
    <x v="88"/>
    <n v="8.2000000000000003E-2"/>
    <n v="93.3"/>
    <n v="14"/>
    <n v="288"/>
    <n v="9"/>
    <n v="311"/>
    <x v="1"/>
    <x v="7"/>
    <x v="37"/>
    <x v="1"/>
    <x v="0"/>
    <s v=""/>
    <s v="Nao"/>
  </r>
  <r>
    <x v="59"/>
    <x v="5"/>
    <x v="5"/>
    <n v="2471"/>
    <x v="89"/>
    <n v="5.1799999999999999E-2"/>
    <n v="43.52"/>
    <n v="9"/>
    <n v="118"/>
    <n v="1"/>
    <n v="128"/>
    <x v="1"/>
    <x v="8"/>
    <x v="83"/>
    <x v="1"/>
    <x v="0"/>
    <s v=""/>
    <s v="Nao"/>
  </r>
  <r>
    <x v="59"/>
    <x v="2"/>
    <x v="2"/>
    <n v="3289"/>
    <x v="90"/>
    <n v="6.1100000000000002E-2"/>
    <n v="64.319999999999993"/>
    <n v="13"/>
    <n v="184"/>
    <n v="4"/>
    <n v="201"/>
    <x v="1"/>
    <x v="8"/>
    <x v="84"/>
    <x v="1"/>
    <x v="0"/>
    <s v=""/>
    <s v="Nao"/>
  </r>
  <r>
    <x v="60"/>
    <x v="1"/>
    <x v="1"/>
    <n v="3768"/>
    <x v="91"/>
    <n v="6.4500000000000002E-2"/>
    <n v="77.760000000000005"/>
    <n v="10"/>
    <n v="230"/>
    <n v="3"/>
    <n v="243"/>
    <x v="1"/>
    <x v="9"/>
    <x v="85"/>
    <x v="1"/>
    <x v="0"/>
    <s v=""/>
    <s v="Nao"/>
  </r>
  <r>
    <x v="61"/>
    <x v="8"/>
    <x v="8"/>
    <n v="4061"/>
    <x v="92"/>
    <n v="0.10440000000000001"/>
    <n v="135.68"/>
    <n v="39"/>
    <n v="379"/>
    <n v="6"/>
    <n v="424"/>
    <x v="1"/>
    <x v="10"/>
    <x v="86"/>
    <x v="2"/>
    <x v="0"/>
    <s v=""/>
    <s v="Nao"/>
  </r>
  <r>
    <x v="61"/>
    <x v="13"/>
    <x v="9"/>
    <n v="1855"/>
    <x v="93"/>
    <n v="7.4399999999999994E-2"/>
    <n v="41.4"/>
    <n v="6"/>
    <n v="130"/>
    <n v="2"/>
    <n v="138"/>
    <x v="1"/>
    <x v="10"/>
    <x v="87"/>
    <x v="2"/>
    <x v="0"/>
    <s v=""/>
    <s v="Nao"/>
  </r>
  <r>
    <x v="62"/>
    <x v="5"/>
    <x v="5"/>
    <n v="2325"/>
    <x v="94"/>
    <n v="7.2300000000000003E-2"/>
    <n v="57.12"/>
    <n v="10"/>
    <n v="153"/>
    <n v="5"/>
    <n v="168"/>
    <x v="1"/>
    <x v="11"/>
    <x v="67"/>
    <x v="2"/>
    <x v="0"/>
    <s v=""/>
    <s v="Nao"/>
  </r>
  <r>
    <x v="62"/>
    <x v="14"/>
    <x v="12"/>
    <n v="3706"/>
    <x v="95"/>
    <n v="7.9299999999999995E-2"/>
    <n v="88.2"/>
    <n v="64"/>
    <n v="224"/>
    <n v="6"/>
    <n v="294"/>
    <x v="1"/>
    <x v="11"/>
    <x v="88"/>
    <x v="2"/>
    <x v="0"/>
    <s v=""/>
    <s v="Nao"/>
  </r>
  <r>
    <x v="63"/>
    <x v="8"/>
    <x v="8"/>
    <n v="3096"/>
    <x v="96"/>
    <n v="9.11E-2"/>
    <n v="90.24"/>
    <n v="40"/>
    <n v="236"/>
    <n v="6"/>
    <n v="282"/>
    <x v="1"/>
    <x v="12"/>
    <x v="89"/>
    <x v="2"/>
    <x v="0"/>
    <s v=""/>
    <s v="Nao"/>
  </r>
  <r>
    <x v="64"/>
    <x v="7"/>
    <x v="7"/>
    <n v="2032"/>
    <x v="97"/>
    <n v="6.5500000000000003E-2"/>
    <n v="39.9"/>
    <n v="26"/>
    <n v="104"/>
    <n v="3"/>
    <n v="133"/>
    <x v="1"/>
    <x v="13"/>
    <x v="90"/>
    <x v="2"/>
    <x v="0"/>
    <s v=""/>
    <s v="Nao"/>
  </r>
  <r>
    <x v="64"/>
    <x v="1"/>
    <x v="1"/>
    <n v="2422"/>
    <x v="98"/>
    <n v="6.9000000000000006E-2"/>
    <n v="53.44"/>
    <n v="10"/>
    <n v="154"/>
    <n v="3"/>
    <n v="167"/>
    <x v="1"/>
    <x v="13"/>
    <x v="91"/>
    <x v="2"/>
    <x v="0"/>
    <s v=""/>
    <s v="Nao"/>
  </r>
  <r>
    <x v="65"/>
    <x v="1"/>
    <x v="1"/>
    <n v="3775"/>
    <x v="99"/>
    <n v="9.01E-2"/>
    <n v="108.8"/>
    <n v="15"/>
    <n v="315"/>
    <n v="10"/>
    <n v="340"/>
    <x v="1"/>
    <x v="14"/>
    <x v="34"/>
    <x v="2"/>
    <x v="0"/>
    <s v=""/>
    <s v="Nao"/>
  </r>
  <r>
    <x v="65"/>
    <x v="2"/>
    <x v="2"/>
    <n v="4124"/>
    <x v="100"/>
    <n v="6.9599999999999995E-2"/>
    <n v="91.84"/>
    <n v="18"/>
    <n v="264"/>
    <n v="5"/>
    <n v="287"/>
    <x v="1"/>
    <x v="14"/>
    <x v="92"/>
    <x v="2"/>
    <x v="0"/>
    <s v=""/>
    <s v="Nao"/>
  </r>
  <r>
    <x v="66"/>
    <x v="6"/>
    <x v="6"/>
    <n v="2960"/>
    <x v="101"/>
    <n v="6.08E-2"/>
    <n v="63"/>
    <n v="8"/>
    <n v="169"/>
    <n v="3"/>
    <n v="180"/>
    <x v="1"/>
    <x v="15"/>
    <x v="93"/>
    <x v="2"/>
    <x v="0"/>
    <s v=""/>
    <s v="Nao"/>
  </r>
  <r>
    <x v="67"/>
    <x v="13"/>
    <x v="9"/>
    <n v="1805"/>
    <x v="102"/>
    <n v="8.9800000000000005E-2"/>
    <n v="48.6"/>
    <n v="6"/>
    <n v="154"/>
    <n v="2"/>
    <n v="162"/>
    <x v="1"/>
    <x v="16"/>
    <x v="94"/>
    <x v="2"/>
    <x v="0"/>
    <s v=""/>
    <s v="Nao"/>
  </r>
  <r>
    <x v="67"/>
    <x v="4"/>
    <x v="4"/>
    <n v="3821"/>
    <x v="103"/>
    <n v="6.7000000000000004E-2"/>
    <n v="89.6"/>
    <n v="6"/>
    <n v="245"/>
    <n v="5"/>
    <n v="256"/>
    <x v="1"/>
    <x v="16"/>
    <x v="95"/>
    <x v="2"/>
    <x v="0"/>
    <s v=""/>
    <s v="Nao"/>
  </r>
  <r>
    <x v="68"/>
    <x v="7"/>
    <x v="7"/>
    <n v="4020"/>
    <x v="104"/>
    <n v="7.3099999999999998E-2"/>
    <n v="88.2"/>
    <n v="71"/>
    <n v="216"/>
    <n v="7"/>
    <n v="294"/>
    <x v="1"/>
    <x v="17"/>
    <x v="96"/>
    <x v="2"/>
    <x v="0"/>
    <s v=""/>
    <s v="Nao"/>
  </r>
  <r>
    <x v="68"/>
    <x v="11"/>
    <x v="0"/>
    <n v="3987"/>
    <x v="105"/>
    <n v="6.7500000000000004E-2"/>
    <n v="75.319999999999993"/>
    <n v="12"/>
    <n v="253"/>
    <n v="4"/>
    <n v="269"/>
    <x v="1"/>
    <x v="17"/>
    <x v="6"/>
    <x v="2"/>
    <x v="0"/>
    <s v=""/>
    <s v="Nao"/>
  </r>
  <r>
    <x v="69"/>
    <x v="12"/>
    <x v="11"/>
    <n v="3826"/>
    <x v="106"/>
    <n v="7.5300000000000006E-2"/>
    <n v="92.16"/>
    <n v="34"/>
    <n v="248"/>
    <n v="6"/>
    <n v="288"/>
    <x v="1"/>
    <x v="18"/>
    <x v="97"/>
    <x v="2"/>
    <x v="0"/>
    <s v=""/>
    <s v="Nao"/>
  </r>
  <r>
    <x v="69"/>
    <x v="1"/>
    <x v="1"/>
    <n v="3860"/>
    <x v="107"/>
    <n v="8.9899999999999994E-2"/>
    <n v="111.04"/>
    <n v="26"/>
    <n v="317"/>
    <n v="4"/>
    <n v="347"/>
    <x v="1"/>
    <x v="18"/>
    <x v="98"/>
    <x v="2"/>
    <x v="0"/>
    <s v=""/>
    <s v="Nao"/>
  </r>
  <r>
    <x v="70"/>
    <x v="8"/>
    <x v="8"/>
    <n v="3794"/>
    <x v="108"/>
    <n v="0.1273"/>
    <n v="154.56"/>
    <n v="42"/>
    <n v="428"/>
    <n v="13"/>
    <n v="483"/>
    <x v="1"/>
    <x v="19"/>
    <x v="99"/>
    <x v="2"/>
    <x v="0"/>
    <s v=""/>
    <s v="Nao"/>
  </r>
  <r>
    <x v="71"/>
    <x v="1"/>
    <x v="1"/>
    <n v="2133"/>
    <x v="109"/>
    <n v="7.3099999999999998E-2"/>
    <n v="49.92"/>
    <n v="4"/>
    <n v="150"/>
    <n v="2"/>
    <n v="156"/>
    <x v="1"/>
    <x v="20"/>
    <x v="100"/>
    <x v="2"/>
    <x v="0"/>
    <s v=""/>
    <s v="Nao"/>
  </r>
  <r>
    <x v="71"/>
    <x v="7"/>
    <x v="7"/>
    <n v="3370"/>
    <x v="110"/>
    <n v="8.4000000000000005E-2"/>
    <n v="84.9"/>
    <n v="82"/>
    <n v="191"/>
    <n v="10"/>
    <n v="283"/>
    <x v="1"/>
    <x v="20"/>
    <x v="101"/>
    <x v="2"/>
    <x v="0"/>
    <s v=""/>
    <s v="Nao"/>
  </r>
  <r>
    <x v="72"/>
    <x v="10"/>
    <x v="10"/>
    <n v="3114"/>
    <x v="111"/>
    <n v="9.8599999999999993E-2"/>
    <n v="98.24"/>
    <n v="42"/>
    <n v="258"/>
    <n v="7"/>
    <n v="307"/>
    <x v="1"/>
    <x v="21"/>
    <x v="102"/>
    <x v="2"/>
    <x v="0"/>
    <s v=""/>
    <s v="Nao"/>
  </r>
  <r>
    <x v="72"/>
    <x v="3"/>
    <x v="3"/>
    <n v="1931"/>
    <x v="112"/>
    <n v="9.11E-2"/>
    <n v="49.28"/>
    <n v="8"/>
    <n v="164"/>
    <n v="4"/>
    <n v="176"/>
    <x v="1"/>
    <x v="21"/>
    <x v="103"/>
    <x v="2"/>
    <x v="0"/>
    <s v=""/>
    <s v="Nao"/>
  </r>
  <r>
    <x v="73"/>
    <x v="5"/>
    <x v="5"/>
    <n v="3688"/>
    <x v="113"/>
    <n v="5.5899999999999998E-2"/>
    <n v="70.040000000000006"/>
    <n v="10"/>
    <n v="193"/>
    <n v="3"/>
    <n v="206"/>
    <x v="1"/>
    <x v="22"/>
    <x v="104"/>
    <x v="2"/>
    <x v="0"/>
    <s v=""/>
    <s v="Nao"/>
  </r>
  <r>
    <x v="73"/>
    <x v="11"/>
    <x v="0"/>
    <n v="2302"/>
    <x v="114"/>
    <n v="5.8200000000000002E-2"/>
    <n v="37.520000000000003"/>
    <n v="6"/>
    <n v="126"/>
    <n v="2"/>
    <n v="134"/>
    <x v="1"/>
    <x v="22"/>
    <x v="105"/>
    <x v="2"/>
    <x v="0"/>
    <s v=""/>
    <s v="Nao"/>
  </r>
  <r>
    <x v="74"/>
    <x v="7"/>
    <x v="7"/>
    <n v="3271"/>
    <x v="115"/>
    <n v="8.5300000000000001E-2"/>
    <n v="83.7"/>
    <n v="84"/>
    <n v="188"/>
    <n v="7"/>
    <n v="279"/>
    <x v="1"/>
    <x v="23"/>
    <x v="106"/>
    <x v="2"/>
    <x v="0"/>
    <s v=""/>
    <s v="Nao"/>
  </r>
  <r>
    <x v="75"/>
    <x v="12"/>
    <x v="11"/>
    <n v="2219"/>
    <x v="116"/>
    <n v="0.10730000000000001"/>
    <n v="76.16"/>
    <n v="22"/>
    <n v="210"/>
    <n v="6"/>
    <n v="238"/>
    <x v="1"/>
    <x v="24"/>
    <x v="107"/>
    <x v="2"/>
    <x v="0"/>
    <s v=""/>
    <s v="Nao"/>
  </r>
  <r>
    <x v="75"/>
    <x v="2"/>
    <x v="2"/>
    <n v="3458"/>
    <x v="117"/>
    <n v="8.9599999999999999E-2"/>
    <n v="99.2"/>
    <n v="20"/>
    <n v="284"/>
    <n v="6"/>
    <n v="310"/>
    <x v="1"/>
    <x v="24"/>
    <x v="108"/>
    <x v="2"/>
    <x v="0"/>
    <s v=""/>
    <s v="Nao"/>
  </r>
  <r>
    <x v="76"/>
    <x v="5"/>
    <x v="5"/>
    <n v="4063"/>
    <x v="118"/>
    <n v="7.5800000000000006E-2"/>
    <n v="104.72"/>
    <n v="14"/>
    <n v="288"/>
    <n v="6"/>
    <n v="308"/>
    <x v="1"/>
    <x v="25"/>
    <x v="109"/>
    <x v="2"/>
    <x v="0"/>
    <s v=""/>
    <s v="Nao"/>
  </r>
  <r>
    <x v="77"/>
    <x v="12"/>
    <x v="11"/>
    <n v="1894"/>
    <x v="119"/>
    <n v="0.1241"/>
    <n v="75.2"/>
    <n v="28"/>
    <n v="201"/>
    <n v="6"/>
    <n v="235"/>
    <x v="1"/>
    <x v="26"/>
    <x v="110"/>
    <x v="2"/>
    <x v="0"/>
    <s v=""/>
    <s v="Nao"/>
  </r>
  <r>
    <x v="77"/>
    <x v="12"/>
    <x v="11"/>
    <n v="3916"/>
    <x v="120"/>
    <n v="8.7300000000000003E-2"/>
    <n v="109.44"/>
    <n v="34"/>
    <n v="300"/>
    <n v="8"/>
    <n v="342"/>
    <x v="1"/>
    <x v="26"/>
    <x v="111"/>
    <x v="2"/>
    <x v="0"/>
    <s v=""/>
    <s v="Nao"/>
  </r>
  <r>
    <x v="78"/>
    <x v="4"/>
    <x v="4"/>
    <n v="2784"/>
    <x v="121"/>
    <n v="7.0000000000000007E-2"/>
    <n v="68.25"/>
    <n v="6"/>
    <n v="185"/>
    <n v="4"/>
    <n v="195"/>
    <x v="1"/>
    <x v="27"/>
    <x v="112"/>
    <x v="2"/>
    <x v="0"/>
    <s v=""/>
    <s v="Nao"/>
  </r>
  <r>
    <x v="78"/>
    <x v="10"/>
    <x v="10"/>
    <n v="2155"/>
    <x v="122"/>
    <n v="9.4200000000000006E-2"/>
    <n v="64.959999999999994"/>
    <n v="18"/>
    <n v="183"/>
    <n v="2"/>
    <n v="203"/>
    <x v="1"/>
    <x v="27"/>
    <x v="113"/>
    <x v="2"/>
    <x v="0"/>
    <s v=""/>
    <s v="Nao"/>
  </r>
  <r>
    <x v="79"/>
    <x v="12"/>
    <x v="11"/>
    <n v="3230"/>
    <x v="123"/>
    <n v="0.1139"/>
    <n v="117.76"/>
    <n v="35"/>
    <n v="328"/>
    <n v="5"/>
    <n v="368"/>
    <x v="1"/>
    <x v="28"/>
    <x v="114"/>
    <x v="2"/>
    <x v="0"/>
    <s v=""/>
    <s v="Nao"/>
  </r>
  <r>
    <x v="79"/>
    <x v="9"/>
    <x v="9"/>
    <n v="3005"/>
    <x v="12"/>
    <n v="8.4199999999999997E-2"/>
    <n v="65.78"/>
    <n v="14"/>
    <n v="233"/>
    <n v="6"/>
    <n v="253"/>
    <x v="1"/>
    <x v="28"/>
    <x v="115"/>
    <x v="2"/>
    <x v="0"/>
    <s v=""/>
    <s v="Nao"/>
  </r>
  <r>
    <x v="80"/>
    <x v="2"/>
    <x v="2"/>
    <n v="2001"/>
    <x v="124"/>
    <n v="9.6000000000000002E-2"/>
    <n v="61.44"/>
    <n v="14"/>
    <n v="175"/>
    <n v="3"/>
    <n v="192"/>
    <x v="1"/>
    <x v="29"/>
    <x v="25"/>
    <x v="2"/>
    <x v="0"/>
    <s v=""/>
    <s v="Nao"/>
  </r>
  <r>
    <x v="81"/>
    <x v="8"/>
    <x v="8"/>
    <n v="3425"/>
    <x v="125"/>
    <n v="0.1101"/>
    <n v="120.64"/>
    <n v="50"/>
    <n v="320"/>
    <n v="7"/>
    <n v="377"/>
    <x v="1"/>
    <x v="30"/>
    <x v="116"/>
    <x v="2"/>
    <x v="0"/>
    <s v=""/>
    <s v="Nao"/>
  </r>
  <r>
    <x v="82"/>
    <x v="10"/>
    <x v="10"/>
    <n v="2562"/>
    <x v="126"/>
    <n v="0.10970000000000001"/>
    <n v="89.92"/>
    <n v="26"/>
    <n v="249"/>
    <n v="6"/>
    <n v="281"/>
    <x v="1"/>
    <x v="31"/>
    <x v="117"/>
    <x v="2"/>
    <x v="0"/>
    <s v=""/>
    <s v="Nao"/>
  </r>
  <r>
    <x v="83"/>
    <x v="4"/>
    <x v="4"/>
    <n v="2984"/>
    <x v="127"/>
    <n v="9.1800000000000007E-2"/>
    <n v="95.9"/>
    <n v="18"/>
    <n v="250"/>
    <n v="6"/>
    <n v="274"/>
    <x v="1"/>
    <x v="32"/>
    <x v="118"/>
    <x v="2"/>
    <x v="0"/>
    <s v=""/>
    <s v="Nao"/>
  </r>
  <r>
    <x v="83"/>
    <x v="6"/>
    <x v="6"/>
    <n v="2648"/>
    <x v="128"/>
    <n v="6.2700000000000006E-2"/>
    <n v="58.1"/>
    <n v="11"/>
    <n v="152"/>
    <n v="3"/>
    <n v="166"/>
    <x v="1"/>
    <x v="32"/>
    <x v="119"/>
    <x v="2"/>
    <x v="0"/>
    <s v=""/>
    <s v="Nao"/>
  </r>
  <r>
    <x v="84"/>
    <x v="5"/>
    <x v="5"/>
    <n v="3183"/>
    <x v="129"/>
    <n v="0.10780000000000001"/>
    <n v="116.62"/>
    <n v="13"/>
    <n v="325"/>
    <n v="5"/>
    <n v="343"/>
    <x v="1"/>
    <x v="33"/>
    <x v="120"/>
    <x v="2"/>
    <x v="0"/>
    <s v=""/>
    <s v="Nao"/>
  </r>
  <r>
    <x v="85"/>
    <x v="0"/>
    <x v="0"/>
    <n v="4132"/>
    <x v="130"/>
    <n v="8.3500000000000005E-2"/>
    <n v="110.4"/>
    <n v="16"/>
    <n v="320"/>
    <n v="9"/>
    <n v="345"/>
    <x v="1"/>
    <x v="34"/>
    <x v="121"/>
    <x v="2"/>
    <x v="0"/>
    <s v=""/>
    <s v="Nao"/>
  </r>
  <r>
    <x v="85"/>
    <x v="7"/>
    <x v="7"/>
    <n v="3865"/>
    <x v="26"/>
    <n v="0.1043"/>
    <n v="120.9"/>
    <n v="103"/>
    <n v="290"/>
    <n v="10"/>
    <n v="403"/>
    <x v="1"/>
    <x v="34"/>
    <x v="122"/>
    <x v="2"/>
    <x v="0"/>
    <s v=""/>
    <s v="Nao"/>
  </r>
  <r>
    <x v="86"/>
    <x v="7"/>
    <x v="7"/>
    <n v="2630"/>
    <x v="131"/>
    <n v="8.48E-2"/>
    <n v="66.900000000000006"/>
    <n v="50"/>
    <n v="170"/>
    <n v="3"/>
    <n v="223"/>
    <x v="1"/>
    <x v="35"/>
    <x v="123"/>
    <x v="2"/>
    <x v="0"/>
    <s v=""/>
    <s v="Nao"/>
  </r>
  <r>
    <x v="86"/>
    <x v="7"/>
    <x v="7"/>
    <n v="2599"/>
    <x v="132"/>
    <n v="9.9699999999999997E-2"/>
    <n v="77.7"/>
    <n v="76"/>
    <n v="173"/>
    <n v="10"/>
    <n v="259"/>
    <x v="1"/>
    <x v="35"/>
    <x v="124"/>
    <x v="2"/>
    <x v="0"/>
    <s v=""/>
    <s v="Nao"/>
  </r>
  <r>
    <x v="87"/>
    <x v="6"/>
    <x v="6"/>
    <n v="2632"/>
    <x v="133"/>
    <n v="8.1699999999999995E-2"/>
    <n v="75.25"/>
    <n v="14"/>
    <n v="198"/>
    <n v="3"/>
    <n v="215"/>
    <x v="1"/>
    <x v="51"/>
    <x v="43"/>
    <x v="2"/>
    <x v="0"/>
    <s v=""/>
    <s v="Nao"/>
  </r>
  <r>
    <x v="87"/>
    <x v="13"/>
    <x v="9"/>
    <n v="2127"/>
    <x v="134"/>
    <n v="0.10340000000000001"/>
    <n v="66"/>
    <n v="10"/>
    <n v="207"/>
    <n v="3"/>
    <n v="220"/>
    <x v="1"/>
    <x v="51"/>
    <x v="125"/>
    <x v="2"/>
    <x v="0"/>
    <s v=""/>
    <s v="Nao"/>
  </r>
  <r>
    <x v="88"/>
    <x v="4"/>
    <x v="4"/>
    <n v="3111"/>
    <x v="135"/>
    <n v="8.3900000000000002E-2"/>
    <n v="91.35"/>
    <n v="8"/>
    <n v="248"/>
    <n v="5"/>
    <n v="261"/>
    <x v="1"/>
    <x v="52"/>
    <x v="126"/>
    <x v="2"/>
    <x v="0"/>
    <s v=""/>
    <s v="Nao"/>
  </r>
  <r>
    <x v="89"/>
    <x v="2"/>
    <x v="2"/>
    <n v="2709"/>
    <x v="136"/>
    <n v="0.1"/>
    <n v="86.72"/>
    <n v="79"/>
    <n v="91"/>
    <n v="101"/>
    <n v="271"/>
    <x v="1"/>
    <x v="53"/>
    <x v="127"/>
    <x v="2"/>
    <x v="0"/>
    <s v=""/>
    <s v="Sim"/>
  </r>
  <r>
    <x v="89"/>
    <x v="7"/>
    <x v="7"/>
    <n v="2714"/>
    <x v="137"/>
    <n v="9.4E-2"/>
    <n v="76.5"/>
    <n v="61"/>
    <n v="185"/>
    <n v="9"/>
    <n v="255"/>
    <x v="1"/>
    <x v="53"/>
    <x v="128"/>
    <x v="2"/>
    <x v="0"/>
    <s v=""/>
    <s v="Nao"/>
  </r>
  <r>
    <x v="90"/>
    <x v="9"/>
    <x v="9"/>
    <n v="2545"/>
    <x v="138"/>
    <n v="9.35E-2"/>
    <n v="61.88"/>
    <n v="76"/>
    <n v="29"/>
    <n v="133"/>
    <n v="238"/>
    <x v="1"/>
    <x v="54"/>
    <x v="129"/>
    <x v="2"/>
    <x v="0"/>
    <s v=""/>
    <s v="Sim"/>
  </r>
  <r>
    <x v="90"/>
    <x v="0"/>
    <x v="0"/>
    <n v="2704"/>
    <x v="139"/>
    <n v="9.8000000000000004E-2"/>
    <n v="84.8"/>
    <n v="12"/>
    <n v="245"/>
    <n v="8"/>
    <n v="265"/>
    <x v="1"/>
    <x v="54"/>
    <x v="130"/>
    <x v="2"/>
    <x v="0"/>
    <s v=""/>
    <s v="Nao"/>
  </r>
  <r>
    <x v="91"/>
    <x v="4"/>
    <x v="4"/>
    <n v="2392"/>
    <x v="140"/>
    <n v="8.7400000000000005E-2"/>
    <n v="73.150000000000006"/>
    <n v="6"/>
    <n v="199"/>
    <n v="4"/>
    <n v="209"/>
    <x v="1"/>
    <x v="55"/>
    <x v="131"/>
    <x v="2"/>
    <x v="0"/>
    <s v=""/>
    <s v="Nao"/>
  </r>
  <r>
    <x v="91"/>
    <x v="7"/>
    <x v="7"/>
    <n v="2320"/>
    <x v="141"/>
    <n v="0.1099"/>
    <n v="76.5"/>
    <n v="68"/>
    <n v="182"/>
    <n v="5"/>
    <n v="255"/>
    <x v="1"/>
    <x v="55"/>
    <x v="128"/>
    <x v="2"/>
    <x v="0"/>
    <s v=""/>
    <s v="Nao"/>
  </r>
  <r>
    <x v="92"/>
    <x v="12"/>
    <x v="11"/>
    <n v="3851"/>
    <x v="142"/>
    <n v="0.12280000000000001"/>
    <n v="151.36000000000001"/>
    <n v="56"/>
    <n v="405"/>
    <n v="12"/>
    <n v="473"/>
    <x v="1"/>
    <x v="56"/>
    <x v="132"/>
    <x v="3"/>
    <x v="1"/>
    <s v=""/>
    <s v="Nao"/>
  </r>
  <r>
    <x v="93"/>
    <x v="1"/>
    <x v="1"/>
    <n v="3500"/>
    <x v="143"/>
    <n v="0.1091"/>
    <n v="122.24"/>
    <n v="14"/>
    <n v="363"/>
    <n v="5"/>
    <n v="382"/>
    <x v="1"/>
    <x v="57"/>
    <x v="133"/>
    <x v="3"/>
    <x v="1"/>
    <s v=""/>
    <s v="Nao"/>
  </r>
  <r>
    <x v="93"/>
    <x v="3"/>
    <x v="3"/>
    <n v="2141"/>
    <x v="144"/>
    <n v="0.1032"/>
    <n v="61.88"/>
    <n v="10"/>
    <n v="208"/>
    <n v="3"/>
    <n v="221"/>
    <x v="1"/>
    <x v="57"/>
    <x v="134"/>
    <x v="3"/>
    <x v="1"/>
    <s v=""/>
    <s v="Nao"/>
  </r>
  <r>
    <x v="94"/>
    <x v="3"/>
    <x v="3"/>
    <n v="2501"/>
    <x v="145"/>
    <n v="0.11119999999999999"/>
    <n v="77.84"/>
    <n v="20"/>
    <n v="254"/>
    <n v="4"/>
    <n v="278"/>
    <x v="1"/>
    <x v="58"/>
    <x v="135"/>
    <x v="3"/>
    <x v="1"/>
    <s v=""/>
    <s v="Nao"/>
  </r>
  <r>
    <x v="94"/>
    <x v="12"/>
    <x v="11"/>
    <n v="2492"/>
    <x v="146"/>
    <n v="9.9099999999999994E-2"/>
    <n v="79.040000000000006"/>
    <n v="25"/>
    <n v="218"/>
    <n v="4"/>
    <n v="247"/>
    <x v="1"/>
    <x v="58"/>
    <x v="136"/>
    <x v="3"/>
    <x v="1"/>
    <s v=""/>
    <s v="Nao"/>
  </r>
  <r>
    <x v="95"/>
    <x v="6"/>
    <x v="6"/>
    <n v="3050"/>
    <x v="147"/>
    <n v="9.7000000000000003E-2"/>
    <n v="103.6"/>
    <n v="12"/>
    <n v="275"/>
    <n v="9"/>
    <n v="296"/>
    <x v="1"/>
    <x v="59"/>
    <x v="137"/>
    <x v="3"/>
    <x v="1"/>
    <s v=""/>
    <s v="Nao"/>
  </r>
  <r>
    <x v="95"/>
    <x v="14"/>
    <x v="12"/>
    <n v="3916"/>
    <x v="148"/>
    <n v="8.4500000000000006E-2"/>
    <n v="99.3"/>
    <n v="67"/>
    <n v="252"/>
    <n v="12"/>
    <n v="331"/>
    <x v="1"/>
    <x v="59"/>
    <x v="138"/>
    <x v="3"/>
    <x v="1"/>
    <s v=""/>
    <s v="Nao"/>
  </r>
  <r>
    <x v="96"/>
    <x v="12"/>
    <x v="11"/>
    <n v="2164"/>
    <x v="149"/>
    <n v="0.1137"/>
    <n v="78.72"/>
    <n v="30"/>
    <n v="211"/>
    <n v="5"/>
    <n v="246"/>
    <x v="1"/>
    <x v="60"/>
    <x v="130"/>
    <x v="3"/>
    <x v="1"/>
    <s v=""/>
    <s v="Nao"/>
  </r>
  <r>
    <x v="96"/>
    <x v="8"/>
    <x v="8"/>
    <n v="4143"/>
    <x v="150"/>
    <n v="0.1245"/>
    <n v="165.12"/>
    <n v="57"/>
    <n v="451"/>
    <n v="8"/>
    <n v="516"/>
    <x v="1"/>
    <x v="60"/>
    <x v="139"/>
    <x v="3"/>
    <x v="1"/>
    <s v=""/>
    <s v="Nao"/>
  </r>
  <r>
    <x v="97"/>
    <x v="2"/>
    <x v="2"/>
    <n v="1907"/>
    <x v="151"/>
    <n v="0.11849999999999999"/>
    <n v="72.319999999999993"/>
    <n v="12"/>
    <n v="209"/>
    <n v="5"/>
    <n v="226"/>
    <x v="1"/>
    <x v="61"/>
    <x v="135"/>
    <x v="3"/>
    <x v="1"/>
    <s v=""/>
    <s v="Nao"/>
  </r>
  <r>
    <x v="97"/>
    <x v="7"/>
    <x v="7"/>
    <n v="3436"/>
    <x v="152"/>
    <n v="9.0499999999999997E-2"/>
    <n v="93.3"/>
    <n v="94"/>
    <n v="207"/>
    <n v="10"/>
    <n v="311"/>
    <x v="1"/>
    <x v="61"/>
    <x v="140"/>
    <x v="3"/>
    <x v="1"/>
    <s v=""/>
    <s v="Nao"/>
  </r>
  <r>
    <x v="98"/>
    <x v="6"/>
    <x v="6"/>
    <n v="3308"/>
    <x v="153"/>
    <n v="9.1300000000000006E-2"/>
    <n v="105.7"/>
    <n v="9"/>
    <n v="288"/>
    <n v="5"/>
    <n v="302"/>
    <x v="1"/>
    <x v="62"/>
    <x v="141"/>
    <x v="3"/>
    <x v="1"/>
    <s v=""/>
    <s v="Nao"/>
  </r>
  <r>
    <x v="98"/>
    <x v="8"/>
    <x v="8"/>
    <n v="3091"/>
    <x v="154"/>
    <n v="0.13100000000000001"/>
    <n v="129.6"/>
    <n v="49"/>
    <n v="345"/>
    <n v="11"/>
    <n v="405"/>
    <x v="1"/>
    <x v="62"/>
    <x v="142"/>
    <x v="3"/>
    <x v="1"/>
    <s v=""/>
    <s v="Nao"/>
  </r>
  <r>
    <x v="99"/>
    <x v="2"/>
    <x v="2"/>
    <n v="1936"/>
    <x v="155"/>
    <n v="0.1043"/>
    <n v="64.64"/>
    <n v="13"/>
    <n v="185"/>
    <n v="4"/>
    <n v="202"/>
    <x v="1"/>
    <x v="63"/>
    <x v="143"/>
    <x v="3"/>
    <x v="1"/>
    <n v="63"/>
    <s v="Nao"/>
  </r>
  <r>
    <x v="100"/>
    <x v="13"/>
    <x v="9"/>
    <n v="2789"/>
    <x v="156"/>
    <n v="5.9200000000000003E-2"/>
    <n v="49.5"/>
    <n v="6"/>
    <n v="155"/>
    <n v="4"/>
    <n v="165"/>
    <x v="2"/>
    <x v="36"/>
    <x v="144"/>
    <x v="3"/>
    <x v="1"/>
    <s v=""/>
    <s v="Nao"/>
  </r>
  <r>
    <x v="100"/>
    <x v="4"/>
    <x v="4"/>
    <n v="4035"/>
    <x v="157"/>
    <n v="3.5400000000000001E-2"/>
    <n v="50.05"/>
    <n v="4"/>
    <n v="136"/>
    <n v="3"/>
    <n v="143"/>
    <x v="2"/>
    <x v="36"/>
    <x v="70"/>
    <x v="3"/>
    <x v="1"/>
    <s v=""/>
    <s v="Nao"/>
  </r>
  <r>
    <x v="101"/>
    <x v="6"/>
    <x v="6"/>
    <n v="2163"/>
    <x v="158"/>
    <n v="5.5899999999999998E-2"/>
    <n v="42.35"/>
    <n v="4"/>
    <n v="114"/>
    <n v="3"/>
    <n v="121"/>
    <x v="2"/>
    <x v="37"/>
    <x v="145"/>
    <x v="3"/>
    <x v="1"/>
    <s v=""/>
    <s v="Nao"/>
  </r>
  <r>
    <x v="101"/>
    <x v="11"/>
    <x v="0"/>
    <n v="1815"/>
    <x v="159"/>
    <n v="3.9100000000000003E-2"/>
    <n v="19.88"/>
    <n v="2"/>
    <n v="68"/>
    <n v="1"/>
    <n v="71"/>
    <x v="2"/>
    <x v="37"/>
    <x v="146"/>
    <x v="3"/>
    <x v="1"/>
    <s v=""/>
    <s v="Nao"/>
  </r>
  <r>
    <x v="102"/>
    <x v="1"/>
    <x v="1"/>
    <n v="2050"/>
    <x v="160"/>
    <n v="5.2699999999999997E-2"/>
    <n v="34.56"/>
    <n v="2"/>
    <n v="103"/>
    <n v="3"/>
    <n v="108"/>
    <x v="2"/>
    <x v="38"/>
    <x v="147"/>
    <x v="3"/>
    <x v="1"/>
    <s v=""/>
    <s v="Nao"/>
  </r>
  <r>
    <x v="102"/>
    <x v="9"/>
    <x v="9"/>
    <n v="1828"/>
    <x v="161"/>
    <n v="6.5100000000000005E-2"/>
    <n v="30.94"/>
    <n v="6"/>
    <n v="111"/>
    <n v="2"/>
    <n v="119"/>
    <x v="2"/>
    <x v="38"/>
    <x v="148"/>
    <x v="3"/>
    <x v="1"/>
    <s v=""/>
    <s v="Nao"/>
  </r>
  <r>
    <x v="103"/>
    <x v="4"/>
    <x v="4"/>
    <n v="3571"/>
    <x v="162"/>
    <n v="2.7699999999999999E-2"/>
    <n v="34.65"/>
    <n v="7"/>
    <n v="91"/>
    <n v="1"/>
    <n v="99"/>
    <x v="2"/>
    <x v="39"/>
    <x v="149"/>
    <x v="3"/>
    <x v="1"/>
    <s v=""/>
    <s v="Nao"/>
  </r>
  <r>
    <x v="103"/>
    <x v="0"/>
    <x v="0"/>
    <n v="2175"/>
    <x v="163"/>
    <n v="2.7099999999999999E-2"/>
    <n v="18.88"/>
    <n v="3"/>
    <n v="55"/>
    <n v="1"/>
    <n v="59"/>
    <x v="2"/>
    <x v="39"/>
    <x v="150"/>
    <x v="3"/>
    <x v="1"/>
    <s v=""/>
    <s v="Nao"/>
  </r>
  <r>
    <x v="104"/>
    <x v="11"/>
    <x v="0"/>
    <n v="3798"/>
    <x v="164"/>
    <n v="2.5000000000000001E-2"/>
    <n v="26.6"/>
    <n v="5"/>
    <n v="87"/>
    <n v="3"/>
    <n v="95"/>
    <x v="2"/>
    <x v="40"/>
    <x v="151"/>
    <x v="3"/>
    <x v="1"/>
    <s v=""/>
    <s v="Nao"/>
  </r>
  <r>
    <x v="105"/>
    <x v="12"/>
    <x v="11"/>
    <n v="2509"/>
    <x v="165"/>
    <n v="5.7000000000000002E-2"/>
    <n v="45.76"/>
    <n v="20"/>
    <n v="120"/>
    <n v="3"/>
    <n v="143"/>
    <x v="2"/>
    <x v="41"/>
    <x v="103"/>
    <x v="3"/>
    <x v="1"/>
    <s v=""/>
    <s v="Nao"/>
  </r>
  <r>
    <x v="105"/>
    <x v="0"/>
    <x v="0"/>
    <n v="3668"/>
    <x v="166"/>
    <n v="4.4699999999999997E-2"/>
    <n v="52.48"/>
    <n v="9"/>
    <n v="151"/>
    <n v="4"/>
    <n v="164"/>
    <x v="2"/>
    <x v="41"/>
    <x v="152"/>
    <x v="3"/>
    <x v="1"/>
    <s v=""/>
    <s v="Nao"/>
  </r>
  <r>
    <x v="106"/>
    <x v="12"/>
    <x v="11"/>
    <n v="2025"/>
    <x v="167"/>
    <n v="6.3200000000000006E-2"/>
    <n v="40.96"/>
    <n v="10"/>
    <n v="114"/>
    <n v="4"/>
    <n v="128"/>
    <x v="2"/>
    <x v="42"/>
    <x v="66"/>
    <x v="3"/>
    <x v="1"/>
    <s v=""/>
    <s v="Nao"/>
  </r>
  <r>
    <x v="107"/>
    <x v="2"/>
    <x v="2"/>
    <n v="3596"/>
    <x v="168"/>
    <n v="4.3400000000000001E-2"/>
    <n v="49.92"/>
    <n v="6"/>
    <n v="147"/>
    <n v="3"/>
    <n v="156"/>
    <x v="2"/>
    <x v="43"/>
    <x v="100"/>
    <x v="3"/>
    <x v="1"/>
    <s v=""/>
    <s v="Nao"/>
  </r>
  <r>
    <x v="107"/>
    <x v="12"/>
    <x v="11"/>
    <n v="2649"/>
    <x v="169"/>
    <n v="7.6600000000000001E-2"/>
    <n v="64.959999999999994"/>
    <n v="19"/>
    <n v="179"/>
    <n v="5"/>
    <n v="203"/>
    <x v="2"/>
    <x v="43"/>
    <x v="113"/>
    <x v="3"/>
    <x v="1"/>
    <s v=""/>
    <s v="Nao"/>
  </r>
  <r>
    <x v="108"/>
    <x v="4"/>
    <x v="4"/>
    <n v="2692"/>
    <x v="170"/>
    <n v="7.2099999999999997E-2"/>
    <n v="67.900000000000006"/>
    <n v="12"/>
    <n v="177"/>
    <n v="5"/>
    <n v="194"/>
    <x v="2"/>
    <x v="44"/>
    <x v="153"/>
    <x v="3"/>
    <x v="1"/>
    <s v=""/>
    <s v="Nao"/>
  </r>
  <r>
    <x v="109"/>
    <x v="10"/>
    <x v="10"/>
    <n v="3018"/>
    <x v="171"/>
    <n v="8.1799999999999998E-2"/>
    <n v="79.040000000000006"/>
    <n v="35"/>
    <n v="206"/>
    <n v="6"/>
    <n v="247"/>
    <x v="2"/>
    <x v="45"/>
    <x v="136"/>
    <x v="3"/>
    <x v="1"/>
    <s v=""/>
    <s v="Nao"/>
  </r>
  <r>
    <x v="110"/>
    <x v="2"/>
    <x v="2"/>
    <n v="3218"/>
    <x v="172"/>
    <n v="5.6599999999999998E-2"/>
    <n v="58.24"/>
    <n v="10"/>
    <n v="168"/>
    <n v="4"/>
    <n v="182"/>
    <x v="2"/>
    <x v="46"/>
    <x v="154"/>
    <x v="3"/>
    <x v="1"/>
    <s v=""/>
    <s v="Nao"/>
  </r>
  <r>
    <x v="110"/>
    <x v="3"/>
    <x v="3"/>
    <n v="2713"/>
    <x v="173"/>
    <n v="5.3400000000000003E-2"/>
    <n v="40.6"/>
    <n v="8"/>
    <n v="134"/>
    <n v="3"/>
    <n v="145"/>
    <x v="2"/>
    <x v="46"/>
    <x v="155"/>
    <x v="3"/>
    <x v="1"/>
    <s v=""/>
    <s v="Nao"/>
  </r>
  <r>
    <x v="111"/>
    <x v="11"/>
    <x v="0"/>
    <n v="2937"/>
    <x v="174"/>
    <n v="2.4899999999999999E-2"/>
    <n v="20.440000000000001"/>
    <n v="3"/>
    <n v="69"/>
    <n v="1"/>
    <n v="73"/>
    <x v="2"/>
    <x v="47"/>
    <x v="150"/>
    <x v="3"/>
    <x v="1"/>
    <s v=""/>
    <s v="Nao"/>
  </r>
  <r>
    <x v="112"/>
    <x v="12"/>
    <x v="11"/>
    <n v="3796"/>
    <x v="175"/>
    <n v="6.6400000000000001E-2"/>
    <n v="80.64"/>
    <n v="35"/>
    <n v="210"/>
    <n v="7"/>
    <n v="252"/>
    <x v="2"/>
    <x v="48"/>
    <x v="43"/>
    <x v="3"/>
    <x v="1"/>
    <s v=""/>
    <s v="Nao"/>
  </r>
  <r>
    <x v="112"/>
    <x v="4"/>
    <x v="4"/>
    <n v="3939"/>
    <x v="176"/>
    <n v="6.0199999999999997E-2"/>
    <n v="82.95"/>
    <n v="8"/>
    <n v="224"/>
    <n v="5"/>
    <n v="237"/>
    <x v="2"/>
    <x v="48"/>
    <x v="156"/>
    <x v="3"/>
    <x v="1"/>
    <s v=""/>
    <s v="Nao"/>
  </r>
  <r>
    <x v="113"/>
    <x v="6"/>
    <x v="6"/>
    <n v="3980"/>
    <x v="177"/>
    <n v="5.7799999999999997E-2"/>
    <n v="80.5"/>
    <n v="9"/>
    <n v="219"/>
    <n v="2"/>
    <n v="230"/>
    <x v="2"/>
    <x v="49"/>
    <x v="157"/>
    <x v="3"/>
    <x v="1"/>
    <s v=""/>
    <s v="Nao"/>
  </r>
  <r>
    <x v="113"/>
    <x v="6"/>
    <x v="6"/>
    <n v="2225"/>
    <x v="163"/>
    <n v="4.9000000000000002E-2"/>
    <n v="38.15"/>
    <n v="6"/>
    <n v="100"/>
    <n v="3"/>
    <n v="109"/>
    <x v="2"/>
    <x v="49"/>
    <x v="158"/>
    <x v="3"/>
    <x v="1"/>
    <s v=""/>
    <s v="Nao"/>
  </r>
  <r>
    <x v="114"/>
    <x v="5"/>
    <x v="5"/>
    <n v="3347"/>
    <x v="178"/>
    <n v="4.5400000000000003E-2"/>
    <n v="51.68"/>
    <n v="57"/>
    <n v="31"/>
    <n v="64"/>
    <n v="152"/>
    <x v="2"/>
    <x v="50"/>
    <x v="115"/>
    <x v="3"/>
    <x v="1"/>
    <s v=""/>
    <s v="Sim"/>
  </r>
  <r>
    <x v="114"/>
    <x v="11"/>
    <x v="0"/>
    <n v="3056"/>
    <x v="179"/>
    <n v="3.3000000000000002E-2"/>
    <n v="28.28"/>
    <n v="3"/>
    <n v="95"/>
    <n v="3"/>
    <n v="101"/>
    <x v="2"/>
    <x v="50"/>
    <x v="159"/>
    <x v="3"/>
    <x v="1"/>
    <s v=""/>
    <s v="Nao"/>
  </r>
  <r>
    <x v="115"/>
    <x v="0"/>
    <x v="0"/>
    <n v="2385"/>
    <x v="180"/>
    <n v="6.2100000000000002E-2"/>
    <n v="47.36"/>
    <n v="4"/>
    <n v="141"/>
    <n v="3"/>
    <n v="148"/>
    <x v="2"/>
    <x v="0"/>
    <x v="160"/>
    <x v="3"/>
    <x v="1"/>
    <s v=""/>
    <s v="Nao"/>
  </r>
  <r>
    <x v="116"/>
    <x v="2"/>
    <x v="2"/>
    <n v="2788"/>
    <x v="181"/>
    <n v="5.7700000000000001E-2"/>
    <n v="51.52"/>
    <n v="5"/>
    <n v="154"/>
    <n v="2"/>
    <n v="161"/>
    <x v="2"/>
    <x v="1"/>
    <x v="11"/>
    <x v="3"/>
    <x v="1"/>
    <s v=""/>
    <s v="Nao"/>
  </r>
  <r>
    <x v="117"/>
    <x v="11"/>
    <x v="0"/>
    <n v="2685"/>
    <x v="182"/>
    <n v="5.3999999999999999E-2"/>
    <n v="40.6"/>
    <n v="7"/>
    <n v="136"/>
    <n v="2"/>
    <n v="145"/>
    <x v="2"/>
    <x v="2"/>
    <x v="161"/>
    <x v="3"/>
    <x v="1"/>
    <s v=""/>
    <s v="Nao"/>
  </r>
  <r>
    <x v="117"/>
    <x v="1"/>
    <x v="1"/>
    <n v="2503"/>
    <x v="15"/>
    <n v="5.8299999999999998E-2"/>
    <n v="46.72"/>
    <n v="6"/>
    <n v="137"/>
    <n v="3"/>
    <n v="146"/>
    <x v="2"/>
    <x v="2"/>
    <x v="162"/>
    <x v="3"/>
    <x v="1"/>
    <s v=""/>
    <s v="Nao"/>
  </r>
  <r>
    <x v="118"/>
    <x v="11"/>
    <x v="0"/>
    <n v="3926"/>
    <x v="183"/>
    <n v="6.9000000000000006E-2"/>
    <n v="75.88"/>
    <n v="18"/>
    <n v="250"/>
    <n v="3"/>
    <n v="271"/>
    <x v="2"/>
    <x v="3"/>
    <x v="163"/>
    <x v="3"/>
    <x v="1"/>
    <s v=""/>
    <s v="Nao"/>
  </r>
  <r>
    <x v="119"/>
    <x v="1"/>
    <x v="1"/>
    <n v="2315"/>
    <x v="184"/>
    <n v="5.1400000000000001E-2"/>
    <n v="38.08"/>
    <n v="3"/>
    <n v="113"/>
    <n v="3"/>
    <n v="119"/>
    <x v="2"/>
    <x v="4"/>
    <x v="164"/>
    <x v="3"/>
    <x v="1"/>
    <s v=""/>
    <s v="Nao"/>
  </r>
  <r>
    <x v="120"/>
    <x v="1"/>
    <x v="1"/>
    <n v="3510"/>
    <x v="185"/>
    <n v="4.4699999999999997E-2"/>
    <n v="50.24"/>
    <n v="7"/>
    <n v="148"/>
    <n v="2"/>
    <n v="157"/>
    <x v="2"/>
    <x v="5"/>
    <x v="40"/>
    <x v="3"/>
    <x v="1"/>
    <s v=""/>
    <s v="Nao"/>
  </r>
  <r>
    <x v="121"/>
    <x v="10"/>
    <x v="10"/>
    <n v="2788"/>
    <x v="186"/>
    <n v="8.14E-2"/>
    <n v="72.64"/>
    <n v="24"/>
    <n v="199"/>
    <n v="4"/>
    <n v="227"/>
    <x v="2"/>
    <x v="6"/>
    <x v="165"/>
    <x v="3"/>
    <x v="1"/>
    <s v=""/>
    <s v="Nao"/>
  </r>
  <r>
    <x v="121"/>
    <x v="7"/>
    <x v="7"/>
    <n v="3330"/>
    <x v="187"/>
    <n v="7.6899999999999996E-2"/>
    <n v="76.8"/>
    <n v="78"/>
    <n v="174"/>
    <n v="4"/>
    <n v="256"/>
    <x v="2"/>
    <x v="6"/>
    <x v="166"/>
    <x v="3"/>
    <x v="1"/>
    <s v=""/>
    <s v="Nao"/>
  </r>
  <r>
    <x v="122"/>
    <x v="11"/>
    <x v="0"/>
    <n v="2592"/>
    <x v="188"/>
    <n v="5.8299999999999998E-2"/>
    <n v="42.28"/>
    <n v="7"/>
    <n v="142"/>
    <n v="2"/>
    <n v="151"/>
    <x v="2"/>
    <x v="7"/>
    <x v="167"/>
    <x v="3"/>
    <x v="1"/>
    <s v=""/>
    <s v="Nao"/>
  </r>
  <r>
    <x v="123"/>
    <x v="5"/>
    <x v="5"/>
    <n v="2319"/>
    <x v="189"/>
    <n v="7.85E-2"/>
    <n v="61.88"/>
    <n v="4"/>
    <n v="173"/>
    <n v="5"/>
    <n v="182"/>
    <x v="2"/>
    <x v="8"/>
    <x v="168"/>
    <x v="4"/>
    <x v="1"/>
    <s v=""/>
    <s v="Nao"/>
  </r>
  <r>
    <x v="124"/>
    <x v="10"/>
    <x v="10"/>
    <n v="2492"/>
    <x v="190"/>
    <n v="8.3500000000000005E-2"/>
    <n v="66.56"/>
    <n v="77"/>
    <n v="27"/>
    <n v="104"/>
    <n v="208"/>
    <x v="2"/>
    <x v="9"/>
    <x v="169"/>
    <x v="4"/>
    <x v="1"/>
    <s v=""/>
    <s v="Sim"/>
  </r>
  <r>
    <x v="124"/>
    <x v="9"/>
    <x v="9"/>
    <n v="3563"/>
    <x v="191"/>
    <n v="5.9499999999999997E-2"/>
    <n v="55.12"/>
    <n v="14"/>
    <n v="195"/>
    <n v="3"/>
    <n v="212"/>
    <x v="2"/>
    <x v="9"/>
    <x v="170"/>
    <x v="4"/>
    <x v="1"/>
    <s v=""/>
    <s v="Nao"/>
  </r>
  <r>
    <x v="125"/>
    <x v="2"/>
    <x v="2"/>
    <n v="1916"/>
    <x v="192"/>
    <n v="5.6399999999999999E-2"/>
    <n v="34.56"/>
    <n v="7"/>
    <n v="99"/>
    <n v="2"/>
    <n v="108"/>
    <x v="2"/>
    <x v="10"/>
    <x v="147"/>
    <x v="4"/>
    <x v="1"/>
    <s v=""/>
    <s v="Nao"/>
  </r>
  <r>
    <x v="125"/>
    <x v="0"/>
    <x v="0"/>
    <n v="3143"/>
    <x v="193"/>
    <n v="8.2400000000000001E-2"/>
    <n v="82.88"/>
    <n v="5"/>
    <n v="248"/>
    <n v="6"/>
    <n v="259"/>
    <x v="2"/>
    <x v="10"/>
    <x v="171"/>
    <x v="4"/>
    <x v="1"/>
    <s v=""/>
    <s v="Nao"/>
  </r>
  <r>
    <x v="126"/>
    <x v="8"/>
    <x v="8"/>
    <n v="3843"/>
    <x v="194"/>
    <n v="8.6900000000000005E-2"/>
    <n v="106.88"/>
    <n v="50"/>
    <n v="280"/>
    <n v="4"/>
    <n v="334"/>
    <x v="2"/>
    <x v="11"/>
    <x v="172"/>
    <x v="4"/>
    <x v="1"/>
    <s v=""/>
    <s v="Nao"/>
  </r>
  <r>
    <x v="126"/>
    <x v="14"/>
    <x v="12"/>
    <n v="2909"/>
    <x v="195"/>
    <n v="7.4300000000000005E-2"/>
    <n v="64.8"/>
    <n v="50"/>
    <n v="159"/>
    <n v="7"/>
    <n v="216"/>
    <x v="2"/>
    <x v="11"/>
    <x v="173"/>
    <x v="4"/>
    <x v="1"/>
    <s v=""/>
    <s v="Nao"/>
  </r>
  <r>
    <x v="127"/>
    <x v="11"/>
    <x v="0"/>
    <n v="1801"/>
    <x v="196"/>
    <n v="6.7699999999999996E-2"/>
    <n v="34.159999999999997"/>
    <n v="4"/>
    <n v="116"/>
    <n v="2"/>
    <n v="122"/>
    <x v="2"/>
    <x v="12"/>
    <x v="174"/>
    <x v="4"/>
    <x v="1"/>
    <s v=""/>
    <s v="Nao"/>
  </r>
  <r>
    <x v="127"/>
    <x v="6"/>
    <x v="6"/>
    <n v="4041"/>
    <x v="197"/>
    <n v="6.5299999999999997E-2"/>
    <n v="92.4"/>
    <n v="15"/>
    <n v="243"/>
    <n v="6"/>
    <n v="264"/>
    <x v="2"/>
    <x v="12"/>
    <x v="175"/>
    <x v="4"/>
    <x v="1"/>
    <s v=""/>
    <s v="Nao"/>
  </r>
  <r>
    <x v="128"/>
    <x v="3"/>
    <x v="3"/>
    <n v="2686"/>
    <x v="198"/>
    <n v="7.9699999999999993E-2"/>
    <n v="59.92"/>
    <n v="5"/>
    <n v="204"/>
    <n v="5"/>
    <n v="214"/>
    <x v="2"/>
    <x v="13"/>
    <x v="176"/>
    <x v="4"/>
    <x v="1"/>
    <s v=""/>
    <s v="Nao"/>
  </r>
  <r>
    <x v="128"/>
    <x v="8"/>
    <x v="8"/>
    <n v="4070"/>
    <x v="199"/>
    <n v="9.98E-2"/>
    <n v="129.91999999999999"/>
    <n v="53"/>
    <n v="342"/>
    <n v="11"/>
    <n v="406"/>
    <x v="2"/>
    <x v="13"/>
    <x v="177"/>
    <x v="4"/>
    <x v="1"/>
    <s v=""/>
    <s v="Nao"/>
  </r>
  <r>
    <x v="129"/>
    <x v="0"/>
    <x v="0"/>
    <n v="2907"/>
    <x v="200"/>
    <n v="7.6700000000000004E-2"/>
    <n v="71.36"/>
    <n v="5"/>
    <n v="213"/>
    <n v="5"/>
    <n v="223"/>
    <x v="2"/>
    <x v="14"/>
    <x v="4"/>
    <x v="4"/>
    <x v="1"/>
    <s v=""/>
    <s v="Nao"/>
  </r>
  <r>
    <x v="129"/>
    <x v="3"/>
    <x v="3"/>
    <n v="1821"/>
    <x v="201"/>
    <n v="7.1900000000000006E-2"/>
    <n v="36.68"/>
    <n v="5"/>
    <n v="123"/>
    <n v="3"/>
    <n v="131"/>
    <x v="2"/>
    <x v="14"/>
    <x v="178"/>
    <x v="4"/>
    <x v="1"/>
    <s v=""/>
    <s v="Nao"/>
  </r>
  <r>
    <x v="130"/>
    <x v="12"/>
    <x v="11"/>
    <n v="3934"/>
    <x v="202"/>
    <n v="8.6900000000000005E-2"/>
    <n v="109.44"/>
    <n v="35"/>
    <n v="300"/>
    <n v="7"/>
    <n v="342"/>
    <x v="2"/>
    <x v="15"/>
    <x v="111"/>
    <x v="4"/>
    <x v="1"/>
    <s v=""/>
    <s v="Nao"/>
  </r>
  <r>
    <x v="130"/>
    <x v="5"/>
    <x v="5"/>
    <n v="3727"/>
    <x v="203"/>
    <n v="8.8499999999999995E-2"/>
    <n v="112.2"/>
    <n v="19"/>
    <n v="307"/>
    <n v="4"/>
    <n v="330"/>
    <x v="2"/>
    <x v="15"/>
    <x v="179"/>
    <x v="4"/>
    <x v="1"/>
    <s v=""/>
    <s v="Nao"/>
  </r>
  <r>
    <x v="131"/>
    <x v="14"/>
    <x v="12"/>
    <n v="2461"/>
    <x v="98"/>
    <n v="8.3699999999999997E-2"/>
    <n v="61.8"/>
    <n v="39"/>
    <n v="162"/>
    <n v="5"/>
    <n v="206"/>
    <x v="2"/>
    <x v="16"/>
    <x v="180"/>
    <x v="4"/>
    <x v="1"/>
    <s v=""/>
    <s v="Nao"/>
  </r>
  <r>
    <x v="132"/>
    <x v="14"/>
    <x v="12"/>
    <n v="3782"/>
    <x v="204"/>
    <n v="5.9799999999999999E-2"/>
    <n v="67.8"/>
    <n v="68"/>
    <n v="155"/>
    <n v="3"/>
    <n v="226"/>
    <x v="2"/>
    <x v="17"/>
    <x v="165"/>
    <x v="4"/>
    <x v="1"/>
    <s v=""/>
    <s v="Nao"/>
  </r>
  <r>
    <x v="133"/>
    <x v="3"/>
    <x v="3"/>
    <n v="2756"/>
    <x v="205"/>
    <n v="8.4199999999999997E-2"/>
    <n v="64.959999999999994"/>
    <n v="7"/>
    <n v="220"/>
    <n v="5"/>
    <n v="232"/>
    <x v="2"/>
    <x v="18"/>
    <x v="181"/>
    <x v="4"/>
    <x v="1"/>
    <s v=""/>
    <s v="Nao"/>
  </r>
  <r>
    <x v="133"/>
    <x v="1"/>
    <x v="1"/>
    <n v="3512"/>
    <x v="58"/>
    <n v="8.77E-2"/>
    <n v="98.56"/>
    <n v="16"/>
    <n v="289"/>
    <n v="3"/>
    <n v="308"/>
    <x v="2"/>
    <x v="18"/>
    <x v="182"/>
    <x v="4"/>
    <x v="1"/>
    <s v=""/>
    <s v="Nao"/>
  </r>
  <r>
    <x v="134"/>
    <x v="9"/>
    <x v="9"/>
    <n v="4182"/>
    <x v="206"/>
    <n v="7.9600000000000004E-2"/>
    <n v="86.58"/>
    <n v="11"/>
    <n v="313"/>
    <n v="9"/>
    <n v="333"/>
    <x v="2"/>
    <x v="19"/>
    <x v="183"/>
    <x v="4"/>
    <x v="1"/>
    <s v=""/>
    <s v="Nao"/>
  </r>
  <r>
    <x v="135"/>
    <x v="5"/>
    <x v="5"/>
    <n v="2329"/>
    <x v="207"/>
    <n v="7.9899999999999999E-2"/>
    <n v="63.24"/>
    <n v="8"/>
    <n v="176"/>
    <n v="2"/>
    <n v="186"/>
    <x v="2"/>
    <x v="20"/>
    <x v="68"/>
    <x v="4"/>
    <x v="1"/>
    <s v=""/>
    <s v="Nao"/>
  </r>
  <r>
    <x v="136"/>
    <x v="0"/>
    <x v="0"/>
    <n v="3422"/>
    <x v="208"/>
    <n v="5.8200000000000002E-2"/>
    <n v="63.68"/>
    <n v="12"/>
    <n v="185"/>
    <n v="2"/>
    <n v="199"/>
    <x v="2"/>
    <x v="21"/>
    <x v="184"/>
    <x v="4"/>
    <x v="1"/>
    <s v=""/>
    <s v="Nao"/>
  </r>
  <r>
    <x v="136"/>
    <x v="8"/>
    <x v="8"/>
    <n v="4165"/>
    <x v="209"/>
    <n v="0.1193"/>
    <n v="159.04"/>
    <n v="54"/>
    <n v="432"/>
    <n v="11"/>
    <n v="497"/>
    <x v="2"/>
    <x v="21"/>
    <x v="185"/>
    <x v="4"/>
    <x v="1"/>
    <s v=""/>
    <s v="Nao"/>
  </r>
  <r>
    <x v="137"/>
    <x v="9"/>
    <x v="9"/>
    <n v="1929"/>
    <x v="210"/>
    <n v="8.6599999999999996E-2"/>
    <n v="43.42"/>
    <n v="7"/>
    <n v="155"/>
    <n v="5"/>
    <n v="167"/>
    <x v="2"/>
    <x v="22"/>
    <x v="186"/>
    <x v="4"/>
    <x v="1"/>
    <s v=""/>
    <s v="Nao"/>
  </r>
  <r>
    <x v="137"/>
    <x v="2"/>
    <x v="2"/>
    <n v="3846"/>
    <x v="211"/>
    <n v="7.3599999999999999E-2"/>
    <n v="90.56"/>
    <n v="12"/>
    <n v="266"/>
    <n v="5"/>
    <n v="283"/>
    <x v="2"/>
    <x v="22"/>
    <x v="187"/>
    <x v="4"/>
    <x v="1"/>
    <s v=""/>
    <s v="Nao"/>
  </r>
  <r>
    <x v="138"/>
    <x v="13"/>
    <x v="9"/>
    <n v="2429"/>
    <x v="212"/>
    <n v="9.2600000000000002E-2"/>
    <n v="67.5"/>
    <n v="7"/>
    <n v="214"/>
    <n v="4"/>
    <n v="225"/>
    <x v="2"/>
    <x v="23"/>
    <x v="188"/>
    <x v="4"/>
    <x v="1"/>
    <s v=""/>
    <s v="Nao"/>
  </r>
  <r>
    <x v="139"/>
    <x v="12"/>
    <x v="11"/>
    <n v="4160"/>
    <x v="213"/>
    <n v="8.4599999999999995E-2"/>
    <n v="112.64"/>
    <n v="32"/>
    <n v="316"/>
    <n v="4"/>
    <n v="352"/>
    <x v="2"/>
    <x v="24"/>
    <x v="189"/>
    <x v="4"/>
    <x v="1"/>
    <s v=""/>
    <s v="Nao"/>
  </r>
  <r>
    <x v="140"/>
    <x v="2"/>
    <x v="2"/>
    <n v="4012"/>
    <x v="214"/>
    <n v="9.0499999999999997E-2"/>
    <n v="116.16"/>
    <n v="9"/>
    <n v="346"/>
    <n v="8"/>
    <n v="363"/>
    <x v="2"/>
    <x v="25"/>
    <x v="190"/>
    <x v="4"/>
    <x v="1"/>
    <s v=""/>
    <s v="Nao"/>
  </r>
  <r>
    <x v="140"/>
    <x v="12"/>
    <x v="11"/>
    <n v="2756"/>
    <x v="215"/>
    <n v="0.1081"/>
    <n v="95.36"/>
    <n v="82"/>
    <n v="38"/>
    <n v="178"/>
    <n v="298"/>
    <x v="2"/>
    <x v="25"/>
    <x v="191"/>
    <x v="4"/>
    <x v="1"/>
    <s v=""/>
    <s v="Sim"/>
  </r>
  <r>
    <x v="141"/>
    <x v="3"/>
    <x v="3"/>
    <n v="3966"/>
    <x v="216"/>
    <n v="8.09E-2"/>
    <n v="89.88"/>
    <n v="20"/>
    <n v="294"/>
    <n v="7"/>
    <n v="321"/>
    <x v="2"/>
    <x v="26"/>
    <x v="192"/>
    <x v="4"/>
    <x v="1"/>
    <s v=""/>
    <s v="Nao"/>
  </r>
  <r>
    <x v="142"/>
    <x v="9"/>
    <x v="9"/>
    <n v="4089"/>
    <x v="217"/>
    <n v="8.2699999999999996E-2"/>
    <n v="87.88"/>
    <n v="20"/>
    <n v="308"/>
    <n v="10"/>
    <n v="338"/>
    <x v="2"/>
    <x v="27"/>
    <x v="9"/>
    <x v="4"/>
    <x v="1"/>
    <s v=""/>
    <s v="Nao"/>
  </r>
  <r>
    <x v="142"/>
    <x v="1"/>
    <x v="1"/>
    <n v="3008"/>
    <x v="218"/>
    <n v="6.9500000000000006E-2"/>
    <n v="66.88"/>
    <n v="11"/>
    <n v="194"/>
    <n v="4"/>
    <n v="209"/>
    <x v="2"/>
    <x v="27"/>
    <x v="193"/>
    <x v="4"/>
    <x v="1"/>
    <s v=""/>
    <s v="Nao"/>
  </r>
  <r>
    <x v="143"/>
    <x v="0"/>
    <x v="0"/>
    <n v="2107"/>
    <x v="219"/>
    <n v="8.3099999999999993E-2"/>
    <n v="56"/>
    <n v="10"/>
    <n v="161"/>
    <n v="4"/>
    <n v="175"/>
    <x v="2"/>
    <x v="28"/>
    <x v="194"/>
    <x v="4"/>
    <x v="1"/>
    <s v=""/>
    <s v="Nao"/>
  </r>
  <r>
    <x v="144"/>
    <x v="11"/>
    <x v="0"/>
    <n v="2814"/>
    <x v="220"/>
    <n v="6.54E-2"/>
    <n v="51.52"/>
    <n v="11"/>
    <n v="169"/>
    <n v="4"/>
    <n v="184"/>
    <x v="2"/>
    <x v="29"/>
    <x v="195"/>
    <x v="4"/>
    <x v="1"/>
    <s v=""/>
    <s v="Nao"/>
  </r>
  <r>
    <x v="144"/>
    <x v="6"/>
    <x v="6"/>
    <n v="2942"/>
    <x v="221"/>
    <n v="9.7900000000000001E-2"/>
    <n v="100.8"/>
    <n v="10"/>
    <n v="272"/>
    <n v="6"/>
    <n v="288"/>
    <x v="2"/>
    <x v="29"/>
    <x v="196"/>
    <x v="4"/>
    <x v="1"/>
    <s v=""/>
    <s v="Nao"/>
  </r>
  <r>
    <x v="145"/>
    <x v="4"/>
    <x v="4"/>
    <n v="2102"/>
    <x v="222"/>
    <n v="7.5200000000000003E-2"/>
    <n v="55.3"/>
    <n v="5"/>
    <n v="149"/>
    <n v="4"/>
    <n v="158"/>
    <x v="2"/>
    <x v="30"/>
    <x v="68"/>
    <x v="4"/>
    <x v="1"/>
    <s v=""/>
    <s v="Nao"/>
  </r>
  <r>
    <x v="145"/>
    <x v="7"/>
    <x v="7"/>
    <n v="3110"/>
    <x v="223"/>
    <n v="9.1300000000000006E-2"/>
    <n v="85.2"/>
    <n v="67"/>
    <n v="209"/>
    <n v="8"/>
    <n v="284"/>
    <x v="2"/>
    <x v="30"/>
    <x v="197"/>
    <x v="4"/>
    <x v="1"/>
    <s v=""/>
    <s v="Nao"/>
  </r>
  <r>
    <x v="146"/>
    <x v="10"/>
    <x v="10"/>
    <n v="2809"/>
    <x v="224"/>
    <n v="8.72E-2"/>
    <n v="78.400000000000006"/>
    <n v="37"/>
    <n v="202"/>
    <n v="6"/>
    <n v="245"/>
    <x v="2"/>
    <x v="31"/>
    <x v="198"/>
    <x v="4"/>
    <x v="1"/>
    <s v=""/>
    <s v="Nao"/>
  </r>
  <r>
    <x v="147"/>
    <x v="13"/>
    <x v="9"/>
    <n v="2288"/>
    <x v="225"/>
    <n v="0.1084"/>
    <n v="74.400000000000006"/>
    <n v="8"/>
    <n v="234"/>
    <n v="6"/>
    <n v="248"/>
    <x v="2"/>
    <x v="32"/>
    <x v="199"/>
    <x v="4"/>
    <x v="1"/>
    <s v=""/>
    <s v="Nao"/>
  </r>
  <r>
    <x v="148"/>
    <x v="7"/>
    <x v="7"/>
    <n v="2800"/>
    <x v="226"/>
    <n v="0.1011"/>
    <n v="84.9"/>
    <n v="63"/>
    <n v="212"/>
    <n v="8"/>
    <n v="283"/>
    <x v="2"/>
    <x v="33"/>
    <x v="101"/>
    <x v="4"/>
    <x v="1"/>
    <s v=""/>
    <s v="Nao"/>
  </r>
  <r>
    <x v="148"/>
    <x v="2"/>
    <x v="2"/>
    <n v="2510"/>
    <x v="227"/>
    <n v="8.6099999999999996E-2"/>
    <n v="69.12"/>
    <n v="10"/>
    <n v="201"/>
    <n v="5"/>
    <n v="216"/>
    <x v="2"/>
    <x v="33"/>
    <x v="200"/>
    <x v="4"/>
    <x v="1"/>
    <s v=""/>
    <s v="Nao"/>
  </r>
  <r>
    <x v="149"/>
    <x v="11"/>
    <x v="0"/>
    <n v="4138"/>
    <x v="228"/>
    <n v="9.2299999999999993E-2"/>
    <n v="106.96"/>
    <n v="19"/>
    <n v="356"/>
    <n v="7"/>
    <n v="382"/>
    <x v="2"/>
    <x v="34"/>
    <x v="201"/>
    <x v="4"/>
    <x v="1"/>
    <s v=""/>
    <s v="Nao"/>
  </r>
  <r>
    <x v="149"/>
    <x v="3"/>
    <x v="3"/>
    <n v="4175"/>
    <x v="229"/>
    <n v="0.104"/>
    <n v="121.52"/>
    <n v="24"/>
    <n v="405"/>
    <n v="5"/>
    <n v="434"/>
    <x v="2"/>
    <x v="34"/>
    <x v="202"/>
    <x v="4"/>
    <x v="1"/>
    <s v=""/>
    <s v="Nao"/>
  </r>
  <r>
    <x v="150"/>
    <x v="10"/>
    <x v="10"/>
    <n v="2956"/>
    <x v="230"/>
    <n v="0.1211"/>
    <n v="114.56"/>
    <n v="44"/>
    <n v="305"/>
    <n v="9"/>
    <n v="358"/>
    <x v="2"/>
    <x v="35"/>
    <x v="203"/>
    <x v="4"/>
    <x v="1"/>
    <s v=""/>
    <s v="Nao"/>
  </r>
  <r>
    <x v="151"/>
    <x v="1"/>
    <x v="1"/>
    <n v="2690"/>
    <x v="231"/>
    <n v="7.4300000000000005E-2"/>
    <n v="64"/>
    <n v="6"/>
    <n v="190"/>
    <n v="4"/>
    <n v="200"/>
    <x v="2"/>
    <x v="51"/>
    <x v="44"/>
    <x v="4"/>
    <x v="1"/>
    <s v=""/>
    <s v="Nao"/>
  </r>
  <r>
    <x v="151"/>
    <x v="13"/>
    <x v="9"/>
    <n v="2947"/>
    <x v="232"/>
    <n v="0.1038"/>
    <n v="91.8"/>
    <n v="19"/>
    <n v="281"/>
    <n v="6"/>
    <n v="306"/>
    <x v="2"/>
    <x v="51"/>
    <x v="130"/>
    <x v="4"/>
    <x v="1"/>
    <s v=""/>
    <s v="Nao"/>
  </r>
  <r>
    <x v="152"/>
    <x v="0"/>
    <x v="0"/>
    <n v="3716"/>
    <x v="233"/>
    <n v="8.9099999999999999E-2"/>
    <n v="105.92"/>
    <n v="13"/>
    <n v="310"/>
    <n v="8"/>
    <n v="331"/>
    <x v="2"/>
    <x v="52"/>
    <x v="204"/>
    <x v="5"/>
    <x v="1"/>
    <s v=""/>
    <s v="Nao"/>
  </r>
  <r>
    <x v="153"/>
    <x v="10"/>
    <x v="10"/>
    <n v="4138"/>
    <x v="234"/>
    <n v="0.1008"/>
    <n v="133.44"/>
    <n v="45"/>
    <n v="360"/>
    <n v="12"/>
    <n v="417"/>
    <x v="2"/>
    <x v="53"/>
    <x v="205"/>
    <x v="5"/>
    <x v="1"/>
    <s v=""/>
    <s v="Nao"/>
  </r>
  <r>
    <x v="153"/>
    <x v="3"/>
    <x v="3"/>
    <n v="2149"/>
    <x v="235"/>
    <n v="9.8699999999999996E-2"/>
    <n v="59.36"/>
    <n v="9"/>
    <n v="200"/>
    <n v="3"/>
    <n v="212"/>
    <x v="2"/>
    <x v="53"/>
    <x v="206"/>
    <x v="5"/>
    <x v="1"/>
    <s v=""/>
    <s v="Nao"/>
  </r>
  <r>
    <x v="154"/>
    <x v="6"/>
    <x v="6"/>
    <n v="4159"/>
    <x v="236"/>
    <n v="8.1299999999999997E-2"/>
    <n v="118.3"/>
    <n v="19"/>
    <n v="315"/>
    <n v="4"/>
    <n v="338"/>
    <x v="2"/>
    <x v="54"/>
    <x v="207"/>
    <x v="5"/>
    <x v="1"/>
    <s v=""/>
    <s v="Nao"/>
  </r>
  <r>
    <x v="154"/>
    <x v="14"/>
    <x v="12"/>
    <n v="3208"/>
    <x v="237"/>
    <n v="0.1032"/>
    <n v="99.3"/>
    <n v="84"/>
    <n v="243"/>
    <n v="4"/>
    <n v="331"/>
    <x v="2"/>
    <x v="54"/>
    <x v="138"/>
    <x v="5"/>
    <x v="1"/>
    <s v=""/>
    <s v="Nao"/>
  </r>
  <r>
    <x v="155"/>
    <x v="14"/>
    <x v="12"/>
    <n v="3100"/>
    <x v="238"/>
    <n v="9.6100000000000005E-2"/>
    <n v="89.4"/>
    <n v="79"/>
    <n v="212"/>
    <n v="7"/>
    <n v="298"/>
    <x v="2"/>
    <x v="55"/>
    <x v="208"/>
    <x v="5"/>
    <x v="1"/>
    <s v=""/>
    <s v="Nao"/>
  </r>
  <r>
    <x v="156"/>
    <x v="4"/>
    <x v="4"/>
    <n v="3999"/>
    <x v="239"/>
    <n v="9.2799999999999994E-2"/>
    <n v="129.85"/>
    <n v="19"/>
    <n v="342"/>
    <n v="10"/>
    <n v="371"/>
    <x v="2"/>
    <x v="56"/>
    <x v="209"/>
    <x v="5"/>
    <x v="1"/>
    <s v=""/>
    <s v="Nao"/>
  </r>
  <r>
    <x v="156"/>
    <x v="1"/>
    <x v="1"/>
    <n v="1945"/>
    <x v="240"/>
    <n v="9.0999999999999998E-2"/>
    <n v="56.64"/>
    <n v="12"/>
    <n v="162"/>
    <n v="3"/>
    <n v="177"/>
    <x v="2"/>
    <x v="56"/>
    <x v="210"/>
    <x v="5"/>
    <x v="1"/>
    <s v=""/>
    <s v="Nao"/>
  </r>
  <r>
    <x v="157"/>
    <x v="11"/>
    <x v="0"/>
    <n v="2430"/>
    <x v="241"/>
    <n v="8.6800000000000002E-2"/>
    <n v="59.08"/>
    <n v="14"/>
    <n v="194"/>
    <n v="3"/>
    <n v="211"/>
    <x v="2"/>
    <x v="57"/>
    <x v="211"/>
    <x v="5"/>
    <x v="1"/>
    <s v=""/>
    <s v="Nao"/>
  </r>
  <r>
    <x v="157"/>
    <x v="7"/>
    <x v="7"/>
    <n v="2787"/>
    <x v="242"/>
    <n v="0.1062"/>
    <n v="88.8"/>
    <n v="80"/>
    <n v="213"/>
    <n v="3"/>
    <n v="296"/>
    <x v="2"/>
    <x v="57"/>
    <x v="212"/>
    <x v="5"/>
    <x v="1"/>
    <s v=""/>
    <s v="Nao"/>
  </r>
  <r>
    <x v="158"/>
    <x v="7"/>
    <x v="7"/>
    <n v="2062"/>
    <x v="243"/>
    <n v="8.9200000000000002E-2"/>
    <n v="55.2"/>
    <n v="44"/>
    <n v="136"/>
    <n v="4"/>
    <n v="184"/>
    <x v="2"/>
    <x v="58"/>
    <x v="213"/>
    <x v="5"/>
    <x v="1"/>
    <n v="58"/>
    <s v="Nao"/>
  </r>
  <r>
    <x v="159"/>
    <x v="11"/>
    <x v="0"/>
    <n v="2798"/>
    <x v="3"/>
    <n v="4.5400000000000003E-2"/>
    <n v="35.56"/>
    <n v="5"/>
    <n v="118"/>
    <n v="4"/>
    <n v="127"/>
    <x v="3"/>
    <x v="36"/>
    <x v="33"/>
    <x v="5"/>
    <x v="1"/>
    <s v=""/>
    <s v="Nao"/>
  </r>
  <r>
    <x v="159"/>
    <x v="5"/>
    <x v="5"/>
    <n v="2805"/>
    <x v="244"/>
    <n v="3.6700000000000003E-2"/>
    <n v="35.020000000000003"/>
    <n v="4"/>
    <n v="97"/>
    <n v="2"/>
    <n v="103"/>
    <x v="3"/>
    <x v="36"/>
    <x v="74"/>
    <x v="5"/>
    <x v="1"/>
    <s v=""/>
    <s v="Nao"/>
  </r>
  <r>
    <x v="160"/>
    <x v="11"/>
    <x v="0"/>
    <n v="3714"/>
    <x v="106"/>
    <n v="4.7399999999999998E-2"/>
    <n v="49.28"/>
    <n v="5"/>
    <n v="167"/>
    <n v="4"/>
    <n v="176"/>
    <x v="3"/>
    <x v="37"/>
    <x v="214"/>
    <x v="5"/>
    <x v="1"/>
    <s v=""/>
    <s v="Nao"/>
  </r>
  <r>
    <x v="160"/>
    <x v="10"/>
    <x v="10"/>
    <n v="1959"/>
    <x v="245"/>
    <n v="5.0500000000000003E-2"/>
    <n v="31.68"/>
    <n v="14"/>
    <n v="83"/>
    <n v="2"/>
    <n v="99"/>
    <x v="3"/>
    <x v="37"/>
    <x v="17"/>
    <x v="5"/>
    <x v="1"/>
    <s v=""/>
    <s v="Nao"/>
  </r>
  <r>
    <x v="161"/>
    <x v="5"/>
    <x v="5"/>
    <n v="1857"/>
    <x v="246"/>
    <n v="5.6000000000000001E-2"/>
    <n v="35.36"/>
    <n v="4"/>
    <n v="98"/>
    <n v="2"/>
    <n v="104"/>
    <x v="3"/>
    <x v="38"/>
    <x v="215"/>
    <x v="5"/>
    <x v="1"/>
    <s v=""/>
    <s v="Nao"/>
  </r>
  <r>
    <x v="161"/>
    <x v="1"/>
    <x v="1"/>
    <n v="3294"/>
    <x v="247"/>
    <n v="3.95E-2"/>
    <n v="41.6"/>
    <n v="8"/>
    <n v="119"/>
    <n v="3"/>
    <n v="130"/>
    <x v="3"/>
    <x v="38"/>
    <x v="216"/>
    <x v="5"/>
    <x v="1"/>
    <s v=""/>
    <s v="Nao"/>
  </r>
  <r>
    <x v="162"/>
    <x v="5"/>
    <x v="5"/>
    <n v="4134"/>
    <x v="248"/>
    <n v="3.7699999999999997E-2"/>
    <n v="53.04"/>
    <n v="7"/>
    <n v="145"/>
    <n v="4"/>
    <n v="156"/>
    <x v="3"/>
    <x v="39"/>
    <x v="217"/>
    <x v="5"/>
    <x v="1"/>
    <s v=""/>
    <s v="Nao"/>
  </r>
  <r>
    <x v="162"/>
    <x v="10"/>
    <x v="10"/>
    <n v="2456"/>
    <x v="249"/>
    <n v="7.2900000000000006E-2"/>
    <n v="57.28"/>
    <n v="27"/>
    <n v="149"/>
    <n v="3"/>
    <n v="179"/>
    <x v="3"/>
    <x v="39"/>
    <x v="218"/>
    <x v="5"/>
    <x v="1"/>
    <s v=""/>
    <s v="Nao"/>
  </r>
  <r>
    <x v="163"/>
    <x v="6"/>
    <x v="6"/>
    <n v="2147"/>
    <x v="250"/>
    <n v="5.3999999999999999E-2"/>
    <n v="40.6"/>
    <n v="6"/>
    <n v="109"/>
    <n v="1"/>
    <n v="116"/>
    <x v="3"/>
    <x v="40"/>
    <x v="83"/>
    <x v="5"/>
    <x v="1"/>
    <s v=""/>
    <s v="Nao"/>
  </r>
  <r>
    <x v="164"/>
    <x v="4"/>
    <x v="4"/>
    <n v="3566"/>
    <x v="251"/>
    <n v="5.3800000000000001E-2"/>
    <n v="67.2"/>
    <n v="7"/>
    <n v="181"/>
    <n v="4"/>
    <n v="192"/>
    <x v="3"/>
    <x v="41"/>
    <x v="219"/>
    <x v="5"/>
    <x v="1"/>
    <s v=""/>
    <s v="Nao"/>
  </r>
  <r>
    <x v="165"/>
    <x v="5"/>
    <x v="5"/>
    <n v="2280"/>
    <x v="252"/>
    <n v="4.0399999999999998E-2"/>
    <n v="31.28"/>
    <n v="6"/>
    <n v="85"/>
    <n v="1"/>
    <n v="92"/>
    <x v="3"/>
    <x v="42"/>
    <x v="220"/>
    <x v="5"/>
    <x v="1"/>
    <s v=""/>
    <s v="Nao"/>
  </r>
  <r>
    <x v="166"/>
    <x v="7"/>
    <x v="7"/>
    <n v="3003"/>
    <x v="123"/>
    <n v="4.7E-2"/>
    <n v="42.3"/>
    <n v="44"/>
    <n v="92"/>
    <n v="5"/>
    <n v="141"/>
    <x v="3"/>
    <x v="43"/>
    <x v="221"/>
    <x v="5"/>
    <x v="1"/>
    <s v=""/>
    <s v="Nao"/>
  </r>
  <r>
    <x v="166"/>
    <x v="14"/>
    <x v="12"/>
    <n v="3242"/>
    <x v="253"/>
    <n v="6.2600000000000003E-2"/>
    <n v="60.9"/>
    <n v="48"/>
    <n v="150"/>
    <n v="5"/>
    <n v="203"/>
    <x v="3"/>
    <x v="43"/>
    <x v="222"/>
    <x v="5"/>
    <x v="1"/>
    <s v=""/>
    <s v="Nao"/>
  </r>
  <r>
    <x v="167"/>
    <x v="14"/>
    <x v="12"/>
    <n v="2393"/>
    <x v="27"/>
    <n v="7.3499999999999996E-2"/>
    <n v="52.8"/>
    <n v="48"/>
    <n v="123"/>
    <n v="5"/>
    <n v="176"/>
    <x v="3"/>
    <x v="44"/>
    <x v="125"/>
    <x v="5"/>
    <x v="1"/>
    <s v=""/>
    <s v="Nao"/>
  </r>
  <r>
    <x v="168"/>
    <x v="7"/>
    <x v="7"/>
    <n v="2747"/>
    <x v="254"/>
    <n v="5.5E-2"/>
    <n v="45.3"/>
    <n v="44"/>
    <n v="48"/>
    <n v="59"/>
    <n v="151"/>
    <x v="3"/>
    <x v="45"/>
    <x v="223"/>
    <x v="5"/>
    <x v="1"/>
    <s v=""/>
    <s v="Sim"/>
  </r>
  <r>
    <x v="168"/>
    <x v="0"/>
    <x v="0"/>
    <n v="3611"/>
    <x v="203"/>
    <n v="5.9299999999999999E-2"/>
    <n v="68.48"/>
    <n v="4"/>
    <n v="205"/>
    <n v="5"/>
    <n v="214"/>
    <x v="3"/>
    <x v="45"/>
    <x v="224"/>
    <x v="5"/>
    <x v="1"/>
    <s v=""/>
    <s v="Nao"/>
  </r>
  <r>
    <x v="169"/>
    <x v="11"/>
    <x v="0"/>
    <n v="1963"/>
    <x v="255"/>
    <n v="3.3099999999999997E-2"/>
    <n v="18.2"/>
    <n v="2"/>
    <n v="62"/>
    <n v="1"/>
    <n v="65"/>
    <x v="3"/>
    <x v="46"/>
    <x v="225"/>
    <x v="5"/>
    <x v="1"/>
    <s v=""/>
    <s v="Nao"/>
  </r>
  <r>
    <x v="169"/>
    <x v="7"/>
    <x v="7"/>
    <n v="3760"/>
    <x v="256"/>
    <n v="6.4399999999999999E-2"/>
    <n v="72.599999999999994"/>
    <n v="66"/>
    <n v="173"/>
    <n v="3"/>
    <n v="242"/>
    <x v="3"/>
    <x v="46"/>
    <x v="16"/>
    <x v="5"/>
    <x v="1"/>
    <s v=""/>
    <s v="Nao"/>
  </r>
  <r>
    <x v="170"/>
    <x v="9"/>
    <x v="9"/>
    <n v="2336"/>
    <x v="257"/>
    <n v="6.1199999999999997E-2"/>
    <n v="37.18"/>
    <n v="9"/>
    <n v="131"/>
    <n v="3"/>
    <n v="143"/>
    <x v="3"/>
    <x v="47"/>
    <x v="226"/>
    <x v="5"/>
    <x v="1"/>
    <s v=""/>
    <s v="Nao"/>
  </r>
  <r>
    <x v="170"/>
    <x v="13"/>
    <x v="9"/>
    <n v="2645"/>
    <x v="258"/>
    <n v="6.8400000000000002E-2"/>
    <n v="54.3"/>
    <n v="9"/>
    <n v="167"/>
    <n v="5"/>
    <n v="181"/>
    <x v="3"/>
    <x v="47"/>
    <x v="227"/>
    <x v="5"/>
    <x v="1"/>
    <s v=""/>
    <s v="Nao"/>
  </r>
  <r>
    <x v="171"/>
    <x v="12"/>
    <x v="11"/>
    <n v="2053"/>
    <x v="38"/>
    <n v="5.8500000000000003E-2"/>
    <n v="38.4"/>
    <n v="14"/>
    <n v="104"/>
    <n v="2"/>
    <n v="120"/>
    <x v="3"/>
    <x v="48"/>
    <x v="228"/>
    <x v="5"/>
    <x v="1"/>
    <s v=""/>
    <s v="Nao"/>
  </r>
  <r>
    <x v="172"/>
    <x v="0"/>
    <x v="0"/>
    <n v="2489"/>
    <x v="259"/>
    <n v="6.5500000000000003E-2"/>
    <n v="52.16"/>
    <n v="4"/>
    <n v="154"/>
    <n v="5"/>
    <n v="163"/>
    <x v="3"/>
    <x v="49"/>
    <x v="229"/>
    <x v="5"/>
    <x v="1"/>
    <s v=""/>
    <s v="Nao"/>
  </r>
  <r>
    <x v="173"/>
    <x v="7"/>
    <x v="7"/>
    <n v="1948"/>
    <x v="260"/>
    <n v="6.1100000000000002E-2"/>
    <n v="35.700000000000003"/>
    <n v="33"/>
    <n v="85"/>
    <n v="1"/>
    <n v="119"/>
    <x v="3"/>
    <x v="50"/>
    <x v="230"/>
    <x v="5"/>
    <x v="1"/>
    <s v=""/>
    <s v="Nao"/>
  </r>
  <r>
    <x v="174"/>
    <x v="6"/>
    <x v="6"/>
    <n v="3375"/>
    <x v="261"/>
    <n v="4.7399999999999998E-2"/>
    <n v="56"/>
    <n v="6"/>
    <n v="151"/>
    <n v="3"/>
    <n v="160"/>
    <x v="3"/>
    <x v="0"/>
    <x v="231"/>
    <x v="5"/>
    <x v="1"/>
    <s v=""/>
    <s v="Nao"/>
  </r>
  <r>
    <x v="174"/>
    <x v="9"/>
    <x v="9"/>
    <n v="2219"/>
    <x v="262"/>
    <n v="4.0099999999999997E-2"/>
    <n v="23.14"/>
    <n v="2"/>
    <n v="85"/>
    <n v="2"/>
    <n v="89"/>
    <x v="3"/>
    <x v="0"/>
    <x v="232"/>
    <x v="5"/>
    <x v="1"/>
    <s v=""/>
    <s v="Nao"/>
  </r>
  <r>
    <x v="175"/>
    <x v="6"/>
    <x v="6"/>
    <n v="4002"/>
    <x v="263"/>
    <n v="6.4699999999999994E-2"/>
    <n v="90.65"/>
    <n v="7"/>
    <n v="246"/>
    <n v="6"/>
    <n v="259"/>
    <x v="3"/>
    <x v="1"/>
    <x v="7"/>
    <x v="5"/>
    <x v="1"/>
    <s v=""/>
    <s v="Nao"/>
  </r>
  <r>
    <x v="176"/>
    <x v="0"/>
    <x v="0"/>
    <n v="3006"/>
    <x v="264"/>
    <n v="5.0599999999999999E-2"/>
    <n v="48.64"/>
    <n v="61"/>
    <n v="28"/>
    <n v="63"/>
    <n v="152"/>
    <x v="3"/>
    <x v="2"/>
    <x v="233"/>
    <x v="5"/>
    <x v="1"/>
    <s v=""/>
    <s v="Sim"/>
  </r>
  <r>
    <x v="176"/>
    <x v="3"/>
    <x v="3"/>
    <n v="3711"/>
    <x v="265"/>
    <n v="4.1200000000000001E-2"/>
    <n v="42.84"/>
    <n v="10"/>
    <n v="141"/>
    <n v="2"/>
    <n v="153"/>
    <x v="3"/>
    <x v="2"/>
    <x v="234"/>
    <x v="5"/>
    <x v="1"/>
    <s v=""/>
    <s v="Nao"/>
  </r>
  <r>
    <x v="177"/>
    <x v="2"/>
    <x v="2"/>
    <n v="4185"/>
    <x v="266"/>
    <n v="5.11E-2"/>
    <n v="68.48"/>
    <n v="11"/>
    <n v="200"/>
    <n v="3"/>
    <n v="214"/>
    <x v="3"/>
    <x v="3"/>
    <x v="235"/>
    <x v="5"/>
    <x v="1"/>
    <s v=""/>
    <s v="Nao"/>
  </r>
  <r>
    <x v="178"/>
    <x v="0"/>
    <x v="0"/>
    <n v="3531"/>
    <x v="267"/>
    <n v="5.0099999999999999E-2"/>
    <n v="56.64"/>
    <n v="10"/>
    <n v="163"/>
    <n v="4"/>
    <n v="177"/>
    <x v="3"/>
    <x v="4"/>
    <x v="236"/>
    <x v="5"/>
    <x v="1"/>
    <s v=""/>
    <s v="Nao"/>
  </r>
  <r>
    <x v="179"/>
    <x v="5"/>
    <x v="5"/>
    <n v="3259"/>
    <x v="268"/>
    <n v="5.5500000000000001E-2"/>
    <n v="61.54"/>
    <n v="13"/>
    <n v="166"/>
    <n v="2"/>
    <n v="181"/>
    <x v="3"/>
    <x v="5"/>
    <x v="237"/>
    <x v="5"/>
    <x v="1"/>
    <s v=""/>
    <s v="Nao"/>
  </r>
  <r>
    <x v="179"/>
    <x v="4"/>
    <x v="4"/>
    <n v="2192"/>
    <x v="269"/>
    <n v="6.8900000000000003E-2"/>
    <n v="52.85"/>
    <n v="5"/>
    <n v="144"/>
    <n v="2"/>
    <n v="151"/>
    <x v="3"/>
    <x v="5"/>
    <x v="238"/>
    <x v="5"/>
    <x v="1"/>
    <s v=""/>
    <s v="Nao"/>
  </r>
  <r>
    <x v="180"/>
    <x v="1"/>
    <x v="1"/>
    <n v="4079"/>
    <x v="270"/>
    <n v="8.8999999999999996E-2"/>
    <n v="116.16"/>
    <n v="8"/>
    <n v="347"/>
    <n v="8"/>
    <n v="363"/>
    <x v="3"/>
    <x v="6"/>
    <x v="190"/>
    <x v="5"/>
    <x v="1"/>
    <s v=""/>
    <s v="Nao"/>
  </r>
  <r>
    <x v="181"/>
    <x v="10"/>
    <x v="10"/>
    <n v="2655"/>
    <x v="271"/>
    <n v="7.7200000000000005E-2"/>
    <n v="65.599999999999994"/>
    <n v="18"/>
    <n v="181"/>
    <n v="6"/>
    <n v="205"/>
    <x v="3"/>
    <x v="7"/>
    <x v="54"/>
    <x v="5"/>
    <x v="1"/>
    <s v=""/>
    <s v="Nao"/>
  </r>
  <r>
    <x v="181"/>
    <x v="6"/>
    <x v="6"/>
    <n v="3948"/>
    <x v="272"/>
    <n v="6.8400000000000002E-2"/>
    <n v="94.5"/>
    <n v="20"/>
    <n v="247"/>
    <n v="3"/>
    <n v="270"/>
    <x v="3"/>
    <x v="7"/>
    <x v="239"/>
    <x v="5"/>
    <x v="1"/>
    <s v=""/>
    <s v="Nao"/>
  </r>
  <r>
    <x v="182"/>
    <x v="4"/>
    <x v="4"/>
    <n v="3750"/>
    <x v="273"/>
    <n v="7.3300000000000004E-2"/>
    <n v="96.25"/>
    <n v="13"/>
    <n v="255"/>
    <n v="7"/>
    <n v="275"/>
    <x v="3"/>
    <x v="8"/>
    <x v="240"/>
    <x v="5"/>
    <x v="1"/>
    <s v=""/>
    <s v="Nao"/>
  </r>
  <r>
    <x v="182"/>
    <x v="6"/>
    <x v="6"/>
    <n v="2362"/>
    <x v="274"/>
    <n v="7.2800000000000004E-2"/>
    <n v="60.2"/>
    <n v="13"/>
    <n v="157"/>
    <n v="2"/>
    <n v="172"/>
    <x v="3"/>
    <x v="8"/>
    <x v="241"/>
    <x v="5"/>
    <x v="1"/>
    <s v=""/>
    <s v="Nao"/>
  </r>
  <r>
    <x v="183"/>
    <x v="13"/>
    <x v="9"/>
    <n v="2159"/>
    <x v="275"/>
    <n v="8.7099999999999997E-2"/>
    <n v="56.4"/>
    <n v="10"/>
    <n v="175"/>
    <n v="3"/>
    <n v="188"/>
    <x v="3"/>
    <x v="9"/>
    <x v="242"/>
    <x v="6"/>
    <x v="1"/>
    <s v=""/>
    <s v="Nao"/>
  </r>
  <r>
    <x v="183"/>
    <x v="11"/>
    <x v="0"/>
    <n v="3627"/>
    <x v="276"/>
    <n v="6.8400000000000002E-2"/>
    <n v="69.44"/>
    <n v="13"/>
    <n v="232"/>
    <n v="3"/>
    <n v="248"/>
    <x v="3"/>
    <x v="9"/>
    <x v="243"/>
    <x v="6"/>
    <x v="1"/>
    <s v=""/>
    <s v="Nao"/>
  </r>
  <r>
    <x v="184"/>
    <x v="2"/>
    <x v="2"/>
    <n v="2451"/>
    <x v="277"/>
    <n v="7.6300000000000007E-2"/>
    <n v="59.84"/>
    <n v="12"/>
    <n v="171"/>
    <n v="4"/>
    <n v="187"/>
    <x v="3"/>
    <x v="10"/>
    <x v="20"/>
    <x v="6"/>
    <x v="1"/>
    <s v=""/>
    <s v="Nao"/>
  </r>
  <r>
    <x v="184"/>
    <x v="13"/>
    <x v="9"/>
    <n v="3111"/>
    <x v="278"/>
    <n v="7.0099999999999996E-2"/>
    <n v="65.400000000000006"/>
    <n v="13"/>
    <n v="200"/>
    <n v="5"/>
    <n v="218"/>
    <x v="3"/>
    <x v="10"/>
    <x v="42"/>
    <x v="6"/>
    <x v="1"/>
    <s v=""/>
    <s v="Nao"/>
  </r>
  <r>
    <x v="185"/>
    <x v="4"/>
    <x v="4"/>
    <n v="3650"/>
    <x v="279"/>
    <n v="6.7400000000000002E-2"/>
    <n v="86.1"/>
    <n v="14"/>
    <n v="229"/>
    <n v="3"/>
    <n v="246"/>
    <x v="3"/>
    <x v="11"/>
    <x v="244"/>
    <x v="6"/>
    <x v="1"/>
    <s v=""/>
    <s v="Nao"/>
  </r>
  <r>
    <x v="186"/>
    <x v="9"/>
    <x v="9"/>
    <n v="3548"/>
    <x v="280"/>
    <n v="7.4999999999999997E-2"/>
    <n v="69.16"/>
    <n v="102"/>
    <n v="5"/>
    <n v="159"/>
    <n v="266"/>
    <x v="3"/>
    <x v="12"/>
    <x v="245"/>
    <x v="6"/>
    <x v="1"/>
    <s v=""/>
    <s v="Sim"/>
  </r>
  <r>
    <x v="187"/>
    <x v="6"/>
    <x v="6"/>
    <n v="2579"/>
    <x v="281"/>
    <n v="8.5699999999999998E-2"/>
    <n v="77.349999999999994"/>
    <n v="11"/>
    <n v="204"/>
    <n v="6"/>
    <n v="221"/>
    <x v="3"/>
    <x v="13"/>
    <x v="246"/>
    <x v="6"/>
    <x v="1"/>
    <s v=""/>
    <s v="Nao"/>
  </r>
  <r>
    <x v="188"/>
    <x v="4"/>
    <x v="4"/>
    <n v="2101"/>
    <x v="282"/>
    <n v="7.5200000000000003E-2"/>
    <n v="55.3"/>
    <n v="10"/>
    <n v="145"/>
    <n v="3"/>
    <n v="158"/>
    <x v="3"/>
    <x v="14"/>
    <x v="68"/>
    <x v="6"/>
    <x v="1"/>
    <s v=""/>
    <s v="Nao"/>
  </r>
  <r>
    <x v="188"/>
    <x v="12"/>
    <x v="11"/>
    <n v="3168"/>
    <x v="123"/>
    <n v="9.6600000000000005E-2"/>
    <n v="97.92"/>
    <n v="25"/>
    <n v="277"/>
    <n v="4"/>
    <n v="306"/>
    <x v="3"/>
    <x v="14"/>
    <x v="247"/>
    <x v="6"/>
    <x v="1"/>
    <s v=""/>
    <s v="Nao"/>
  </r>
  <r>
    <x v="189"/>
    <x v="13"/>
    <x v="9"/>
    <n v="2082"/>
    <x v="283"/>
    <n v="8.5000000000000006E-2"/>
    <n v="53.1"/>
    <n v="10"/>
    <n v="164"/>
    <n v="3"/>
    <n v="177"/>
    <x v="3"/>
    <x v="15"/>
    <x v="248"/>
    <x v="6"/>
    <x v="1"/>
    <s v=""/>
    <s v="Nao"/>
  </r>
  <r>
    <x v="190"/>
    <x v="11"/>
    <x v="0"/>
    <n v="2314"/>
    <x v="284"/>
    <n v="6.6100000000000006E-2"/>
    <n v="42.84"/>
    <n v="5"/>
    <n v="144"/>
    <n v="4"/>
    <n v="153"/>
    <x v="3"/>
    <x v="16"/>
    <x v="249"/>
    <x v="6"/>
    <x v="1"/>
    <s v=""/>
    <s v="Nao"/>
  </r>
  <r>
    <x v="190"/>
    <x v="6"/>
    <x v="6"/>
    <n v="3955"/>
    <x v="285"/>
    <n v="8.0699999999999994E-2"/>
    <n v="111.65"/>
    <n v="18"/>
    <n v="298"/>
    <n v="3"/>
    <n v="319"/>
    <x v="3"/>
    <x v="16"/>
    <x v="250"/>
    <x v="6"/>
    <x v="1"/>
    <s v=""/>
    <s v="Nao"/>
  </r>
  <r>
    <x v="191"/>
    <x v="2"/>
    <x v="2"/>
    <n v="2314"/>
    <x v="286"/>
    <n v="8.3400000000000002E-2"/>
    <n v="61.76"/>
    <n v="13"/>
    <n v="177"/>
    <n v="3"/>
    <n v="193"/>
    <x v="3"/>
    <x v="17"/>
    <x v="251"/>
    <x v="6"/>
    <x v="1"/>
    <s v=""/>
    <s v="Nao"/>
  </r>
  <r>
    <x v="192"/>
    <x v="12"/>
    <x v="11"/>
    <n v="3228"/>
    <x v="287"/>
    <n v="9.98E-2"/>
    <n v="103.04"/>
    <n v="34"/>
    <n v="280"/>
    <n v="8"/>
    <n v="322"/>
    <x v="3"/>
    <x v="18"/>
    <x v="252"/>
    <x v="6"/>
    <x v="1"/>
    <s v=""/>
    <s v="Nao"/>
  </r>
  <r>
    <x v="192"/>
    <x v="9"/>
    <x v="9"/>
    <n v="4081"/>
    <x v="288"/>
    <n v="9.5100000000000004E-2"/>
    <n v="100.88"/>
    <n v="24"/>
    <n v="354"/>
    <n v="10"/>
    <n v="388"/>
    <x v="3"/>
    <x v="18"/>
    <x v="50"/>
    <x v="6"/>
    <x v="1"/>
    <s v=""/>
    <s v="Nao"/>
  </r>
  <r>
    <x v="193"/>
    <x v="1"/>
    <x v="1"/>
    <n v="3578"/>
    <x v="289"/>
    <n v="7.7100000000000002E-2"/>
    <n v="88.32"/>
    <n v="18"/>
    <n v="253"/>
    <n v="5"/>
    <n v="276"/>
    <x v="3"/>
    <x v="19"/>
    <x v="253"/>
    <x v="6"/>
    <x v="1"/>
    <s v=""/>
    <s v="Nao"/>
  </r>
  <r>
    <x v="194"/>
    <x v="3"/>
    <x v="3"/>
    <n v="2813"/>
    <x v="290"/>
    <n v="9.4600000000000004E-2"/>
    <n v="74.48"/>
    <n v="14"/>
    <n v="247"/>
    <n v="5"/>
    <n v="266"/>
    <x v="3"/>
    <x v="20"/>
    <x v="200"/>
    <x v="6"/>
    <x v="1"/>
    <s v=""/>
    <s v="Nao"/>
  </r>
  <r>
    <x v="194"/>
    <x v="4"/>
    <x v="4"/>
    <n v="2670"/>
    <x v="291"/>
    <n v="8.2799999999999999E-2"/>
    <n v="77.349999999999994"/>
    <n v="9"/>
    <n v="208"/>
    <n v="4"/>
    <n v="221"/>
    <x v="3"/>
    <x v="20"/>
    <x v="254"/>
    <x v="6"/>
    <x v="1"/>
    <s v=""/>
    <s v="Nao"/>
  </r>
  <r>
    <x v="195"/>
    <x v="4"/>
    <x v="4"/>
    <n v="2135"/>
    <x v="292"/>
    <n v="6.6000000000000003E-2"/>
    <n v="49.35"/>
    <n v="6"/>
    <n v="133"/>
    <n v="2"/>
    <n v="141"/>
    <x v="3"/>
    <x v="21"/>
    <x v="255"/>
    <x v="6"/>
    <x v="1"/>
    <s v=""/>
    <s v="Nao"/>
  </r>
  <r>
    <x v="195"/>
    <x v="4"/>
    <x v="4"/>
    <n v="1961"/>
    <x v="293"/>
    <n v="8.8200000000000001E-2"/>
    <n v="60.55"/>
    <n v="66"/>
    <n v="33"/>
    <n v="74"/>
    <n v="173"/>
    <x v="3"/>
    <x v="21"/>
    <x v="256"/>
    <x v="6"/>
    <x v="1"/>
    <s v=""/>
    <s v="Sim"/>
  </r>
  <r>
    <x v="196"/>
    <x v="4"/>
    <x v="4"/>
    <n v="2932"/>
    <x v="294"/>
    <n v="8.8300000000000003E-2"/>
    <n v="90.65"/>
    <n v="7"/>
    <n v="248"/>
    <n v="4"/>
    <n v="259"/>
    <x v="3"/>
    <x v="22"/>
    <x v="257"/>
    <x v="6"/>
    <x v="1"/>
    <s v=""/>
    <s v="Nao"/>
  </r>
  <r>
    <x v="197"/>
    <x v="7"/>
    <x v="7"/>
    <n v="2231"/>
    <x v="295"/>
    <n v="7.5800000000000006E-2"/>
    <n v="50.7"/>
    <n v="36"/>
    <n v="129"/>
    <n v="4"/>
    <n v="169"/>
    <x v="3"/>
    <x v="23"/>
    <x v="258"/>
    <x v="6"/>
    <x v="1"/>
    <s v=""/>
    <s v="Nao"/>
  </r>
  <r>
    <x v="197"/>
    <x v="11"/>
    <x v="0"/>
    <n v="2275"/>
    <x v="262"/>
    <n v="6.3700000000000007E-2"/>
    <n v="40.6"/>
    <n v="2"/>
    <n v="139"/>
    <n v="4"/>
    <n v="145"/>
    <x v="3"/>
    <x v="23"/>
    <x v="161"/>
    <x v="6"/>
    <x v="1"/>
    <s v=""/>
    <s v="Nao"/>
  </r>
  <r>
    <x v="198"/>
    <x v="11"/>
    <x v="0"/>
    <n v="1997"/>
    <x v="296"/>
    <n v="7.9600000000000004E-2"/>
    <n v="44.52"/>
    <n v="7"/>
    <n v="148"/>
    <n v="4"/>
    <n v="159"/>
    <x v="3"/>
    <x v="24"/>
    <x v="259"/>
    <x v="6"/>
    <x v="1"/>
    <s v=""/>
    <s v="Nao"/>
  </r>
  <r>
    <x v="198"/>
    <x v="12"/>
    <x v="11"/>
    <n v="3984"/>
    <x v="297"/>
    <n v="0.10340000000000001"/>
    <n v="131.84"/>
    <n v="39"/>
    <n v="364"/>
    <n v="9"/>
    <n v="412"/>
    <x v="3"/>
    <x v="24"/>
    <x v="260"/>
    <x v="6"/>
    <x v="1"/>
    <s v=""/>
    <s v="Nao"/>
  </r>
  <r>
    <x v="199"/>
    <x v="7"/>
    <x v="7"/>
    <n v="2772"/>
    <x v="298"/>
    <n v="9.3399999999999997E-2"/>
    <n v="77.7"/>
    <n v="72"/>
    <n v="177"/>
    <n v="10"/>
    <n v="259"/>
    <x v="3"/>
    <x v="25"/>
    <x v="124"/>
    <x v="6"/>
    <x v="1"/>
    <s v=""/>
    <s v="Nao"/>
  </r>
  <r>
    <x v="199"/>
    <x v="7"/>
    <x v="7"/>
    <n v="3249"/>
    <x v="299"/>
    <n v="0.1031"/>
    <n v="100.5"/>
    <n v="71"/>
    <n v="257"/>
    <n v="7"/>
    <n v="335"/>
    <x v="3"/>
    <x v="25"/>
    <x v="261"/>
    <x v="6"/>
    <x v="1"/>
    <s v=""/>
    <s v="Nao"/>
  </r>
  <r>
    <x v="200"/>
    <x v="9"/>
    <x v="9"/>
    <n v="3896"/>
    <x v="300"/>
    <n v="9.4200000000000006E-2"/>
    <n v="95.42"/>
    <n v="17"/>
    <n v="346"/>
    <n v="4"/>
    <n v="367"/>
    <x v="3"/>
    <x v="26"/>
    <x v="262"/>
    <x v="6"/>
    <x v="1"/>
    <s v=""/>
    <s v="Nao"/>
  </r>
  <r>
    <x v="200"/>
    <x v="6"/>
    <x v="6"/>
    <n v="2809"/>
    <x v="230"/>
    <n v="7.51E-2"/>
    <n v="73.849999999999994"/>
    <n v="9"/>
    <n v="200"/>
    <n v="2"/>
    <n v="211"/>
    <x v="3"/>
    <x v="26"/>
    <x v="197"/>
    <x v="6"/>
    <x v="1"/>
    <s v=""/>
    <s v="Nao"/>
  </r>
  <r>
    <x v="201"/>
    <x v="0"/>
    <x v="0"/>
    <n v="3651"/>
    <x v="301"/>
    <n v="7.4200000000000002E-2"/>
    <n v="86.72"/>
    <n v="15"/>
    <n v="253"/>
    <n v="3"/>
    <n v="271"/>
    <x v="3"/>
    <x v="27"/>
    <x v="263"/>
    <x v="6"/>
    <x v="1"/>
    <s v=""/>
    <s v="Nao"/>
  </r>
  <r>
    <x v="202"/>
    <x v="3"/>
    <x v="3"/>
    <n v="3165"/>
    <x v="302"/>
    <n v="7.9000000000000001E-2"/>
    <n v="70"/>
    <n v="12"/>
    <n v="231"/>
    <n v="7"/>
    <n v="250"/>
    <x v="3"/>
    <x v="28"/>
    <x v="264"/>
    <x v="6"/>
    <x v="1"/>
    <s v=""/>
    <s v="Nao"/>
  </r>
  <r>
    <x v="203"/>
    <x v="14"/>
    <x v="12"/>
    <n v="3814"/>
    <x v="303"/>
    <n v="0.1046"/>
    <n v="119.7"/>
    <n v="99"/>
    <n v="296"/>
    <n v="4"/>
    <n v="399"/>
    <x v="3"/>
    <x v="29"/>
    <x v="265"/>
    <x v="6"/>
    <x v="1"/>
    <s v=""/>
    <s v="Nao"/>
  </r>
  <r>
    <x v="204"/>
    <x v="3"/>
    <x v="3"/>
    <n v="2674"/>
    <x v="139"/>
    <n v="8.7900000000000006E-2"/>
    <n v="65.8"/>
    <n v="11"/>
    <n v="220"/>
    <n v="4"/>
    <n v="235"/>
    <x v="3"/>
    <x v="30"/>
    <x v="266"/>
    <x v="6"/>
    <x v="1"/>
    <s v=""/>
    <s v="Nao"/>
  </r>
  <r>
    <x v="205"/>
    <x v="13"/>
    <x v="9"/>
    <n v="3222"/>
    <x v="304"/>
    <n v="9.9000000000000005E-2"/>
    <n v="95.7"/>
    <n v="22"/>
    <n v="291"/>
    <n v="6"/>
    <n v="319"/>
    <x v="3"/>
    <x v="31"/>
    <x v="267"/>
    <x v="6"/>
    <x v="1"/>
    <s v=""/>
    <s v="Nao"/>
  </r>
  <r>
    <x v="206"/>
    <x v="8"/>
    <x v="8"/>
    <n v="1964"/>
    <x v="305"/>
    <n v="0.1191"/>
    <n v="74.88"/>
    <n v="23"/>
    <n v="206"/>
    <n v="5"/>
    <n v="234"/>
    <x v="3"/>
    <x v="32"/>
    <x v="268"/>
    <x v="6"/>
    <x v="1"/>
    <s v=""/>
    <s v="Nao"/>
  </r>
  <r>
    <x v="207"/>
    <x v="4"/>
    <x v="4"/>
    <n v="4152"/>
    <x v="306"/>
    <n v="8.6699999999999999E-2"/>
    <n v="126"/>
    <n v="22"/>
    <n v="334"/>
    <n v="4"/>
    <n v="360"/>
    <x v="3"/>
    <x v="33"/>
    <x v="269"/>
    <x v="6"/>
    <x v="1"/>
    <s v=""/>
    <s v="Nao"/>
  </r>
  <r>
    <x v="208"/>
    <x v="9"/>
    <x v="9"/>
    <n v="2694"/>
    <x v="307"/>
    <n v="9.35E-2"/>
    <n v="65.52"/>
    <n v="7"/>
    <n v="240"/>
    <n v="5"/>
    <n v="252"/>
    <x v="3"/>
    <x v="34"/>
    <x v="11"/>
    <x v="6"/>
    <x v="1"/>
    <s v=""/>
    <s v="Nao"/>
  </r>
  <r>
    <x v="209"/>
    <x v="5"/>
    <x v="5"/>
    <n v="2372"/>
    <x v="308"/>
    <n v="8.8099999999999998E-2"/>
    <n v="71.06"/>
    <n v="7"/>
    <n v="198"/>
    <n v="4"/>
    <n v="209"/>
    <x v="3"/>
    <x v="35"/>
    <x v="128"/>
    <x v="6"/>
    <x v="1"/>
    <s v=""/>
    <s v="Nao"/>
  </r>
  <r>
    <x v="209"/>
    <x v="14"/>
    <x v="12"/>
    <n v="3317"/>
    <x v="309"/>
    <n v="0.1016"/>
    <n v="101.1"/>
    <n v="84"/>
    <n v="248"/>
    <n v="5"/>
    <n v="337"/>
    <x v="3"/>
    <x v="35"/>
    <x v="270"/>
    <x v="6"/>
    <x v="1"/>
    <s v=""/>
    <s v="Nao"/>
  </r>
  <r>
    <x v="210"/>
    <x v="8"/>
    <x v="8"/>
    <n v="1897"/>
    <x v="310"/>
    <n v="0.11650000000000001"/>
    <n v="70.72"/>
    <n v="22"/>
    <n v="193"/>
    <n v="6"/>
    <n v="221"/>
    <x v="3"/>
    <x v="51"/>
    <x v="28"/>
    <x v="6"/>
    <x v="1"/>
    <s v=""/>
    <s v="Nao"/>
  </r>
  <r>
    <x v="210"/>
    <x v="14"/>
    <x v="12"/>
    <n v="3779"/>
    <x v="311"/>
    <n v="0.1066"/>
    <n v="120.9"/>
    <n v="127"/>
    <n v="262"/>
    <n v="14"/>
    <n v="403"/>
    <x v="3"/>
    <x v="51"/>
    <x v="142"/>
    <x v="6"/>
    <x v="1"/>
    <s v=""/>
    <s v="Nao"/>
  </r>
  <r>
    <x v="211"/>
    <x v="6"/>
    <x v="6"/>
    <n v="4124"/>
    <x v="306"/>
    <n v="8.0500000000000002E-2"/>
    <n v="116.2"/>
    <n v="16"/>
    <n v="311"/>
    <n v="5"/>
    <n v="332"/>
    <x v="3"/>
    <x v="52"/>
    <x v="271"/>
    <x v="6"/>
    <x v="1"/>
    <s v=""/>
    <s v="Nao"/>
  </r>
  <r>
    <x v="211"/>
    <x v="2"/>
    <x v="2"/>
    <n v="3926"/>
    <x v="312"/>
    <n v="8.3799999999999999E-2"/>
    <n v="105.28"/>
    <n v="10"/>
    <n v="314"/>
    <n v="5"/>
    <n v="329"/>
    <x v="3"/>
    <x v="52"/>
    <x v="272"/>
    <x v="6"/>
    <x v="1"/>
    <s v=""/>
    <s v="Nao"/>
  </r>
  <r>
    <x v="212"/>
    <x v="3"/>
    <x v="3"/>
    <n v="2680"/>
    <x v="313"/>
    <n v="0.106"/>
    <n v="79.52"/>
    <n v="15"/>
    <n v="266"/>
    <n v="3"/>
    <n v="284"/>
    <x v="3"/>
    <x v="53"/>
    <x v="273"/>
    <x v="6"/>
    <x v="1"/>
    <s v=""/>
    <s v="Nao"/>
  </r>
  <r>
    <x v="212"/>
    <x v="9"/>
    <x v="9"/>
    <n v="3614"/>
    <x v="60"/>
    <n v="9.6299999999999997E-2"/>
    <n v="90.48"/>
    <n v="16"/>
    <n v="323"/>
    <n v="9"/>
    <n v="348"/>
    <x v="3"/>
    <x v="53"/>
    <x v="128"/>
    <x v="6"/>
    <x v="1"/>
    <s v=""/>
    <s v="Nao"/>
  </r>
  <r>
    <x v="213"/>
    <x v="4"/>
    <x v="4"/>
    <n v="4115"/>
    <x v="314"/>
    <n v="6.88E-2"/>
    <n v="99.05"/>
    <n v="11"/>
    <n v="266"/>
    <n v="6"/>
    <n v="283"/>
    <x v="3"/>
    <x v="54"/>
    <x v="274"/>
    <x v="7"/>
    <x v="1"/>
    <s v=""/>
    <s v="Nao"/>
  </r>
  <r>
    <x v="213"/>
    <x v="6"/>
    <x v="6"/>
    <n v="2704"/>
    <x v="315"/>
    <n v="8.9099999999999999E-2"/>
    <n v="84.35"/>
    <n v="6"/>
    <n v="230"/>
    <n v="5"/>
    <n v="241"/>
    <x v="3"/>
    <x v="54"/>
    <x v="275"/>
    <x v="7"/>
    <x v="1"/>
    <n v="54"/>
    <s v="Nao"/>
  </r>
  <r>
    <x v="214"/>
    <x v="9"/>
    <x v="9"/>
    <n v="2647"/>
    <x v="316"/>
    <n v="4.9500000000000002E-2"/>
    <n v="34.06"/>
    <n v="3"/>
    <n v="125"/>
    <n v="3"/>
    <n v="131"/>
    <x v="4"/>
    <x v="36"/>
    <x v="276"/>
    <x v="7"/>
    <x v="1"/>
    <s v=""/>
    <s v="Nao"/>
  </r>
  <r>
    <x v="215"/>
    <x v="9"/>
    <x v="9"/>
    <n v="3581"/>
    <x v="82"/>
    <n v="4.9700000000000001E-2"/>
    <n v="46.28"/>
    <n v="11"/>
    <n v="163"/>
    <n v="4"/>
    <n v="178"/>
    <x v="4"/>
    <x v="37"/>
    <x v="277"/>
    <x v="7"/>
    <x v="1"/>
    <s v=""/>
    <s v="Nao"/>
  </r>
  <r>
    <x v="216"/>
    <x v="11"/>
    <x v="0"/>
    <n v="2374"/>
    <x v="317"/>
    <n v="2.6100000000000002E-2"/>
    <n v="17.36"/>
    <n v="3"/>
    <n v="57"/>
    <n v="2"/>
    <n v="62"/>
    <x v="4"/>
    <x v="38"/>
    <x v="278"/>
    <x v="7"/>
    <x v="1"/>
    <s v=""/>
    <s v="Nao"/>
  </r>
  <r>
    <x v="217"/>
    <x v="12"/>
    <x v="11"/>
    <n v="2046"/>
    <x v="318"/>
    <n v="6.7000000000000004E-2"/>
    <n v="43.84"/>
    <n v="17"/>
    <n v="118"/>
    <n v="2"/>
    <n v="137"/>
    <x v="4"/>
    <x v="39"/>
    <x v="279"/>
    <x v="7"/>
    <x v="1"/>
    <s v=""/>
    <s v="Nao"/>
  </r>
  <r>
    <x v="217"/>
    <x v="9"/>
    <x v="9"/>
    <n v="3739"/>
    <x v="319"/>
    <n v="4.7300000000000002E-2"/>
    <n v="46.02"/>
    <n v="5"/>
    <n v="168"/>
    <n v="4"/>
    <n v="177"/>
    <x v="4"/>
    <x v="39"/>
    <x v="280"/>
    <x v="7"/>
    <x v="1"/>
    <s v=""/>
    <s v="Nao"/>
  </r>
  <r>
    <x v="218"/>
    <x v="10"/>
    <x v="10"/>
    <n v="3218"/>
    <x v="320"/>
    <n v="7.4300000000000005E-2"/>
    <n v="76.48"/>
    <n v="30"/>
    <n v="205"/>
    <n v="4"/>
    <n v="239"/>
    <x v="4"/>
    <x v="40"/>
    <x v="281"/>
    <x v="7"/>
    <x v="1"/>
    <s v=""/>
    <s v="Nao"/>
  </r>
  <r>
    <x v="218"/>
    <x v="4"/>
    <x v="4"/>
    <n v="3049"/>
    <x v="321"/>
    <n v="4.6600000000000003E-2"/>
    <n v="49.7"/>
    <n v="9"/>
    <n v="131"/>
    <n v="2"/>
    <n v="142"/>
    <x v="4"/>
    <x v="40"/>
    <x v="282"/>
    <x v="7"/>
    <x v="1"/>
    <s v=""/>
    <s v="Nao"/>
  </r>
  <r>
    <x v="219"/>
    <x v="11"/>
    <x v="0"/>
    <n v="2780"/>
    <x v="322"/>
    <n v="4.0300000000000002E-2"/>
    <n v="31.36"/>
    <n v="2"/>
    <n v="107"/>
    <n v="3"/>
    <n v="112"/>
    <x v="4"/>
    <x v="41"/>
    <x v="38"/>
    <x v="7"/>
    <x v="1"/>
    <s v=""/>
    <s v="Nao"/>
  </r>
  <r>
    <x v="220"/>
    <x v="12"/>
    <x v="11"/>
    <n v="4126"/>
    <x v="323"/>
    <n v="5.4800000000000001E-2"/>
    <n v="72.319999999999993"/>
    <n v="25"/>
    <n v="194"/>
    <n v="7"/>
    <n v="226"/>
    <x v="4"/>
    <x v="42"/>
    <x v="135"/>
    <x v="7"/>
    <x v="1"/>
    <s v=""/>
    <s v="Nao"/>
  </r>
  <r>
    <x v="221"/>
    <x v="9"/>
    <x v="9"/>
    <n v="4119"/>
    <x v="324"/>
    <n v="7.1400000000000005E-2"/>
    <n v="76.44"/>
    <n v="19"/>
    <n v="272"/>
    <n v="3"/>
    <n v="294"/>
    <x v="4"/>
    <x v="43"/>
    <x v="283"/>
    <x v="7"/>
    <x v="1"/>
    <s v=""/>
    <s v="Nao"/>
  </r>
  <r>
    <x v="221"/>
    <x v="13"/>
    <x v="9"/>
    <n v="3758"/>
    <x v="325"/>
    <n v="7.0499999999999993E-2"/>
    <n v="79.5"/>
    <n v="20"/>
    <n v="242"/>
    <n v="3"/>
    <n v="265"/>
    <x v="4"/>
    <x v="43"/>
    <x v="284"/>
    <x v="7"/>
    <x v="1"/>
    <s v=""/>
    <s v="Nao"/>
  </r>
  <r>
    <x v="222"/>
    <x v="3"/>
    <x v="3"/>
    <n v="3744"/>
    <x v="265"/>
    <n v="4.9700000000000001E-2"/>
    <n v="52.08"/>
    <n v="11"/>
    <n v="173"/>
    <n v="2"/>
    <n v="186"/>
    <x v="4"/>
    <x v="44"/>
    <x v="242"/>
    <x v="7"/>
    <x v="1"/>
    <s v=""/>
    <s v="Nao"/>
  </r>
  <r>
    <x v="223"/>
    <x v="2"/>
    <x v="2"/>
    <n v="3819"/>
    <x v="326"/>
    <n v="6.0999999999999999E-2"/>
    <n v="74.56"/>
    <n v="9"/>
    <n v="220"/>
    <n v="4"/>
    <n v="233"/>
    <x v="4"/>
    <x v="45"/>
    <x v="285"/>
    <x v="7"/>
    <x v="1"/>
    <s v=""/>
    <s v="Nao"/>
  </r>
  <r>
    <x v="223"/>
    <x v="11"/>
    <x v="0"/>
    <n v="2445"/>
    <x v="327"/>
    <n v="4.7399999999999998E-2"/>
    <n v="32.479999999999997"/>
    <n v="6"/>
    <n v="109"/>
    <n v="1"/>
    <n v="116"/>
    <x v="4"/>
    <x v="45"/>
    <x v="286"/>
    <x v="7"/>
    <x v="1"/>
    <s v=""/>
    <s v="Nao"/>
  </r>
  <r>
    <x v="224"/>
    <x v="14"/>
    <x v="12"/>
    <n v="1941"/>
    <x v="328"/>
    <n v="6.2899999999999998E-2"/>
    <n v="36.6"/>
    <n v="38"/>
    <n v="82"/>
    <n v="2"/>
    <n v="122"/>
    <x v="4"/>
    <x v="46"/>
    <x v="0"/>
    <x v="7"/>
    <x v="1"/>
    <s v=""/>
    <s v="Nao"/>
  </r>
  <r>
    <x v="224"/>
    <x v="9"/>
    <x v="9"/>
    <n v="3704"/>
    <x v="329"/>
    <n v="7.2400000000000006E-2"/>
    <n v="69.680000000000007"/>
    <n v="6"/>
    <n v="254"/>
    <n v="8"/>
    <n v="268"/>
    <x v="4"/>
    <x v="46"/>
    <x v="287"/>
    <x v="7"/>
    <x v="1"/>
    <s v=""/>
    <s v="Nao"/>
  </r>
  <r>
    <x v="225"/>
    <x v="8"/>
    <x v="8"/>
    <n v="1882"/>
    <x v="330"/>
    <n v="9.2499999999999999E-2"/>
    <n v="55.68"/>
    <n v="21"/>
    <n v="149"/>
    <n v="4"/>
    <n v="174"/>
    <x v="4"/>
    <x v="47"/>
    <x v="62"/>
    <x v="7"/>
    <x v="1"/>
    <s v=""/>
    <s v="Nao"/>
  </r>
  <r>
    <x v="226"/>
    <x v="8"/>
    <x v="8"/>
    <n v="3331"/>
    <x v="331"/>
    <n v="9.01E-2"/>
    <n v="96"/>
    <n v="34"/>
    <n v="262"/>
    <n v="4"/>
    <n v="300"/>
    <x v="4"/>
    <x v="48"/>
    <x v="288"/>
    <x v="7"/>
    <x v="1"/>
    <s v=""/>
    <s v="Nao"/>
  </r>
  <r>
    <x v="226"/>
    <x v="2"/>
    <x v="2"/>
    <n v="3652"/>
    <x v="332"/>
    <n v="5.8900000000000001E-2"/>
    <n v="68.8"/>
    <n v="10"/>
    <n v="202"/>
    <n v="3"/>
    <n v="215"/>
    <x v="4"/>
    <x v="48"/>
    <x v="289"/>
    <x v="7"/>
    <x v="1"/>
    <s v=""/>
    <s v="Nao"/>
  </r>
  <r>
    <x v="227"/>
    <x v="2"/>
    <x v="2"/>
    <n v="3562"/>
    <x v="185"/>
    <n v="5.8700000000000002E-2"/>
    <n v="66.88"/>
    <n v="6"/>
    <n v="198"/>
    <n v="5"/>
    <n v="209"/>
    <x v="4"/>
    <x v="49"/>
    <x v="193"/>
    <x v="7"/>
    <x v="1"/>
    <s v=""/>
    <s v="Nao"/>
  </r>
  <r>
    <x v="227"/>
    <x v="12"/>
    <x v="11"/>
    <n v="1867"/>
    <x v="333"/>
    <n v="6.3700000000000007E-2"/>
    <n v="38.08"/>
    <n v="15"/>
    <n v="102"/>
    <n v="2"/>
    <n v="119"/>
    <x v="4"/>
    <x v="49"/>
    <x v="164"/>
    <x v="7"/>
    <x v="1"/>
    <s v=""/>
    <s v="Nao"/>
  </r>
  <r>
    <x v="228"/>
    <x v="0"/>
    <x v="0"/>
    <n v="4115"/>
    <x v="334"/>
    <n v="4.0800000000000003E-2"/>
    <n v="53.76"/>
    <n v="2"/>
    <n v="161"/>
    <n v="5"/>
    <n v="168"/>
    <x v="4"/>
    <x v="50"/>
    <x v="100"/>
    <x v="7"/>
    <x v="1"/>
    <s v=""/>
    <s v="Nao"/>
  </r>
  <r>
    <x v="228"/>
    <x v="13"/>
    <x v="9"/>
    <n v="2460"/>
    <x v="138"/>
    <n v="6.2199999999999998E-2"/>
    <n v="45.9"/>
    <n v="3"/>
    <n v="146"/>
    <n v="4"/>
    <n v="153"/>
    <x v="4"/>
    <x v="50"/>
    <x v="290"/>
    <x v="7"/>
    <x v="1"/>
    <s v=""/>
    <s v="Nao"/>
  </r>
  <r>
    <x v="229"/>
    <x v="4"/>
    <x v="4"/>
    <n v="2831"/>
    <x v="53"/>
    <n v="5.6899999999999999E-2"/>
    <n v="56.35"/>
    <n v="8"/>
    <n v="150"/>
    <n v="3"/>
    <n v="161"/>
    <x v="4"/>
    <x v="0"/>
    <x v="291"/>
    <x v="7"/>
    <x v="1"/>
    <s v=""/>
    <s v="Nao"/>
  </r>
  <r>
    <x v="229"/>
    <x v="10"/>
    <x v="10"/>
    <n v="4021"/>
    <x v="335"/>
    <n v="8.2600000000000007E-2"/>
    <n v="106.24"/>
    <n v="37"/>
    <n v="288"/>
    <n v="7"/>
    <n v="332"/>
    <x v="4"/>
    <x v="0"/>
    <x v="292"/>
    <x v="7"/>
    <x v="1"/>
    <s v=""/>
    <s v="Nao"/>
  </r>
  <r>
    <x v="230"/>
    <x v="9"/>
    <x v="9"/>
    <n v="2304"/>
    <x v="336"/>
    <n v="7.9899999999999999E-2"/>
    <n v="47.84"/>
    <n v="10"/>
    <n v="170"/>
    <n v="4"/>
    <n v="184"/>
    <x v="4"/>
    <x v="1"/>
    <x v="293"/>
    <x v="7"/>
    <x v="1"/>
    <s v=""/>
    <s v="Nao"/>
  </r>
  <r>
    <x v="230"/>
    <x v="10"/>
    <x v="10"/>
    <n v="2571"/>
    <x v="337"/>
    <n v="7.5800000000000006E-2"/>
    <n v="62.4"/>
    <n v="29"/>
    <n v="162"/>
    <n v="4"/>
    <n v="195"/>
    <x v="4"/>
    <x v="1"/>
    <x v="294"/>
    <x v="7"/>
    <x v="1"/>
    <s v=""/>
    <s v="Nao"/>
  </r>
  <r>
    <x v="231"/>
    <x v="11"/>
    <x v="0"/>
    <n v="2910"/>
    <x v="338"/>
    <n v="2.5100000000000001E-2"/>
    <n v="20.440000000000001"/>
    <n v="2"/>
    <n v="70"/>
    <n v="1"/>
    <n v="73"/>
    <x v="4"/>
    <x v="2"/>
    <x v="150"/>
    <x v="7"/>
    <x v="1"/>
    <s v=""/>
    <s v="Nao"/>
  </r>
  <r>
    <x v="231"/>
    <x v="5"/>
    <x v="5"/>
    <n v="2579"/>
    <x v="339"/>
    <n v="6.4399999999999999E-2"/>
    <n v="56.44"/>
    <n v="8"/>
    <n v="155"/>
    <n v="3"/>
    <n v="166"/>
    <x v="4"/>
    <x v="2"/>
    <x v="255"/>
    <x v="7"/>
    <x v="1"/>
    <s v=""/>
    <s v="Nao"/>
  </r>
  <r>
    <x v="232"/>
    <x v="7"/>
    <x v="7"/>
    <n v="3247"/>
    <x v="340"/>
    <n v="6.9900000000000004E-2"/>
    <n v="68.099999999999994"/>
    <n v="56"/>
    <n v="166"/>
    <n v="5"/>
    <n v="227"/>
    <x v="4"/>
    <x v="3"/>
    <x v="68"/>
    <x v="7"/>
    <x v="1"/>
    <s v=""/>
    <s v="Nao"/>
  </r>
  <r>
    <x v="232"/>
    <x v="11"/>
    <x v="0"/>
    <n v="2500"/>
    <x v="341"/>
    <n v="4.6800000000000001E-2"/>
    <n v="32.76"/>
    <n v="5"/>
    <n v="110"/>
    <n v="2"/>
    <n v="117"/>
    <x v="4"/>
    <x v="3"/>
    <x v="295"/>
    <x v="7"/>
    <x v="1"/>
    <s v=""/>
    <s v="Nao"/>
  </r>
  <r>
    <x v="233"/>
    <x v="0"/>
    <x v="0"/>
    <n v="4080"/>
    <x v="342"/>
    <n v="5.0200000000000002E-2"/>
    <n v="65.599999999999994"/>
    <n v="13"/>
    <n v="187"/>
    <n v="5"/>
    <n v="205"/>
    <x v="4"/>
    <x v="4"/>
    <x v="296"/>
    <x v="7"/>
    <x v="1"/>
    <s v=""/>
    <s v="Nao"/>
  </r>
  <r>
    <x v="234"/>
    <x v="7"/>
    <x v="7"/>
    <n v="1982"/>
    <x v="343"/>
    <n v="6.9599999999999995E-2"/>
    <n v="41.4"/>
    <n v="44"/>
    <n v="92"/>
    <n v="2"/>
    <n v="138"/>
    <x v="4"/>
    <x v="5"/>
    <x v="228"/>
    <x v="7"/>
    <x v="1"/>
    <s v=""/>
    <s v="Nao"/>
  </r>
  <r>
    <x v="235"/>
    <x v="11"/>
    <x v="0"/>
    <n v="1818"/>
    <x v="344"/>
    <n v="6.3299999999999995E-2"/>
    <n v="32.200000000000003"/>
    <n v="2"/>
    <n v="110"/>
    <n v="3"/>
    <n v="115"/>
    <x v="4"/>
    <x v="6"/>
    <x v="297"/>
    <x v="7"/>
    <x v="1"/>
    <s v=""/>
    <s v="Nao"/>
  </r>
  <r>
    <x v="236"/>
    <x v="11"/>
    <x v="0"/>
    <n v="3950"/>
    <x v="345"/>
    <n v="6.1499999999999999E-2"/>
    <n v="68.040000000000006"/>
    <n v="7"/>
    <n v="232"/>
    <n v="4"/>
    <n v="243"/>
    <x v="4"/>
    <x v="7"/>
    <x v="298"/>
    <x v="7"/>
    <x v="1"/>
    <s v=""/>
    <s v="Nao"/>
  </r>
  <r>
    <x v="236"/>
    <x v="9"/>
    <x v="9"/>
    <n v="2789"/>
    <x v="346"/>
    <n v="7.6700000000000004E-2"/>
    <n v="55.64"/>
    <n v="9"/>
    <n v="202"/>
    <n v="3"/>
    <n v="214"/>
    <x v="4"/>
    <x v="7"/>
    <x v="299"/>
    <x v="7"/>
    <x v="1"/>
    <s v=""/>
    <s v="Nao"/>
  </r>
  <r>
    <x v="237"/>
    <x v="4"/>
    <x v="4"/>
    <n v="2907"/>
    <x v="347"/>
    <n v="5.9200000000000003E-2"/>
    <n v="60.2"/>
    <n v="6"/>
    <n v="163"/>
    <n v="3"/>
    <n v="172"/>
    <x v="4"/>
    <x v="8"/>
    <x v="289"/>
    <x v="7"/>
    <x v="1"/>
    <s v=""/>
    <s v="Nao"/>
  </r>
  <r>
    <x v="237"/>
    <x v="5"/>
    <x v="5"/>
    <n v="1904"/>
    <x v="348"/>
    <n v="6.9900000000000004E-2"/>
    <n v="45.22"/>
    <n v="3"/>
    <n v="127"/>
    <n v="3"/>
    <n v="133"/>
    <x v="4"/>
    <x v="8"/>
    <x v="61"/>
    <x v="7"/>
    <x v="1"/>
    <s v=""/>
    <s v="Nao"/>
  </r>
  <r>
    <x v="238"/>
    <x v="7"/>
    <x v="7"/>
    <n v="3363"/>
    <x v="349"/>
    <n v="7.7600000000000002E-2"/>
    <n v="78.3"/>
    <n v="66"/>
    <n v="186"/>
    <n v="9"/>
    <n v="261"/>
    <x v="4"/>
    <x v="9"/>
    <x v="300"/>
    <x v="7"/>
    <x v="1"/>
    <s v=""/>
    <s v="Nao"/>
  </r>
  <r>
    <x v="238"/>
    <x v="0"/>
    <x v="0"/>
    <n v="4143"/>
    <x v="350"/>
    <n v="5.1200000000000002E-2"/>
    <n v="67.84"/>
    <n v="8"/>
    <n v="200"/>
    <n v="4"/>
    <n v="212"/>
    <x v="4"/>
    <x v="9"/>
    <x v="301"/>
    <x v="7"/>
    <x v="1"/>
    <s v=""/>
    <s v="Nao"/>
  </r>
  <r>
    <x v="239"/>
    <x v="6"/>
    <x v="6"/>
    <n v="3798"/>
    <x v="351"/>
    <n v="4.3200000000000002E-2"/>
    <n v="57.4"/>
    <n v="5"/>
    <n v="155"/>
    <n v="4"/>
    <n v="164"/>
    <x v="4"/>
    <x v="10"/>
    <x v="302"/>
    <x v="7"/>
    <x v="1"/>
    <s v=""/>
    <s v="Nao"/>
  </r>
  <r>
    <x v="239"/>
    <x v="14"/>
    <x v="12"/>
    <n v="2930"/>
    <x v="352"/>
    <n v="8.1199999999999994E-2"/>
    <n v="71.400000000000006"/>
    <n v="66"/>
    <n v="168"/>
    <n v="4"/>
    <n v="238"/>
    <x v="4"/>
    <x v="10"/>
    <x v="281"/>
    <x v="7"/>
    <x v="1"/>
    <s v=""/>
    <s v="Nao"/>
  </r>
  <r>
    <x v="240"/>
    <x v="3"/>
    <x v="3"/>
    <n v="2853"/>
    <x v="353"/>
    <n v="8.8700000000000001E-2"/>
    <n v="70.84"/>
    <n v="5"/>
    <n v="241"/>
    <n v="7"/>
    <n v="253"/>
    <x v="4"/>
    <x v="11"/>
    <x v="303"/>
    <x v="7"/>
    <x v="1"/>
    <s v=""/>
    <s v="Nao"/>
  </r>
  <r>
    <x v="241"/>
    <x v="4"/>
    <x v="4"/>
    <n v="3841"/>
    <x v="354"/>
    <n v="6.2E-2"/>
    <n v="83.3"/>
    <n v="17"/>
    <n v="217"/>
    <n v="4"/>
    <n v="238"/>
    <x v="4"/>
    <x v="12"/>
    <x v="304"/>
    <x v="7"/>
    <x v="1"/>
    <s v=""/>
    <s v="Nao"/>
  </r>
  <r>
    <x v="241"/>
    <x v="4"/>
    <x v="4"/>
    <n v="2478"/>
    <x v="355"/>
    <n v="5.1700000000000003E-2"/>
    <n v="44.8"/>
    <n v="8"/>
    <n v="117"/>
    <n v="3"/>
    <n v="128"/>
    <x v="4"/>
    <x v="12"/>
    <x v="305"/>
    <x v="7"/>
    <x v="1"/>
    <s v=""/>
    <s v="Nao"/>
  </r>
  <r>
    <x v="242"/>
    <x v="7"/>
    <x v="7"/>
    <n v="2713"/>
    <x v="356"/>
    <n v="7.6700000000000004E-2"/>
    <n v="62.4"/>
    <n v="47"/>
    <n v="158"/>
    <n v="3"/>
    <n v="208"/>
    <x v="4"/>
    <x v="13"/>
    <x v="306"/>
    <x v="7"/>
    <x v="1"/>
    <s v=""/>
    <s v="Nao"/>
  </r>
  <r>
    <x v="242"/>
    <x v="0"/>
    <x v="0"/>
    <n v="2616"/>
    <x v="339"/>
    <n v="7.7600000000000002E-2"/>
    <n v="64.959999999999994"/>
    <n v="11"/>
    <n v="190"/>
    <n v="2"/>
    <n v="203"/>
    <x v="4"/>
    <x v="13"/>
    <x v="181"/>
    <x v="7"/>
    <x v="1"/>
    <s v=""/>
    <s v="Nao"/>
  </r>
  <r>
    <x v="243"/>
    <x v="1"/>
    <x v="1"/>
    <n v="3199"/>
    <x v="357"/>
    <n v="7.5300000000000006E-2"/>
    <n v="77.12"/>
    <n v="12"/>
    <n v="226"/>
    <n v="3"/>
    <n v="241"/>
    <x v="4"/>
    <x v="14"/>
    <x v="307"/>
    <x v="7"/>
    <x v="1"/>
    <s v=""/>
    <s v="Nao"/>
  </r>
  <r>
    <x v="244"/>
    <x v="0"/>
    <x v="0"/>
    <n v="3837"/>
    <x v="326"/>
    <n v="6.54E-2"/>
    <n v="80.319999999999993"/>
    <n v="16"/>
    <n v="232"/>
    <n v="3"/>
    <n v="251"/>
    <x v="4"/>
    <x v="15"/>
    <x v="285"/>
    <x v="8"/>
    <x v="1"/>
    <s v=""/>
    <s v="Nao"/>
  </r>
  <r>
    <x v="245"/>
    <x v="3"/>
    <x v="3"/>
    <n v="3969"/>
    <x v="150"/>
    <n v="8.6199999999999999E-2"/>
    <n v="95.76"/>
    <n v="8"/>
    <n v="328"/>
    <n v="6"/>
    <n v="342"/>
    <x v="4"/>
    <x v="16"/>
    <x v="308"/>
    <x v="8"/>
    <x v="1"/>
    <s v=""/>
    <s v="Nao"/>
  </r>
  <r>
    <x v="245"/>
    <x v="6"/>
    <x v="6"/>
    <n v="3531"/>
    <x v="358"/>
    <n v="6.8000000000000005E-2"/>
    <n v="84"/>
    <n v="11"/>
    <n v="226"/>
    <n v="3"/>
    <n v="240"/>
    <x v="4"/>
    <x v="16"/>
    <x v="30"/>
    <x v="8"/>
    <x v="1"/>
    <s v=""/>
    <s v="Nao"/>
  </r>
  <r>
    <x v="246"/>
    <x v="14"/>
    <x v="12"/>
    <n v="1867"/>
    <x v="359"/>
    <n v="8.14E-2"/>
    <n v="45.6"/>
    <n v="37"/>
    <n v="111"/>
    <n v="4"/>
    <n v="152"/>
    <x v="4"/>
    <x v="17"/>
    <x v="309"/>
    <x v="8"/>
    <x v="1"/>
    <s v=""/>
    <s v="Nao"/>
  </r>
  <r>
    <x v="247"/>
    <x v="2"/>
    <x v="2"/>
    <n v="3202"/>
    <x v="360"/>
    <n v="7.3099999999999998E-2"/>
    <n v="74.88"/>
    <n v="10"/>
    <n v="221"/>
    <n v="3"/>
    <n v="234"/>
    <x v="4"/>
    <x v="18"/>
    <x v="268"/>
    <x v="8"/>
    <x v="1"/>
    <s v=""/>
    <s v="Nao"/>
  </r>
  <r>
    <x v="248"/>
    <x v="13"/>
    <x v="9"/>
    <n v="2803"/>
    <x v="361"/>
    <n v="9.8500000000000004E-2"/>
    <n v="82.8"/>
    <n v="7"/>
    <n v="263"/>
    <n v="6"/>
    <n v="276"/>
    <x v="4"/>
    <x v="19"/>
    <x v="310"/>
    <x v="8"/>
    <x v="1"/>
    <s v=""/>
    <s v="Nao"/>
  </r>
  <r>
    <x v="248"/>
    <x v="11"/>
    <x v="0"/>
    <n v="3427"/>
    <x v="362"/>
    <n v="6.6500000000000004E-2"/>
    <n v="63.84"/>
    <n v="6"/>
    <n v="216"/>
    <n v="6"/>
    <n v="228"/>
    <x v="4"/>
    <x v="19"/>
    <x v="287"/>
    <x v="8"/>
    <x v="1"/>
    <s v=""/>
    <s v="Nao"/>
  </r>
  <r>
    <x v="249"/>
    <x v="14"/>
    <x v="12"/>
    <n v="3584"/>
    <x v="289"/>
    <n v="7.8700000000000006E-2"/>
    <n v="84.6"/>
    <n v="69"/>
    <n v="204"/>
    <n v="9"/>
    <n v="282"/>
    <x v="4"/>
    <x v="20"/>
    <x v="311"/>
    <x v="8"/>
    <x v="1"/>
    <s v=""/>
    <s v="Nao"/>
  </r>
  <r>
    <x v="250"/>
    <x v="2"/>
    <x v="2"/>
    <n v="2456"/>
    <x v="363"/>
    <n v="8.5099999999999995E-2"/>
    <n v="66.88"/>
    <n v="8"/>
    <n v="196"/>
    <n v="5"/>
    <n v="209"/>
    <x v="4"/>
    <x v="21"/>
    <x v="193"/>
    <x v="8"/>
    <x v="1"/>
    <s v=""/>
    <s v="Nao"/>
  </r>
  <r>
    <x v="251"/>
    <x v="13"/>
    <x v="9"/>
    <n v="4093"/>
    <x v="364"/>
    <n v="9.3600000000000003E-2"/>
    <n v="114.9"/>
    <n v="14"/>
    <n v="364"/>
    <n v="5"/>
    <n v="383"/>
    <x v="4"/>
    <x v="22"/>
    <x v="312"/>
    <x v="8"/>
    <x v="1"/>
    <s v=""/>
    <s v="Nao"/>
  </r>
  <r>
    <x v="252"/>
    <x v="9"/>
    <x v="9"/>
    <n v="3760"/>
    <x v="365"/>
    <n v="8.3500000000000005E-2"/>
    <n v="81.64"/>
    <n v="12"/>
    <n v="293"/>
    <n v="9"/>
    <n v="314"/>
    <x v="4"/>
    <x v="23"/>
    <x v="313"/>
    <x v="8"/>
    <x v="1"/>
    <s v=""/>
    <s v="Nao"/>
  </r>
  <r>
    <x v="252"/>
    <x v="13"/>
    <x v="9"/>
    <n v="2494"/>
    <x v="366"/>
    <n v="7.9799999999999996E-2"/>
    <n v="59.7"/>
    <n v="12"/>
    <n v="184"/>
    <n v="3"/>
    <n v="199"/>
    <x v="4"/>
    <x v="23"/>
    <x v="314"/>
    <x v="8"/>
    <x v="1"/>
    <s v=""/>
    <s v="Nao"/>
  </r>
  <r>
    <x v="253"/>
    <x v="13"/>
    <x v="9"/>
    <n v="3746"/>
    <x v="367"/>
    <n v="7.1300000000000002E-2"/>
    <n v="80.099999999999994"/>
    <n v="4"/>
    <n v="255"/>
    <n v="8"/>
    <n v="267"/>
    <x v="4"/>
    <x v="24"/>
    <x v="315"/>
    <x v="8"/>
    <x v="1"/>
    <s v=""/>
    <s v="Nao"/>
  </r>
  <r>
    <x v="253"/>
    <x v="1"/>
    <x v="1"/>
    <n v="2403"/>
    <x v="368"/>
    <n v="0.114"/>
    <n v="87.68"/>
    <n v="8"/>
    <n v="260"/>
    <n v="6"/>
    <n v="274"/>
    <x v="4"/>
    <x v="24"/>
    <x v="316"/>
    <x v="8"/>
    <x v="1"/>
    <s v=""/>
    <s v="Nao"/>
  </r>
  <r>
    <x v="254"/>
    <x v="13"/>
    <x v="9"/>
    <n v="3663"/>
    <x v="369"/>
    <n v="9.1499999999999998E-2"/>
    <n v="100.5"/>
    <n v="11"/>
    <n v="320"/>
    <n v="4"/>
    <n v="335"/>
    <x v="4"/>
    <x v="25"/>
    <x v="317"/>
    <x v="8"/>
    <x v="1"/>
    <s v=""/>
    <s v="Nao"/>
  </r>
  <r>
    <x v="254"/>
    <x v="14"/>
    <x v="12"/>
    <n v="3146"/>
    <x v="370"/>
    <n v="9.7600000000000006E-2"/>
    <n v="92.1"/>
    <n v="77"/>
    <n v="221"/>
    <n v="9"/>
    <n v="307"/>
    <x v="4"/>
    <x v="25"/>
    <x v="318"/>
    <x v="8"/>
    <x v="1"/>
    <s v=""/>
    <s v="Nao"/>
  </r>
  <r>
    <x v="255"/>
    <x v="1"/>
    <x v="1"/>
    <n v="1821"/>
    <x v="371"/>
    <n v="9.5600000000000004E-2"/>
    <n v="55.68"/>
    <n v="11"/>
    <n v="160"/>
    <n v="3"/>
    <n v="174"/>
    <x v="4"/>
    <x v="26"/>
    <x v="62"/>
    <x v="8"/>
    <x v="1"/>
    <s v=""/>
    <s v="Nao"/>
  </r>
  <r>
    <x v="255"/>
    <x v="10"/>
    <x v="10"/>
    <n v="4041"/>
    <x v="372"/>
    <n v="0.1086"/>
    <n v="140.47999999999999"/>
    <n v="58"/>
    <n v="372"/>
    <n v="9"/>
    <n v="439"/>
    <x v="4"/>
    <x v="26"/>
    <x v="319"/>
    <x v="8"/>
    <x v="1"/>
    <s v=""/>
    <s v="Nao"/>
  </r>
  <r>
    <x v="256"/>
    <x v="7"/>
    <x v="7"/>
    <n v="1818"/>
    <x v="373"/>
    <n v="8.6900000000000005E-2"/>
    <n v="47.4"/>
    <n v="30"/>
    <n v="126"/>
    <n v="2"/>
    <n v="158"/>
    <x v="4"/>
    <x v="27"/>
    <x v="160"/>
    <x v="8"/>
    <x v="1"/>
    <s v=""/>
    <s v="Nao"/>
  </r>
  <r>
    <x v="256"/>
    <x v="4"/>
    <x v="4"/>
    <n v="4035"/>
    <x v="374"/>
    <n v="7.3400000000000007E-2"/>
    <n v="103.6"/>
    <n v="7"/>
    <n v="281"/>
    <n v="8"/>
    <n v="296"/>
    <x v="4"/>
    <x v="27"/>
    <x v="320"/>
    <x v="8"/>
    <x v="1"/>
    <s v=""/>
    <s v="Nao"/>
  </r>
  <r>
    <x v="257"/>
    <x v="4"/>
    <x v="4"/>
    <n v="2601"/>
    <x v="375"/>
    <n v="7.6100000000000001E-2"/>
    <n v="69.3"/>
    <n v="14"/>
    <n v="181"/>
    <n v="3"/>
    <n v="198"/>
    <x v="4"/>
    <x v="28"/>
    <x v="321"/>
    <x v="8"/>
    <x v="1"/>
    <s v=""/>
    <s v="Nao"/>
  </r>
  <r>
    <x v="257"/>
    <x v="7"/>
    <x v="7"/>
    <n v="2709"/>
    <x v="376"/>
    <n v="8.1199999999999994E-2"/>
    <n v="66"/>
    <n v="68"/>
    <n v="149"/>
    <n v="3"/>
    <n v="220"/>
    <x v="4"/>
    <x v="28"/>
    <x v="322"/>
    <x v="8"/>
    <x v="1"/>
    <s v=""/>
    <s v="Nao"/>
  </r>
  <r>
    <x v="258"/>
    <x v="12"/>
    <x v="11"/>
    <n v="2157"/>
    <x v="377"/>
    <n v="9.69E-2"/>
    <n v="66.88"/>
    <n v="28"/>
    <n v="176"/>
    <n v="5"/>
    <n v="209"/>
    <x v="4"/>
    <x v="29"/>
    <x v="193"/>
    <x v="8"/>
    <x v="1"/>
    <s v=""/>
    <s v="Nao"/>
  </r>
  <r>
    <x v="258"/>
    <x v="10"/>
    <x v="10"/>
    <n v="4169"/>
    <x v="378"/>
    <n v="9.9500000000000005E-2"/>
    <n v="132.80000000000001"/>
    <n v="45"/>
    <n v="363"/>
    <n v="7"/>
    <n v="415"/>
    <x v="4"/>
    <x v="29"/>
    <x v="323"/>
    <x v="8"/>
    <x v="1"/>
    <s v=""/>
    <s v="Nao"/>
  </r>
  <r>
    <x v="259"/>
    <x v="6"/>
    <x v="6"/>
    <n v="3038"/>
    <x v="379"/>
    <n v="7.8E-2"/>
    <n v="82.95"/>
    <n v="13"/>
    <n v="219"/>
    <n v="5"/>
    <n v="237"/>
    <x v="4"/>
    <x v="30"/>
    <x v="324"/>
    <x v="8"/>
    <x v="1"/>
    <s v=""/>
    <s v="Nao"/>
  </r>
  <r>
    <x v="260"/>
    <x v="8"/>
    <x v="8"/>
    <n v="3493"/>
    <x v="380"/>
    <n v="0.1202"/>
    <n v="134.4"/>
    <n v="52"/>
    <n v="361"/>
    <n v="7"/>
    <n v="420"/>
    <x v="4"/>
    <x v="31"/>
    <x v="325"/>
    <x v="8"/>
    <x v="1"/>
    <s v=""/>
    <s v="Nao"/>
  </r>
  <r>
    <x v="261"/>
    <x v="14"/>
    <x v="12"/>
    <n v="3878"/>
    <x v="381"/>
    <n v="9.2299999999999993E-2"/>
    <n v="107.4"/>
    <n v="94"/>
    <n v="254"/>
    <n v="10"/>
    <n v="358"/>
    <x v="4"/>
    <x v="32"/>
    <x v="326"/>
    <x v="8"/>
    <x v="1"/>
    <s v=""/>
    <s v="Nao"/>
  </r>
  <r>
    <x v="261"/>
    <x v="9"/>
    <x v="9"/>
    <n v="2459"/>
    <x v="382"/>
    <n v="0.1021"/>
    <n v="65.260000000000005"/>
    <n v="14"/>
    <n v="231"/>
    <n v="6"/>
    <n v="251"/>
    <x v="4"/>
    <x v="32"/>
    <x v="213"/>
    <x v="8"/>
    <x v="1"/>
    <s v=""/>
    <s v="Nao"/>
  </r>
  <r>
    <x v="262"/>
    <x v="4"/>
    <x v="4"/>
    <n v="2845"/>
    <x v="383"/>
    <n v="7.2099999999999997E-2"/>
    <n v="71.75"/>
    <n v="7"/>
    <n v="194"/>
    <n v="4"/>
    <n v="205"/>
    <x v="4"/>
    <x v="33"/>
    <x v="267"/>
    <x v="8"/>
    <x v="1"/>
    <s v=""/>
    <s v="Nao"/>
  </r>
  <r>
    <x v="262"/>
    <x v="13"/>
    <x v="9"/>
    <n v="2649"/>
    <x v="384"/>
    <n v="0.10150000000000001"/>
    <n v="80.7"/>
    <n v="11"/>
    <n v="254"/>
    <n v="4"/>
    <n v="269"/>
    <x v="4"/>
    <x v="33"/>
    <x v="200"/>
    <x v="8"/>
    <x v="1"/>
    <s v=""/>
    <s v="Nao"/>
  </r>
  <r>
    <x v="263"/>
    <x v="8"/>
    <x v="8"/>
    <n v="2790"/>
    <x v="385"/>
    <n v="0.1215"/>
    <n v="108.48"/>
    <n v="42"/>
    <n v="288"/>
    <n v="9"/>
    <n v="339"/>
    <x v="4"/>
    <x v="34"/>
    <x v="327"/>
    <x v="8"/>
    <x v="1"/>
    <s v=""/>
    <s v="Nao"/>
  </r>
  <r>
    <x v="263"/>
    <x v="4"/>
    <x v="4"/>
    <n v="2617"/>
    <x v="386"/>
    <n v="7.6799999999999993E-2"/>
    <n v="70.349999999999994"/>
    <n v="9"/>
    <n v="186"/>
    <n v="6"/>
    <n v="201"/>
    <x v="4"/>
    <x v="34"/>
    <x v="328"/>
    <x v="8"/>
    <x v="1"/>
    <s v=""/>
    <s v="Nao"/>
  </r>
  <r>
    <x v="264"/>
    <x v="10"/>
    <x v="10"/>
    <n v="2432"/>
    <x v="387"/>
    <n v="9.3299999999999994E-2"/>
    <n v="72.64"/>
    <n v="23"/>
    <n v="198"/>
    <n v="6"/>
    <n v="227"/>
    <x v="4"/>
    <x v="35"/>
    <x v="165"/>
    <x v="8"/>
    <x v="1"/>
    <s v=""/>
    <s v="Nao"/>
  </r>
  <r>
    <x v="265"/>
    <x v="5"/>
    <x v="5"/>
    <n v="2906"/>
    <x v="200"/>
    <n v="7.6399999999999996E-2"/>
    <n v="75.48"/>
    <n v="9"/>
    <n v="206"/>
    <n v="7"/>
    <n v="222"/>
    <x v="4"/>
    <x v="51"/>
    <x v="329"/>
    <x v="8"/>
    <x v="1"/>
    <s v=""/>
    <s v="Nao"/>
  </r>
  <r>
    <x v="265"/>
    <x v="2"/>
    <x v="2"/>
    <n v="2270"/>
    <x v="388"/>
    <n v="6.83E-2"/>
    <n v="49.6"/>
    <n v="6"/>
    <n v="147"/>
    <n v="2"/>
    <n v="155"/>
    <x v="4"/>
    <x v="51"/>
    <x v="330"/>
    <x v="8"/>
    <x v="1"/>
    <n v="51"/>
    <s v="Nao"/>
  </r>
  <r>
    <x v="266"/>
    <x v="2"/>
    <x v="2"/>
    <n v="2034"/>
    <x v="389"/>
    <n v="4.87E-2"/>
    <n v="31.68"/>
    <n v="2"/>
    <n v="95"/>
    <n v="2"/>
    <n v="99"/>
    <x v="5"/>
    <x v="36"/>
    <x v="17"/>
    <x v="8"/>
    <x v="1"/>
    <s v=""/>
    <s v="Nao"/>
  </r>
  <r>
    <x v="267"/>
    <x v="13"/>
    <x v="9"/>
    <n v="2592"/>
    <x v="271"/>
    <n v="5.4800000000000001E-2"/>
    <n v="42.6"/>
    <n v="6"/>
    <n v="134"/>
    <n v="2"/>
    <n v="142"/>
    <x v="5"/>
    <x v="37"/>
    <x v="331"/>
    <x v="8"/>
    <x v="1"/>
    <s v=""/>
    <s v="Nao"/>
  </r>
  <r>
    <x v="267"/>
    <x v="2"/>
    <x v="2"/>
    <n v="3325"/>
    <x v="390"/>
    <n v="4.7800000000000002E-2"/>
    <n v="50.88"/>
    <n v="7"/>
    <n v="149"/>
    <n v="3"/>
    <n v="159"/>
    <x v="5"/>
    <x v="37"/>
    <x v="332"/>
    <x v="8"/>
    <x v="1"/>
    <s v=""/>
    <s v="Nao"/>
  </r>
  <r>
    <x v="268"/>
    <x v="1"/>
    <x v="1"/>
    <n v="3797"/>
    <x v="391"/>
    <n v="4.87E-2"/>
    <n v="59.2"/>
    <n v="8"/>
    <n v="172"/>
    <n v="5"/>
    <n v="185"/>
    <x v="5"/>
    <x v="38"/>
    <x v="333"/>
    <x v="8"/>
    <x v="1"/>
    <s v=""/>
    <s v="Nao"/>
  </r>
  <r>
    <x v="268"/>
    <x v="8"/>
    <x v="8"/>
    <n v="2128"/>
    <x v="392"/>
    <n v="7.9899999999999999E-2"/>
    <n v="54.4"/>
    <n v="22"/>
    <n v="144"/>
    <n v="4"/>
    <n v="170"/>
    <x v="5"/>
    <x v="38"/>
    <x v="334"/>
    <x v="8"/>
    <x v="1"/>
    <s v=""/>
    <s v="Nao"/>
  </r>
  <r>
    <x v="269"/>
    <x v="6"/>
    <x v="6"/>
    <n v="2996"/>
    <x v="393"/>
    <n v="4.3400000000000001E-2"/>
    <n v="45.5"/>
    <n v="8"/>
    <n v="119"/>
    <n v="3"/>
    <n v="130"/>
    <x v="5"/>
    <x v="39"/>
    <x v="335"/>
    <x v="8"/>
    <x v="1"/>
    <s v=""/>
    <s v="Nao"/>
  </r>
  <r>
    <x v="269"/>
    <x v="14"/>
    <x v="12"/>
    <n v="2739"/>
    <x v="394"/>
    <n v="5.11E-2"/>
    <n v="42"/>
    <n v="39"/>
    <n v="99"/>
    <n v="2"/>
    <n v="140"/>
    <x v="5"/>
    <x v="39"/>
    <x v="336"/>
    <x v="8"/>
    <x v="1"/>
    <s v=""/>
    <s v="Nao"/>
  </r>
  <r>
    <x v="270"/>
    <x v="10"/>
    <x v="10"/>
    <n v="2034"/>
    <x v="395"/>
    <n v="6.2899999999999998E-2"/>
    <n v="40.96"/>
    <n v="15"/>
    <n v="111"/>
    <n v="2"/>
    <n v="128"/>
    <x v="5"/>
    <x v="40"/>
    <x v="66"/>
    <x v="8"/>
    <x v="1"/>
    <s v=""/>
    <s v="Nao"/>
  </r>
  <r>
    <x v="270"/>
    <x v="2"/>
    <x v="2"/>
    <n v="2357"/>
    <x v="396"/>
    <n v="5.1799999999999999E-2"/>
    <n v="39.04"/>
    <n v="2"/>
    <n v="117"/>
    <n v="3"/>
    <n v="122"/>
    <x v="5"/>
    <x v="40"/>
    <x v="337"/>
    <x v="8"/>
    <x v="1"/>
    <s v=""/>
    <s v="Nao"/>
  </r>
  <r>
    <x v="271"/>
    <x v="0"/>
    <x v="0"/>
    <n v="2474"/>
    <x v="397"/>
    <n v="2.5100000000000001E-2"/>
    <n v="19.84"/>
    <n v="3"/>
    <n v="58"/>
    <n v="1"/>
    <n v="62"/>
    <x v="5"/>
    <x v="41"/>
    <x v="338"/>
    <x v="8"/>
    <x v="1"/>
    <s v=""/>
    <s v="Nao"/>
  </r>
  <r>
    <x v="271"/>
    <x v="12"/>
    <x v="11"/>
    <n v="2539"/>
    <x v="398"/>
    <n v="6.7299999999999999E-2"/>
    <n v="54.72"/>
    <n v="19"/>
    <n v="148"/>
    <n v="4"/>
    <n v="171"/>
    <x v="5"/>
    <x v="41"/>
    <x v="287"/>
    <x v="8"/>
    <x v="1"/>
    <s v=""/>
    <s v="Nao"/>
  </r>
  <r>
    <x v="272"/>
    <x v="13"/>
    <x v="9"/>
    <n v="3951"/>
    <x v="399"/>
    <n v="5.7500000000000002E-2"/>
    <n v="68.099999999999994"/>
    <n v="13"/>
    <n v="211"/>
    <n v="3"/>
    <n v="227"/>
    <x v="5"/>
    <x v="42"/>
    <x v="339"/>
    <x v="8"/>
    <x v="1"/>
    <s v=""/>
    <s v="Nao"/>
  </r>
  <r>
    <x v="272"/>
    <x v="6"/>
    <x v="6"/>
    <n v="3559"/>
    <x v="400"/>
    <n v="4.8300000000000003E-2"/>
    <n v="60.2"/>
    <n v="5"/>
    <n v="163"/>
    <n v="4"/>
    <n v="172"/>
    <x v="5"/>
    <x v="42"/>
    <x v="241"/>
    <x v="8"/>
    <x v="1"/>
    <s v=""/>
    <s v="Nao"/>
  </r>
  <r>
    <x v="273"/>
    <x v="0"/>
    <x v="0"/>
    <n v="3859"/>
    <x v="209"/>
    <n v="4.9500000000000002E-2"/>
    <n v="61.12"/>
    <n v="12"/>
    <n v="174"/>
    <n v="5"/>
    <n v="191"/>
    <x v="5"/>
    <x v="43"/>
    <x v="282"/>
    <x v="8"/>
    <x v="1"/>
    <s v=""/>
    <s v="Nao"/>
  </r>
  <r>
    <x v="274"/>
    <x v="8"/>
    <x v="8"/>
    <n v="3279"/>
    <x v="401"/>
    <n v="8.2000000000000003E-2"/>
    <n v="86.08"/>
    <n v="24"/>
    <n v="237"/>
    <n v="8"/>
    <n v="269"/>
    <x v="5"/>
    <x v="44"/>
    <x v="340"/>
    <x v="9"/>
    <x v="1"/>
    <s v=""/>
    <s v="Nao"/>
  </r>
  <r>
    <x v="274"/>
    <x v="5"/>
    <x v="5"/>
    <n v="2288"/>
    <x v="402"/>
    <n v="5.0299999999999997E-2"/>
    <n v="39.1"/>
    <n v="7"/>
    <n v="105"/>
    <n v="3"/>
    <n v="115"/>
    <x v="5"/>
    <x v="44"/>
    <x v="337"/>
    <x v="9"/>
    <x v="1"/>
    <s v=""/>
    <s v="Nao"/>
  </r>
  <r>
    <x v="275"/>
    <x v="4"/>
    <x v="4"/>
    <n v="2192"/>
    <x v="403"/>
    <n v="5.57E-2"/>
    <n v="42.7"/>
    <n v="5"/>
    <n v="114"/>
    <n v="3"/>
    <n v="122"/>
    <x v="5"/>
    <x v="45"/>
    <x v="335"/>
    <x v="9"/>
    <x v="1"/>
    <s v=""/>
    <s v="Nao"/>
  </r>
  <r>
    <x v="275"/>
    <x v="12"/>
    <x v="11"/>
    <n v="2077"/>
    <x v="404"/>
    <n v="5.9700000000000003E-2"/>
    <n v="39.68"/>
    <n v="11"/>
    <n v="110"/>
    <n v="3"/>
    <n v="124"/>
    <x v="5"/>
    <x v="45"/>
    <x v="341"/>
    <x v="9"/>
    <x v="1"/>
    <s v=""/>
    <s v="Nao"/>
  </r>
  <r>
    <x v="276"/>
    <x v="5"/>
    <x v="5"/>
    <n v="4114"/>
    <x v="405"/>
    <n v="4.4200000000000003E-2"/>
    <n v="61.88"/>
    <n v="7"/>
    <n v="170"/>
    <n v="5"/>
    <n v="182"/>
    <x v="5"/>
    <x v="46"/>
    <x v="168"/>
    <x v="9"/>
    <x v="1"/>
    <s v=""/>
    <s v="Nao"/>
  </r>
  <r>
    <x v="276"/>
    <x v="13"/>
    <x v="9"/>
    <n v="3794"/>
    <x v="406"/>
    <n v="6.0100000000000001E-2"/>
    <n v="68.400000000000006"/>
    <n v="13"/>
    <n v="211"/>
    <n v="4"/>
    <n v="228"/>
    <x v="5"/>
    <x v="46"/>
    <x v="342"/>
    <x v="9"/>
    <x v="1"/>
    <s v=""/>
    <s v="Nao"/>
  </r>
  <r>
    <x v="277"/>
    <x v="8"/>
    <x v="8"/>
    <n v="2485"/>
    <x v="138"/>
    <n v="7.1599999999999997E-2"/>
    <n v="56.96"/>
    <n v="16"/>
    <n v="160"/>
    <n v="2"/>
    <n v="178"/>
    <x v="5"/>
    <x v="47"/>
    <x v="10"/>
    <x v="9"/>
    <x v="1"/>
    <s v=""/>
    <s v="Nao"/>
  </r>
  <r>
    <x v="277"/>
    <x v="9"/>
    <x v="9"/>
    <n v="4095"/>
    <x v="407"/>
    <n v="4.6199999999999998E-2"/>
    <n v="49.14"/>
    <n v="9"/>
    <n v="178"/>
    <n v="2"/>
    <n v="189"/>
    <x v="5"/>
    <x v="47"/>
    <x v="343"/>
    <x v="9"/>
    <x v="1"/>
    <s v=""/>
    <s v="Nao"/>
  </r>
  <r>
    <x v="278"/>
    <x v="14"/>
    <x v="12"/>
    <n v="4057"/>
    <x v="408"/>
    <n v="6.4799999999999996E-2"/>
    <n v="78.900000000000006"/>
    <n v="54"/>
    <n v="203"/>
    <n v="6"/>
    <n v="263"/>
    <x v="5"/>
    <x v="48"/>
    <x v="344"/>
    <x v="9"/>
    <x v="1"/>
    <s v=""/>
    <s v="Nao"/>
  </r>
  <r>
    <x v="279"/>
    <x v="14"/>
    <x v="12"/>
    <n v="2916"/>
    <x v="244"/>
    <n v="7.3400000000000007E-2"/>
    <n v="64.2"/>
    <n v="42"/>
    <n v="163"/>
    <n v="9"/>
    <n v="214"/>
    <x v="5"/>
    <x v="49"/>
    <x v="289"/>
    <x v="9"/>
    <x v="1"/>
    <s v=""/>
    <s v="Nao"/>
  </r>
  <r>
    <x v="279"/>
    <x v="1"/>
    <x v="1"/>
    <n v="3346"/>
    <x v="409"/>
    <n v="6.0400000000000002E-2"/>
    <n v="64.64"/>
    <n v="10"/>
    <n v="190"/>
    <n v="2"/>
    <n v="202"/>
    <x v="5"/>
    <x v="49"/>
    <x v="143"/>
    <x v="9"/>
    <x v="1"/>
    <s v=""/>
    <s v="Nao"/>
  </r>
  <r>
    <x v="280"/>
    <x v="10"/>
    <x v="10"/>
    <n v="3655"/>
    <x v="251"/>
    <n v="7.6899999999999996E-2"/>
    <n v="89.92"/>
    <n v="31"/>
    <n v="242"/>
    <n v="8"/>
    <n v="281"/>
    <x v="5"/>
    <x v="50"/>
    <x v="117"/>
    <x v="9"/>
    <x v="1"/>
    <s v=""/>
    <s v="Nao"/>
  </r>
  <r>
    <x v="280"/>
    <x v="6"/>
    <x v="6"/>
    <n v="4158"/>
    <x v="410"/>
    <n v="5.9900000000000002E-2"/>
    <n v="87.15"/>
    <n v="19"/>
    <n v="227"/>
    <n v="3"/>
    <n v="249"/>
    <x v="5"/>
    <x v="50"/>
    <x v="261"/>
    <x v="9"/>
    <x v="1"/>
    <s v=""/>
    <s v="Nao"/>
  </r>
  <r>
    <x v="281"/>
    <x v="5"/>
    <x v="5"/>
    <n v="3972"/>
    <x v="374"/>
    <n v="5.8700000000000002E-2"/>
    <n v="79.22"/>
    <n v="14"/>
    <n v="214"/>
    <n v="5"/>
    <n v="233"/>
    <x v="5"/>
    <x v="0"/>
    <x v="321"/>
    <x v="9"/>
    <x v="1"/>
    <s v=""/>
    <s v="Nao"/>
  </r>
  <r>
    <x v="281"/>
    <x v="9"/>
    <x v="9"/>
    <n v="2294"/>
    <x v="207"/>
    <n v="6.5799999999999997E-2"/>
    <n v="39.26"/>
    <n v="6"/>
    <n v="141"/>
    <n v="4"/>
    <n v="151"/>
    <x v="5"/>
    <x v="0"/>
    <x v="345"/>
    <x v="9"/>
    <x v="1"/>
    <s v=""/>
    <s v="Nao"/>
  </r>
  <r>
    <x v="282"/>
    <x v="1"/>
    <x v="1"/>
    <n v="3677"/>
    <x v="411"/>
    <n v="6.6400000000000001E-2"/>
    <n v="78.08"/>
    <n v="8"/>
    <n v="232"/>
    <n v="4"/>
    <n v="244"/>
    <x v="5"/>
    <x v="1"/>
    <x v="346"/>
    <x v="9"/>
    <x v="1"/>
    <s v=""/>
    <s v="Nao"/>
  </r>
  <r>
    <x v="282"/>
    <x v="10"/>
    <x v="10"/>
    <n v="4018"/>
    <x v="31"/>
    <n v="8.8900000000000007E-2"/>
    <n v="114.24"/>
    <n v="49"/>
    <n v="303"/>
    <n v="5"/>
    <n v="357"/>
    <x v="5"/>
    <x v="1"/>
    <x v="347"/>
    <x v="9"/>
    <x v="1"/>
    <s v=""/>
    <s v="Nao"/>
  </r>
  <r>
    <x v="283"/>
    <x v="12"/>
    <x v="11"/>
    <n v="2148"/>
    <x v="38"/>
    <n v="0.10009999999999999"/>
    <n v="68.8"/>
    <n v="21"/>
    <n v="190"/>
    <n v="4"/>
    <n v="215"/>
    <x v="5"/>
    <x v="2"/>
    <x v="289"/>
    <x v="9"/>
    <x v="1"/>
    <s v=""/>
    <s v="Nao"/>
  </r>
  <r>
    <x v="283"/>
    <x v="12"/>
    <x v="11"/>
    <n v="3322"/>
    <x v="412"/>
    <n v="7.6799999999999993E-2"/>
    <n v="81.599999999999994"/>
    <n v="30"/>
    <n v="220"/>
    <n v="5"/>
    <n v="255"/>
    <x v="5"/>
    <x v="2"/>
    <x v="348"/>
    <x v="9"/>
    <x v="1"/>
    <s v=""/>
    <s v="Nao"/>
  </r>
  <r>
    <x v="284"/>
    <x v="9"/>
    <x v="9"/>
    <n v="2428"/>
    <x v="413"/>
    <n v="5.11E-2"/>
    <n v="32.24"/>
    <n v="3"/>
    <n v="119"/>
    <n v="2"/>
    <n v="124"/>
    <x v="5"/>
    <x v="3"/>
    <x v="349"/>
    <x v="9"/>
    <x v="1"/>
    <s v=""/>
    <s v="Nao"/>
  </r>
  <r>
    <x v="284"/>
    <x v="2"/>
    <x v="2"/>
    <n v="2905"/>
    <x v="414"/>
    <n v="6.0900000000000003E-2"/>
    <n v="56.64"/>
    <n v="12"/>
    <n v="163"/>
    <n v="2"/>
    <n v="177"/>
    <x v="5"/>
    <x v="3"/>
    <x v="210"/>
    <x v="9"/>
    <x v="1"/>
    <s v=""/>
    <s v="Nao"/>
  </r>
  <r>
    <x v="285"/>
    <x v="9"/>
    <x v="9"/>
    <n v="3089"/>
    <x v="415"/>
    <n v="7.3800000000000004E-2"/>
    <n v="59.28"/>
    <n v="7"/>
    <n v="218"/>
    <n v="3"/>
    <n v="228"/>
    <x v="5"/>
    <x v="4"/>
    <x v="227"/>
    <x v="9"/>
    <x v="1"/>
    <s v=""/>
    <s v="Nao"/>
  </r>
  <r>
    <x v="285"/>
    <x v="4"/>
    <x v="4"/>
    <n v="3572"/>
    <x v="416"/>
    <n v="6.4399999999999999E-2"/>
    <n v="80.5"/>
    <n v="10"/>
    <n v="214"/>
    <n v="6"/>
    <n v="230"/>
    <x v="5"/>
    <x v="4"/>
    <x v="350"/>
    <x v="9"/>
    <x v="1"/>
    <s v=""/>
    <s v="Nao"/>
  </r>
  <r>
    <x v="286"/>
    <x v="2"/>
    <x v="2"/>
    <n v="3946"/>
    <x v="417"/>
    <n v="7.5999999999999998E-2"/>
    <n v="96"/>
    <n v="13"/>
    <n v="279"/>
    <n v="8"/>
    <n v="300"/>
    <x v="5"/>
    <x v="5"/>
    <x v="288"/>
    <x v="9"/>
    <x v="1"/>
    <s v=""/>
    <s v="Nao"/>
  </r>
  <r>
    <x v="286"/>
    <x v="3"/>
    <x v="3"/>
    <n v="2351"/>
    <x v="418"/>
    <n v="6.5100000000000005E-2"/>
    <n v="42.84"/>
    <n v="4"/>
    <n v="145"/>
    <n v="4"/>
    <n v="153"/>
    <x v="5"/>
    <x v="5"/>
    <x v="234"/>
    <x v="9"/>
    <x v="1"/>
    <s v=""/>
    <s v="Nao"/>
  </r>
  <r>
    <x v="287"/>
    <x v="1"/>
    <x v="1"/>
    <n v="2020"/>
    <x v="419"/>
    <n v="5.8900000000000001E-2"/>
    <n v="38.08"/>
    <n v="8"/>
    <n v="108"/>
    <n v="3"/>
    <n v="119"/>
    <x v="5"/>
    <x v="6"/>
    <x v="164"/>
    <x v="9"/>
    <x v="1"/>
    <s v=""/>
    <s v="Nao"/>
  </r>
  <r>
    <x v="287"/>
    <x v="12"/>
    <x v="11"/>
    <n v="3713"/>
    <x v="420"/>
    <n v="7.22E-2"/>
    <n v="85.76"/>
    <n v="31"/>
    <n v="232"/>
    <n v="5"/>
    <n v="268"/>
    <x v="5"/>
    <x v="6"/>
    <x v="351"/>
    <x v="9"/>
    <x v="1"/>
    <s v=""/>
    <s v="Nao"/>
  </r>
  <r>
    <x v="288"/>
    <x v="4"/>
    <x v="4"/>
    <n v="3782"/>
    <x v="421"/>
    <n v="7.2700000000000001E-2"/>
    <n v="96.25"/>
    <n v="12"/>
    <n v="259"/>
    <n v="4"/>
    <n v="275"/>
    <x v="5"/>
    <x v="7"/>
    <x v="240"/>
    <x v="9"/>
    <x v="1"/>
    <s v=""/>
    <s v="Nao"/>
  </r>
  <r>
    <x v="288"/>
    <x v="8"/>
    <x v="8"/>
    <n v="2078"/>
    <x v="395"/>
    <n v="8.2799999999999999E-2"/>
    <n v="55.04"/>
    <n v="18"/>
    <n v="150"/>
    <n v="4"/>
    <n v="172"/>
    <x v="5"/>
    <x v="7"/>
    <x v="352"/>
    <x v="9"/>
    <x v="1"/>
    <s v=""/>
    <s v="Nao"/>
  </r>
  <r>
    <x v="289"/>
    <x v="5"/>
    <x v="5"/>
    <n v="2499"/>
    <x v="422"/>
    <n v="5.4399999999999997E-2"/>
    <n v="46.24"/>
    <n v="9"/>
    <n v="125"/>
    <n v="2"/>
    <n v="136"/>
    <x v="5"/>
    <x v="8"/>
    <x v="69"/>
    <x v="9"/>
    <x v="1"/>
    <s v=""/>
    <s v="Nao"/>
  </r>
  <r>
    <x v="289"/>
    <x v="5"/>
    <x v="5"/>
    <n v="2011"/>
    <x v="423"/>
    <n v="6.1699999999999998E-2"/>
    <n v="42.16"/>
    <n v="8"/>
    <n v="113"/>
    <n v="3"/>
    <n v="124"/>
    <x v="5"/>
    <x v="8"/>
    <x v="353"/>
    <x v="9"/>
    <x v="1"/>
    <s v=""/>
    <s v="Nao"/>
  </r>
  <r>
    <x v="290"/>
    <x v="14"/>
    <x v="12"/>
    <n v="3334"/>
    <x v="424"/>
    <n v="6.2100000000000002E-2"/>
    <n v="62.1"/>
    <n v="55"/>
    <n v="144"/>
    <n v="8"/>
    <n v="207"/>
    <x v="5"/>
    <x v="9"/>
    <x v="354"/>
    <x v="9"/>
    <x v="1"/>
    <s v=""/>
    <s v="Nao"/>
  </r>
  <r>
    <x v="290"/>
    <x v="2"/>
    <x v="2"/>
    <n v="2935"/>
    <x v="425"/>
    <n v="8.8200000000000001E-2"/>
    <n v="82.88"/>
    <n v="16"/>
    <n v="238"/>
    <n v="5"/>
    <n v="259"/>
    <x v="5"/>
    <x v="9"/>
    <x v="246"/>
    <x v="9"/>
    <x v="1"/>
    <s v=""/>
    <s v="Nao"/>
  </r>
  <r>
    <x v="291"/>
    <x v="14"/>
    <x v="12"/>
    <n v="2845"/>
    <x v="426"/>
    <n v="8.8599999999999998E-2"/>
    <n v="75.599999999999994"/>
    <n v="48"/>
    <n v="197"/>
    <n v="7"/>
    <n v="252"/>
    <x v="5"/>
    <x v="10"/>
    <x v="21"/>
    <x v="9"/>
    <x v="1"/>
    <s v=""/>
    <s v="Nao"/>
  </r>
  <r>
    <x v="291"/>
    <x v="3"/>
    <x v="3"/>
    <n v="3879"/>
    <x v="427"/>
    <n v="5.67E-2"/>
    <n v="61.6"/>
    <n v="6"/>
    <n v="209"/>
    <n v="5"/>
    <n v="220"/>
    <x v="5"/>
    <x v="10"/>
    <x v="70"/>
    <x v="9"/>
    <x v="1"/>
    <s v=""/>
    <s v="Nao"/>
  </r>
  <r>
    <x v="292"/>
    <x v="3"/>
    <x v="3"/>
    <n v="3383"/>
    <x v="428"/>
    <n v="8.5099999999999995E-2"/>
    <n v="80.64"/>
    <n v="18"/>
    <n v="264"/>
    <n v="6"/>
    <n v="288"/>
    <x v="5"/>
    <x v="11"/>
    <x v="268"/>
    <x v="9"/>
    <x v="1"/>
    <s v=""/>
    <s v="Nao"/>
  </r>
  <r>
    <x v="292"/>
    <x v="8"/>
    <x v="8"/>
    <n v="2904"/>
    <x v="429"/>
    <n v="8.6800000000000002E-2"/>
    <n v="80.64"/>
    <n v="35"/>
    <n v="211"/>
    <n v="6"/>
    <n v="252"/>
    <x v="5"/>
    <x v="11"/>
    <x v="43"/>
    <x v="9"/>
    <x v="1"/>
    <s v=""/>
    <s v="Nao"/>
  </r>
  <r>
    <x v="293"/>
    <x v="12"/>
    <x v="11"/>
    <n v="2806"/>
    <x v="430"/>
    <n v="9.8400000000000001E-2"/>
    <n v="88.32"/>
    <n v="28"/>
    <n v="241"/>
    <n v="7"/>
    <n v="276"/>
    <x v="5"/>
    <x v="12"/>
    <x v="253"/>
    <x v="9"/>
    <x v="1"/>
    <s v=""/>
    <s v="Nao"/>
  </r>
  <r>
    <x v="293"/>
    <x v="5"/>
    <x v="5"/>
    <n v="3920"/>
    <x v="431"/>
    <n v="7.3700000000000002E-2"/>
    <n v="98.26"/>
    <n v="12"/>
    <n v="268"/>
    <n v="9"/>
    <n v="289"/>
    <x v="5"/>
    <x v="12"/>
    <x v="355"/>
    <x v="9"/>
    <x v="1"/>
    <s v=""/>
    <s v="Nao"/>
  </r>
  <r>
    <x v="294"/>
    <x v="13"/>
    <x v="9"/>
    <n v="2360"/>
    <x v="432"/>
    <n v="8.77E-2"/>
    <n v="62.1"/>
    <n v="9"/>
    <n v="194"/>
    <n v="4"/>
    <n v="207"/>
    <x v="5"/>
    <x v="13"/>
    <x v="356"/>
    <x v="9"/>
    <x v="1"/>
    <s v=""/>
    <s v="Nao"/>
  </r>
  <r>
    <x v="294"/>
    <x v="13"/>
    <x v="9"/>
    <n v="3367"/>
    <x v="433"/>
    <n v="0.10009999999999999"/>
    <n v="101.1"/>
    <n v="12"/>
    <n v="322"/>
    <n v="3"/>
    <n v="337"/>
    <x v="5"/>
    <x v="13"/>
    <x v="140"/>
    <x v="9"/>
    <x v="1"/>
    <s v=""/>
    <s v="Nao"/>
  </r>
  <r>
    <x v="295"/>
    <x v="7"/>
    <x v="7"/>
    <n v="1877"/>
    <x v="434"/>
    <n v="6.1800000000000001E-2"/>
    <n v="34.799999999999997"/>
    <n v="34"/>
    <n v="79"/>
    <n v="3"/>
    <n v="116"/>
    <x v="5"/>
    <x v="14"/>
    <x v="357"/>
    <x v="9"/>
    <x v="1"/>
    <s v=""/>
    <s v="Nao"/>
  </r>
  <r>
    <x v="295"/>
    <x v="11"/>
    <x v="0"/>
    <n v="2991"/>
    <x v="435"/>
    <n v="5.5500000000000001E-2"/>
    <n v="46.48"/>
    <n v="7"/>
    <n v="155"/>
    <n v="4"/>
    <n v="166"/>
    <x v="5"/>
    <x v="14"/>
    <x v="358"/>
    <x v="9"/>
    <x v="1"/>
    <s v=""/>
    <s v="Nao"/>
  </r>
  <r>
    <x v="296"/>
    <x v="5"/>
    <x v="5"/>
    <n v="3655"/>
    <x v="436"/>
    <n v="7.1099999999999997E-2"/>
    <n v="88.4"/>
    <n v="9"/>
    <n v="245"/>
    <n v="6"/>
    <n v="260"/>
    <x v="5"/>
    <x v="15"/>
    <x v="254"/>
    <x v="9"/>
    <x v="1"/>
    <s v=""/>
    <s v="Nao"/>
  </r>
  <r>
    <x v="296"/>
    <x v="1"/>
    <x v="1"/>
    <n v="2682"/>
    <x v="376"/>
    <n v="7.1999999999999995E-2"/>
    <n v="61.76"/>
    <n v="14"/>
    <n v="176"/>
    <n v="3"/>
    <n v="193"/>
    <x v="5"/>
    <x v="15"/>
    <x v="251"/>
    <x v="9"/>
    <x v="1"/>
    <s v=""/>
    <s v="Nao"/>
  </r>
  <r>
    <x v="297"/>
    <x v="1"/>
    <x v="1"/>
    <n v="2394"/>
    <x v="146"/>
    <n v="6.2199999999999998E-2"/>
    <n v="47.68"/>
    <n v="10"/>
    <n v="137"/>
    <n v="2"/>
    <n v="149"/>
    <x v="5"/>
    <x v="16"/>
    <x v="359"/>
    <x v="9"/>
    <x v="1"/>
    <s v=""/>
    <s v="Nao"/>
  </r>
  <r>
    <x v="297"/>
    <x v="2"/>
    <x v="2"/>
    <n v="4178"/>
    <x v="437"/>
    <n v="8.2600000000000007E-2"/>
    <n v="110.4"/>
    <n v="14"/>
    <n v="321"/>
    <n v="10"/>
    <n v="345"/>
    <x v="5"/>
    <x v="16"/>
    <x v="360"/>
    <x v="9"/>
    <x v="1"/>
    <s v=""/>
    <s v="Nao"/>
  </r>
  <r>
    <x v="298"/>
    <x v="10"/>
    <x v="10"/>
    <n v="3965"/>
    <x v="80"/>
    <n v="8.4500000000000006E-2"/>
    <n v="107.2"/>
    <n v="35"/>
    <n v="292"/>
    <n v="8"/>
    <n v="335"/>
    <x v="5"/>
    <x v="17"/>
    <x v="361"/>
    <x v="9"/>
    <x v="1"/>
    <s v=""/>
    <s v="Nao"/>
  </r>
  <r>
    <x v="298"/>
    <x v="12"/>
    <x v="11"/>
    <n v="3273"/>
    <x v="438"/>
    <n v="7.8799999999999995E-2"/>
    <n v="82.56"/>
    <n v="27"/>
    <n v="223"/>
    <n v="8"/>
    <n v="258"/>
    <x v="5"/>
    <x v="17"/>
    <x v="362"/>
    <x v="9"/>
    <x v="1"/>
    <s v=""/>
    <s v="Nao"/>
  </r>
  <r>
    <x v="299"/>
    <x v="6"/>
    <x v="6"/>
    <n v="2014"/>
    <x v="439"/>
    <n v="6.6000000000000003E-2"/>
    <n v="46.55"/>
    <n v="9"/>
    <n v="122"/>
    <n v="2"/>
    <n v="133"/>
    <x v="5"/>
    <x v="18"/>
    <x v="363"/>
    <x v="9"/>
    <x v="1"/>
    <s v=""/>
    <s v="Nao"/>
  </r>
  <r>
    <x v="299"/>
    <x v="1"/>
    <x v="1"/>
    <n v="2160"/>
    <x v="440"/>
    <n v="6.4399999999999999E-2"/>
    <n v="44.48"/>
    <n v="9"/>
    <n v="127"/>
    <n v="3"/>
    <n v="139"/>
    <x v="5"/>
    <x v="18"/>
    <x v="364"/>
    <x v="9"/>
    <x v="1"/>
    <s v=""/>
    <s v="Nao"/>
  </r>
  <r>
    <x v="300"/>
    <x v="14"/>
    <x v="12"/>
    <n v="3148"/>
    <x v="441"/>
    <n v="8.1600000000000006E-2"/>
    <n v="77.099999999999994"/>
    <n v="67"/>
    <n v="186"/>
    <n v="4"/>
    <n v="257"/>
    <x v="5"/>
    <x v="19"/>
    <x v="362"/>
    <x v="9"/>
    <x v="1"/>
    <s v=""/>
    <s v="Nao"/>
  </r>
  <r>
    <x v="301"/>
    <x v="6"/>
    <x v="6"/>
    <n v="2577"/>
    <x v="442"/>
    <n v="7.4899999999999994E-2"/>
    <n v="67.55"/>
    <n v="6"/>
    <n v="183"/>
    <n v="4"/>
    <n v="193"/>
    <x v="5"/>
    <x v="20"/>
    <x v="365"/>
    <x v="9"/>
    <x v="1"/>
    <s v=""/>
    <s v="Nao"/>
  </r>
  <r>
    <x v="301"/>
    <x v="4"/>
    <x v="4"/>
    <n v="4013"/>
    <x v="399"/>
    <n v="7.1999999999999995E-2"/>
    <n v="101.15"/>
    <n v="17"/>
    <n v="264"/>
    <n v="8"/>
    <n v="289"/>
    <x v="5"/>
    <x v="20"/>
    <x v="366"/>
    <x v="9"/>
    <x v="1"/>
    <s v=""/>
    <s v="Nao"/>
  </r>
  <r>
    <x v="302"/>
    <x v="14"/>
    <x v="12"/>
    <n v="3995"/>
    <x v="443"/>
    <n v="8.6900000000000005E-2"/>
    <n v="104.1"/>
    <n v="93"/>
    <n v="244"/>
    <n v="10"/>
    <n v="347"/>
    <x v="5"/>
    <x v="21"/>
    <x v="367"/>
    <x v="9"/>
    <x v="1"/>
    <s v=""/>
    <s v="Nao"/>
  </r>
  <r>
    <x v="303"/>
    <x v="1"/>
    <x v="1"/>
    <n v="2957"/>
    <x v="444"/>
    <n v="8.8900000000000007E-2"/>
    <n v="84.16"/>
    <n v="12"/>
    <n v="247"/>
    <n v="4"/>
    <n v="263"/>
    <x v="5"/>
    <x v="22"/>
    <x v="368"/>
    <x v="9"/>
    <x v="1"/>
    <s v=""/>
    <s v="Nao"/>
  </r>
  <r>
    <x v="304"/>
    <x v="10"/>
    <x v="10"/>
    <n v="4105"/>
    <x v="118"/>
    <n v="8.5300000000000001E-2"/>
    <n v="112"/>
    <n v="51"/>
    <n v="295"/>
    <n v="4"/>
    <n v="350"/>
    <x v="5"/>
    <x v="23"/>
    <x v="369"/>
    <x v="9"/>
    <x v="1"/>
    <s v=""/>
    <s v="Nao"/>
  </r>
  <r>
    <x v="305"/>
    <x v="13"/>
    <x v="9"/>
    <n v="2461"/>
    <x v="241"/>
    <n v="9.8299999999999998E-2"/>
    <n v="72.599999999999994"/>
    <n v="16"/>
    <n v="221"/>
    <n v="5"/>
    <n v="242"/>
    <x v="5"/>
    <x v="24"/>
    <x v="119"/>
    <x v="10"/>
    <x v="1"/>
    <s v=""/>
    <s v="Nao"/>
  </r>
  <r>
    <x v="306"/>
    <x v="6"/>
    <x v="6"/>
    <n v="2616"/>
    <x v="445"/>
    <n v="8.8300000000000003E-2"/>
    <n v="80.849999999999994"/>
    <n v="7"/>
    <n v="221"/>
    <n v="3"/>
    <n v="231"/>
    <x v="5"/>
    <x v="25"/>
    <x v="140"/>
    <x v="10"/>
    <x v="1"/>
    <s v=""/>
    <s v="Nao"/>
  </r>
  <r>
    <x v="307"/>
    <x v="0"/>
    <x v="0"/>
    <n v="2417"/>
    <x v="446"/>
    <n v="6.7900000000000002E-2"/>
    <n v="52.48"/>
    <n v="7"/>
    <n v="153"/>
    <n v="4"/>
    <n v="164"/>
    <x v="5"/>
    <x v="26"/>
    <x v="152"/>
    <x v="10"/>
    <x v="1"/>
    <s v=""/>
    <s v="Nao"/>
  </r>
  <r>
    <x v="307"/>
    <x v="1"/>
    <x v="1"/>
    <n v="3579"/>
    <x v="447"/>
    <n v="9.11E-2"/>
    <n v="104.32"/>
    <n v="8"/>
    <n v="312"/>
    <n v="6"/>
    <n v="326"/>
    <x v="5"/>
    <x v="26"/>
    <x v="370"/>
    <x v="10"/>
    <x v="1"/>
    <s v=""/>
    <s v="Nao"/>
  </r>
  <r>
    <x v="308"/>
    <x v="5"/>
    <x v="5"/>
    <n v="1872"/>
    <x v="448"/>
    <n v="7.9600000000000004E-2"/>
    <n v="50.66"/>
    <n v="6"/>
    <n v="141"/>
    <n v="2"/>
    <n v="149"/>
    <x v="5"/>
    <x v="27"/>
    <x v="211"/>
    <x v="10"/>
    <x v="1"/>
    <s v=""/>
    <s v="Nao"/>
  </r>
  <r>
    <x v="309"/>
    <x v="2"/>
    <x v="2"/>
    <n v="1950"/>
    <x v="449"/>
    <n v="7.0800000000000002E-2"/>
    <n v="44.16"/>
    <n v="5"/>
    <n v="132"/>
    <n v="1"/>
    <n v="138"/>
    <x v="5"/>
    <x v="28"/>
    <x v="195"/>
    <x v="10"/>
    <x v="1"/>
    <s v=""/>
    <s v="Nao"/>
  </r>
  <r>
    <x v="309"/>
    <x v="11"/>
    <x v="0"/>
    <n v="3840"/>
    <x v="450"/>
    <n v="6.8500000000000005E-2"/>
    <n v="73.64"/>
    <n v="15"/>
    <n v="242"/>
    <n v="6"/>
    <n v="263"/>
    <x v="5"/>
    <x v="28"/>
    <x v="371"/>
    <x v="10"/>
    <x v="1"/>
    <s v=""/>
    <s v="Nao"/>
  </r>
  <r>
    <x v="310"/>
    <x v="0"/>
    <x v="0"/>
    <n v="3127"/>
    <x v="451"/>
    <n v="8.5699999999999998E-2"/>
    <n v="85.76"/>
    <n v="7"/>
    <n v="256"/>
    <n v="5"/>
    <n v="268"/>
    <x v="5"/>
    <x v="29"/>
    <x v="372"/>
    <x v="10"/>
    <x v="1"/>
    <s v=""/>
    <s v="Nao"/>
  </r>
  <r>
    <x v="310"/>
    <x v="9"/>
    <x v="9"/>
    <n v="4166"/>
    <x v="452"/>
    <n v="7.5600000000000001E-2"/>
    <n v="81.900000000000006"/>
    <n v="9"/>
    <n v="298"/>
    <n v="8"/>
    <n v="315"/>
    <x v="5"/>
    <x v="29"/>
    <x v="373"/>
    <x v="10"/>
    <x v="1"/>
    <s v=""/>
    <s v="Nao"/>
  </r>
  <r>
    <x v="311"/>
    <x v="7"/>
    <x v="7"/>
    <n v="2293"/>
    <x v="453"/>
    <n v="9.2499999999999999E-2"/>
    <n v="63.6"/>
    <n v="65"/>
    <n v="141"/>
    <n v="6"/>
    <n v="212"/>
    <x v="5"/>
    <x v="30"/>
    <x v="374"/>
    <x v="10"/>
    <x v="1"/>
    <s v=""/>
    <s v="Nao"/>
  </r>
  <r>
    <x v="311"/>
    <x v="8"/>
    <x v="8"/>
    <n v="2094"/>
    <x v="454"/>
    <n v="0.1046"/>
    <n v="70.08"/>
    <n v="27"/>
    <n v="186"/>
    <n v="6"/>
    <n v="219"/>
    <x v="5"/>
    <x v="30"/>
    <x v="104"/>
    <x v="10"/>
    <x v="1"/>
    <s v=""/>
    <s v="Nao"/>
  </r>
  <r>
    <x v="312"/>
    <x v="5"/>
    <x v="5"/>
    <n v="2162"/>
    <x v="455"/>
    <n v="6.6600000000000006E-2"/>
    <n v="48.96"/>
    <n v="4"/>
    <n v="137"/>
    <n v="3"/>
    <n v="144"/>
    <x v="5"/>
    <x v="31"/>
    <x v="375"/>
    <x v="10"/>
    <x v="1"/>
    <s v=""/>
    <s v="Nao"/>
  </r>
  <r>
    <x v="312"/>
    <x v="1"/>
    <x v="1"/>
    <n v="3442"/>
    <x v="456"/>
    <n v="8.2799999999999999E-2"/>
    <n v="91.2"/>
    <n v="20"/>
    <n v="260"/>
    <n v="5"/>
    <n v="285"/>
    <x v="5"/>
    <x v="31"/>
    <x v="376"/>
    <x v="10"/>
    <x v="1"/>
    <s v=""/>
    <s v="Nao"/>
  </r>
  <r>
    <x v="313"/>
    <x v="5"/>
    <x v="5"/>
    <n v="2674"/>
    <x v="457"/>
    <n v="8.9800000000000005E-2"/>
    <n v="81.599999999999994"/>
    <n v="7"/>
    <n v="230"/>
    <n v="3"/>
    <n v="240"/>
    <x v="5"/>
    <x v="32"/>
    <x v="348"/>
    <x v="10"/>
    <x v="1"/>
    <s v=""/>
    <s v="Nao"/>
  </r>
  <r>
    <x v="313"/>
    <x v="6"/>
    <x v="6"/>
    <n v="2773"/>
    <x v="458"/>
    <n v="8.0799999999999997E-2"/>
    <n v="78.400000000000006"/>
    <n v="14"/>
    <n v="205"/>
    <n v="5"/>
    <n v="224"/>
    <x v="5"/>
    <x v="32"/>
    <x v="377"/>
    <x v="10"/>
    <x v="1"/>
    <s v=""/>
    <s v="Nao"/>
  </r>
  <r>
    <x v="314"/>
    <x v="10"/>
    <x v="10"/>
    <n v="3868"/>
    <x v="459"/>
    <n v="0.10340000000000001"/>
    <n v="128"/>
    <n v="52"/>
    <n v="337"/>
    <n v="11"/>
    <n v="400"/>
    <x v="5"/>
    <x v="33"/>
    <x v="378"/>
    <x v="10"/>
    <x v="1"/>
    <s v=""/>
    <s v="Nao"/>
  </r>
  <r>
    <x v="314"/>
    <x v="7"/>
    <x v="7"/>
    <n v="2602"/>
    <x v="422"/>
    <n v="9.1899999999999996E-2"/>
    <n v="71.7"/>
    <n v="51"/>
    <n v="180"/>
    <n v="8"/>
    <n v="239"/>
    <x v="5"/>
    <x v="33"/>
    <x v="169"/>
    <x v="10"/>
    <x v="1"/>
    <s v=""/>
    <s v="Nao"/>
  </r>
  <r>
    <x v="315"/>
    <x v="4"/>
    <x v="4"/>
    <n v="4000"/>
    <x v="92"/>
    <n v="9.0700000000000003E-2"/>
    <n v="127.05"/>
    <n v="19"/>
    <n v="334"/>
    <n v="10"/>
    <n v="363"/>
    <x v="5"/>
    <x v="34"/>
    <x v="379"/>
    <x v="10"/>
    <x v="1"/>
    <s v=""/>
    <s v="Nao"/>
  </r>
  <r>
    <x v="316"/>
    <x v="0"/>
    <x v="0"/>
    <n v="3825"/>
    <x v="460"/>
    <n v="6.9500000000000006E-2"/>
    <n v="85.12"/>
    <n v="13"/>
    <n v="246"/>
    <n v="7"/>
    <n v="266"/>
    <x v="5"/>
    <x v="35"/>
    <x v="136"/>
    <x v="10"/>
    <x v="1"/>
    <s v=""/>
    <s v="Nao"/>
  </r>
  <r>
    <x v="316"/>
    <x v="14"/>
    <x v="12"/>
    <n v="3956"/>
    <x v="391"/>
    <n v="8.6999999999999994E-2"/>
    <n v="103.2"/>
    <n v="72"/>
    <n v="260"/>
    <n v="12"/>
    <n v="344"/>
    <x v="5"/>
    <x v="35"/>
    <x v="380"/>
    <x v="10"/>
    <x v="1"/>
    <n v="50"/>
    <s v="Nao"/>
  </r>
  <r>
    <x v="317"/>
    <x v="11"/>
    <x v="0"/>
    <n v="3923"/>
    <x v="461"/>
    <n v="3.9300000000000002E-2"/>
    <n v="43.12"/>
    <n v="7"/>
    <n v="145"/>
    <n v="2"/>
    <n v="154"/>
    <x v="6"/>
    <x v="36"/>
    <x v="381"/>
    <x v="10"/>
    <x v="1"/>
    <s v=""/>
    <s v="Nao"/>
  </r>
  <r>
    <x v="317"/>
    <x v="2"/>
    <x v="2"/>
    <n v="2294"/>
    <x v="462"/>
    <n v="5.62E-2"/>
    <n v="41.28"/>
    <n v="6"/>
    <n v="120"/>
    <n v="3"/>
    <n v="129"/>
    <x v="6"/>
    <x v="36"/>
    <x v="82"/>
    <x v="10"/>
    <x v="1"/>
    <s v=""/>
    <s v="Nao"/>
  </r>
  <r>
    <x v="318"/>
    <x v="2"/>
    <x v="2"/>
    <n v="2445"/>
    <x v="463"/>
    <n v="4.4200000000000003E-2"/>
    <n v="34.56"/>
    <n v="6"/>
    <n v="100"/>
    <n v="2"/>
    <n v="108"/>
    <x v="6"/>
    <x v="37"/>
    <x v="147"/>
    <x v="10"/>
    <x v="1"/>
    <s v=""/>
    <s v="Nao"/>
  </r>
  <r>
    <x v="318"/>
    <x v="3"/>
    <x v="3"/>
    <n v="2298"/>
    <x v="464"/>
    <n v="6.3500000000000001E-2"/>
    <n v="40.880000000000003"/>
    <n v="9"/>
    <n v="135"/>
    <n v="2"/>
    <n v="146"/>
    <x v="6"/>
    <x v="37"/>
    <x v="382"/>
    <x v="10"/>
    <x v="1"/>
    <s v=""/>
    <s v="Nao"/>
  </r>
  <r>
    <x v="319"/>
    <x v="8"/>
    <x v="8"/>
    <n v="3057"/>
    <x v="393"/>
    <n v="6.25E-2"/>
    <n v="61.12"/>
    <n v="20"/>
    <n v="168"/>
    <n v="3"/>
    <n v="191"/>
    <x v="6"/>
    <x v="38"/>
    <x v="383"/>
    <x v="10"/>
    <x v="1"/>
    <s v=""/>
    <s v="Nao"/>
  </r>
  <r>
    <x v="320"/>
    <x v="10"/>
    <x v="10"/>
    <n v="3487"/>
    <x v="465"/>
    <n v="7.3400000000000007E-2"/>
    <n v="81.92"/>
    <n v="30"/>
    <n v="221"/>
    <n v="5"/>
    <n v="256"/>
    <x v="6"/>
    <x v="39"/>
    <x v="96"/>
    <x v="10"/>
    <x v="1"/>
    <s v=""/>
    <s v="Nao"/>
  </r>
  <r>
    <x v="321"/>
    <x v="7"/>
    <x v="7"/>
    <n v="4042"/>
    <x v="466"/>
    <n v="6.7299999999999999E-2"/>
    <n v="81.599999999999994"/>
    <n v="68"/>
    <n v="198"/>
    <n v="6"/>
    <n v="272"/>
    <x v="6"/>
    <x v="40"/>
    <x v="384"/>
    <x v="10"/>
    <x v="1"/>
    <s v=""/>
    <s v="Nao"/>
  </r>
  <r>
    <x v="321"/>
    <x v="14"/>
    <x v="12"/>
    <n v="3720"/>
    <x v="467"/>
    <n v="6.6900000000000001E-2"/>
    <n v="74.7"/>
    <n v="64"/>
    <n v="182"/>
    <n v="3"/>
    <n v="249"/>
    <x v="6"/>
    <x v="40"/>
    <x v="385"/>
    <x v="10"/>
    <x v="1"/>
    <s v=""/>
    <s v="Nao"/>
  </r>
  <r>
    <x v="322"/>
    <x v="5"/>
    <x v="5"/>
    <n v="2094"/>
    <x v="468"/>
    <n v="5.0599999999999999E-2"/>
    <n v="36.04"/>
    <n v="4"/>
    <n v="99"/>
    <n v="3"/>
    <n v="106"/>
    <x v="6"/>
    <x v="41"/>
    <x v="386"/>
    <x v="10"/>
    <x v="1"/>
    <s v=""/>
    <s v="Nao"/>
  </r>
  <r>
    <x v="322"/>
    <x v="6"/>
    <x v="6"/>
    <n v="3137"/>
    <x v="469"/>
    <n v="3.8300000000000001E-2"/>
    <n v="42"/>
    <n v="7"/>
    <n v="112"/>
    <n v="1"/>
    <n v="120"/>
    <x v="6"/>
    <x v="41"/>
    <x v="336"/>
    <x v="10"/>
    <x v="1"/>
    <s v=""/>
    <s v="Nao"/>
  </r>
  <r>
    <x v="323"/>
    <x v="8"/>
    <x v="8"/>
    <n v="2050"/>
    <x v="470"/>
    <n v="0.10630000000000001"/>
    <n v="69.760000000000005"/>
    <n v="28"/>
    <n v="187"/>
    <n v="3"/>
    <n v="218"/>
    <x v="6"/>
    <x v="42"/>
    <x v="387"/>
    <x v="10"/>
    <x v="1"/>
    <s v=""/>
    <s v="Nao"/>
  </r>
  <r>
    <x v="323"/>
    <x v="8"/>
    <x v="8"/>
    <n v="2896"/>
    <x v="471"/>
    <n v="6.8699999999999997E-2"/>
    <n v="63.68"/>
    <n v="28"/>
    <n v="166"/>
    <n v="5"/>
    <n v="199"/>
    <x v="6"/>
    <x v="42"/>
    <x v="80"/>
    <x v="10"/>
    <x v="1"/>
    <s v=""/>
    <s v="Nao"/>
  </r>
  <r>
    <x v="324"/>
    <x v="7"/>
    <x v="7"/>
    <n v="3187"/>
    <x v="472"/>
    <n v="6.9699999999999998E-2"/>
    <n v="66.599999999999994"/>
    <n v="46"/>
    <n v="168"/>
    <n v="8"/>
    <n v="222"/>
    <x v="6"/>
    <x v="43"/>
    <x v="168"/>
    <x v="10"/>
    <x v="1"/>
    <s v=""/>
    <s v="Nao"/>
  </r>
  <r>
    <x v="324"/>
    <x v="5"/>
    <x v="5"/>
    <n v="2698"/>
    <x v="473"/>
    <n v="4.1500000000000002E-2"/>
    <n v="38.08"/>
    <n v="42"/>
    <n v="19"/>
    <n v="51"/>
    <n v="112"/>
    <x v="6"/>
    <x v="43"/>
    <x v="164"/>
    <x v="10"/>
    <x v="1"/>
    <s v=""/>
    <s v="Sim"/>
  </r>
  <r>
    <x v="325"/>
    <x v="1"/>
    <x v="1"/>
    <n v="4032"/>
    <x v="197"/>
    <n v="6.3200000000000006E-2"/>
    <n v="81.599999999999994"/>
    <n v="5"/>
    <n v="245"/>
    <n v="5"/>
    <n v="255"/>
    <x v="6"/>
    <x v="44"/>
    <x v="348"/>
    <x v="10"/>
    <x v="1"/>
    <s v=""/>
    <s v="Nao"/>
  </r>
  <r>
    <x v="326"/>
    <x v="14"/>
    <x v="12"/>
    <n v="4182"/>
    <x v="474"/>
    <n v="6.5000000000000002E-2"/>
    <n v="81.599999999999994"/>
    <n v="85"/>
    <n v="184"/>
    <n v="3"/>
    <n v="272"/>
    <x v="6"/>
    <x v="45"/>
    <x v="388"/>
    <x v="10"/>
    <x v="1"/>
    <s v=""/>
    <s v="Nao"/>
  </r>
  <r>
    <x v="326"/>
    <x v="7"/>
    <x v="7"/>
    <n v="3674"/>
    <x v="365"/>
    <n v="6.2100000000000002E-2"/>
    <n v="68.400000000000006"/>
    <n v="63"/>
    <n v="160"/>
    <n v="5"/>
    <n v="228"/>
    <x v="6"/>
    <x v="45"/>
    <x v="389"/>
    <x v="10"/>
    <x v="1"/>
    <s v=""/>
    <s v="Nao"/>
  </r>
  <r>
    <x v="327"/>
    <x v="12"/>
    <x v="11"/>
    <n v="3943"/>
    <x v="475"/>
    <n v="7.0499999999999993E-2"/>
    <n v="88.96"/>
    <n v="107"/>
    <n v="59"/>
    <n v="112"/>
    <n v="278"/>
    <x v="6"/>
    <x v="46"/>
    <x v="308"/>
    <x v="10"/>
    <x v="1"/>
    <s v=""/>
    <s v="Sim"/>
  </r>
  <r>
    <x v="328"/>
    <x v="10"/>
    <x v="10"/>
    <n v="2470"/>
    <x v="476"/>
    <n v="8.0199999999999994E-2"/>
    <n v="63.36"/>
    <n v="17"/>
    <n v="176"/>
    <n v="5"/>
    <n v="198"/>
    <x v="6"/>
    <x v="47"/>
    <x v="390"/>
    <x v="10"/>
    <x v="1"/>
    <s v=""/>
    <s v="Nao"/>
  </r>
  <r>
    <x v="328"/>
    <x v="3"/>
    <x v="3"/>
    <n v="4161"/>
    <x v="342"/>
    <n v="6.8699999999999997E-2"/>
    <n v="80.08"/>
    <n v="8"/>
    <n v="271"/>
    <n v="7"/>
    <n v="286"/>
    <x v="6"/>
    <x v="47"/>
    <x v="391"/>
    <x v="10"/>
    <x v="1"/>
    <s v=""/>
    <s v="Nao"/>
  </r>
  <r>
    <x v="329"/>
    <x v="11"/>
    <x v="0"/>
    <n v="3034"/>
    <x v="477"/>
    <n v="5.8999999999999997E-2"/>
    <n v="50.12"/>
    <n v="9"/>
    <n v="165"/>
    <n v="5"/>
    <n v="179"/>
    <x v="6"/>
    <x v="48"/>
    <x v="392"/>
    <x v="10"/>
    <x v="1"/>
    <s v=""/>
    <s v="Nao"/>
  </r>
  <r>
    <x v="329"/>
    <x v="5"/>
    <x v="5"/>
    <n v="2790"/>
    <x v="478"/>
    <n v="5.91E-2"/>
    <n v="56.1"/>
    <n v="4"/>
    <n v="156"/>
    <n v="5"/>
    <n v="165"/>
    <x v="6"/>
    <x v="48"/>
    <x v="42"/>
    <x v="10"/>
    <x v="1"/>
    <s v=""/>
    <s v="Nao"/>
  </r>
  <r>
    <x v="330"/>
    <x v="14"/>
    <x v="12"/>
    <n v="3505"/>
    <x v="479"/>
    <n v="8.0199999999999994E-2"/>
    <n v="84.3"/>
    <n v="74"/>
    <n v="203"/>
    <n v="4"/>
    <n v="281"/>
    <x v="6"/>
    <x v="49"/>
    <x v="393"/>
    <x v="10"/>
    <x v="1"/>
    <s v=""/>
    <s v="Nao"/>
  </r>
  <r>
    <x v="330"/>
    <x v="5"/>
    <x v="5"/>
    <n v="2754"/>
    <x v="181"/>
    <n v="4.6100000000000002E-2"/>
    <n v="43.18"/>
    <n v="3"/>
    <n v="121"/>
    <n v="3"/>
    <n v="127"/>
    <x v="6"/>
    <x v="49"/>
    <x v="394"/>
    <x v="10"/>
    <x v="1"/>
    <s v=""/>
    <s v="Nao"/>
  </r>
  <r>
    <x v="331"/>
    <x v="11"/>
    <x v="0"/>
    <n v="2170"/>
    <x v="480"/>
    <n v="5.16E-2"/>
    <n v="31.36"/>
    <n v="6"/>
    <n v="103"/>
    <n v="3"/>
    <n v="112"/>
    <x v="6"/>
    <x v="50"/>
    <x v="38"/>
    <x v="10"/>
    <x v="1"/>
    <s v=""/>
    <s v="Nao"/>
  </r>
  <r>
    <x v="331"/>
    <x v="13"/>
    <x v="9"/>
    <n v="1994"/>
    <x v="481"/>
    <n v="8.1699999999999995E-2"/>
    <n v="48.9"/>
    <n v="6"/>
    <n v="154"/>
    <n v="3"/>
    <n v="163"/>
    <x v="6"/>
    <x v="50"/>
    <x v="395"/>
    <x v="10"/>
    <x v="1"/>
    <s v=""/>
    <s v="Nao"/>
  </r>
  <r>
    <x v="332"/>
    <x v="10"/>
    <x v="10"/>
    <n v="2722"/>
    <x v="482"/>
    <n v="6.2100000000000002E-2"/>
    <n v="54.08"/>
    <n v="23"/>
    <n v="142"/>
    <n v="4"/>
    <n v="169"/>
    <x v="6"/>
    <x v="0"/>
    <x v="396"/>
    <x v="10"/>
    <x v="1"/>
    <s v=""/>
    <s v="Nao"/>
  </r>
  <r>
    <x v="333"/>
    <x v="14"/>
    <x v="12"/>
    <n v="3807"/>
    <x v="483"/>
    <n v="7.2499999999999995E-2"/>
    <n v="82.8"/>
    <n v="76"/>
    <n v="194"/>
    <n v="6"/>
    <n v="276"/>
    <x v="6"/>
    <x v="1"/>
    <x v="397"/>
    <x v="10"/>
    <x v="1"/>
    <s v=""/>
    <s v="Nao"/>
  </r>
  <r>
    <x v="333"/>
    <x v="10"/>
    <x v="10"/>
    <n v="2191"/>
    <x v="5"/>
    <n v="8.1699999999999995E-2"/>
    <n v="57.28"/>
    <n v="57"/>
    <n v="30"/>
    <n v="92"/>
    <n v="179"/>
    <x v="6"/>
    <x v="1"/>
    <x v="218"/>
    <x v="10"/>
    <x v="1"/>
    <s v=""/>
    <s v="Sim"/>
  </r>
  <r>
    <x v="334"/>
    <x v="12"/>
    <x v="11"/>
    <n v="2254"/>
    <x v="484"/>
    <n v="6.3399999999999998E-2"/>
    <n v="45.76"/>
    <n v="20"/>
    <n v="119"/>
    <n v="4"/>
    <n v="143"/>
    <x v="6"/>
    <x v="2"/>
    <x v="103"/>
    <x v="10"/>
    <x v="1"/>
    <s v=""/>
    <s v="Nao"/>
  </r>
  <r>
    <x v="334"/>
    <x v="12"/>
    <x v="11"/>
    <n v="3005"/>
    <x v="195"/>
    <n v="0.1038"/>
    <n v="99.84"/>
    <n v="32"/>
    <n v="271"/>
    <n v="9"/>
    <n v="312"/>
    <x v="6"/>
    <x v="2"/>
    <x v="32"/>
    <x v="10"/>
    <x v="1"/>
    <s v=""/>
    <s v="Nao"/>
  </r>
  <r>
    <x v="335"/>
    <x v="2"/>
    <x v="2"/>
    <n v="2298"/>
    <x v="485"/>
    <n v="5.3100000000000001E-2"/>
    <n v="39.04"/>
    <n v="10"/>
    <n v="111"/>
    <n v="1"/>
    <n v="122"/>
    <x v="6"/>
    <x v="3"/>
    <x v="337"/>
    <x v="10"/>
    <x v="1"/>
    <s v=""/>
    <s v="Nao"/>
  </r>
  <r>
    <x v="335"/>
    <x v="2"/>
    <x v="2"/>
    <n v="1965"/>
    <x v="486"/>
    <n v="5.45E-2"/>
    <n v="34.24"/>
    <n v="6"/>
    <n v="100"/>
    <n v="1"/>
    <n v="107"/>
    <x v="6"/>
    <x v="3"/>
    <x v="398"/>
    <x v="10"/>
    <x v="1"/>
    <s v=""/>
    <s v="Nao"/>
  </r>
  <r>
    <x v="336"/>
    <x v="2"/>
    <x v="2"/>
    <n v="3985"/>
    <x v="272"/>
    <n v="7.6999999999999999E-2"/>
    <n v="98.24"/>
    <n v="20"/>
    <n v="280"/>
    <n v="7"/>
    <n v="307"/>
    <x v="6"/>
    <x v="4"/>
    <x v="102"/>
    <x v="11"/>
    <x v="1"/>
    <s v=""/>
    <s v="Nao"/>
  </r>
  <r>
    <x v="336"/>
    <x v="7"/>
    <x v="7"/>
    <n v="3921"/>
    <x v="487"/>
    <n v="7.1199999999999999E-2"/>
    <n v="83.7"/>
    <n v="84"/>
    <n v="189"/>
    <n v="6"/>
    <n v="279"/>
    <x v="6"/>
    <x v="4"/>
    <x v="106"/>
    <x v="11"/>
    <x v="1"/>
    <s v=""/>
    <s v="Nao"/>
  </r>
  <r>
    <x v="337"/>
    <x v="10"/>
    <x v="10"/>
    <n v="3138"/>
    <x v="302"/>
    <n v="7.1099999999999997E-2"/>
    <n v="71.36"/>
    <n v="25"/>
    <n v="194"/>
    <n v="4"/>
    <n v="223"/>
    <x v="6"/>
    <x v="5"/>
    <x v="399"/>
    <x v="11"/>
    <x v="1"/>
    <s v=""/>
    <s v="Nao"/>
  </r>
  <r>
    <x v="338"/>
    <x v="3"/>
    <x v="3"/>
    <n v="3744"/>
    <x v="488"/>
    <n v="7.6899999999999996E-2"/>
    <n v="80.64"/>
    <n v="13"/>
    <n v="267"/>
    <n v="8"/>
    <n v="288"/>
    <x v="6"/>
    <x v="6"/>
    <x v="268"/>
    <x v="11"/>
    <x v="1"/>
    <s v=""/>
    <s v="Nao"/>
  </r>
  <r>
    <x v="338"/>
    <x v="4"/>
    <x v="4"/>
    <n v="2898"/>
    <x v="489"/>
    <n v="5.9700000000000003E-2"/>
    <n v="60.55"/>
    <n v="7"/>
    <n v="162"/>
    <n v="4"/>
    <n v="173"/>
    <x v="6"/>
    <x v="6"/>
    <x v="256"/>
    <x v="11"/>
    <x v="1"/>
    <s v=""/>
    <s v="Nao"/>
  </r>
  <r>
    <x v="339"/>
    <x v="8"/>
    <x v="8"/>
    <n v="3005"/>
    <x v="490"/>
    <n v="8.5900000000000004E-2"/>
    <n v="82.56"/>
    <n v="31"/>
    <n v="223"/>
    <n v="4"/>
    <n v="258"/>
    <x v="6"/>
    <x v="7"/>
    <x v="362"/>
    <x v="11"/>
    <x v="1"/>
    <s v=""/>
    <s v="Nao"/>
  </r>
  <r>
    <x v="339"/>
    <x v="10"/>
    <x v="10"/>
    <n v="2205"/>
    <x v="491"/>
    <n v="7.85E-2"/>
    <n v="55.36"/>
    <n v="22"/>
    <n v="146"/>
    <n v="5"/>
    <n v="173"/>
    <x v="6"/>
    <x v="7"/>
    <x v="400"/>
    <x v="11"/>
    <x v="1"/>
    <s v=""/>
    <s v="Nao"/>
  </r>
  <r>
    <x v="340"/>
    <x v="9"/>
    <x v="9"/>
    <n v="2233"/>
    <x v="492"/>
    <n v="7.7499999999999999E-2"/>
    <n v="44.98"/>
    <n v="3"/>
    <n v="165"/>
    <n v="5"/>
    <n v="173"/>
    <x v="6"/>
    <x v="8"/>
    <x v="215"/>
    <x v="11"/>
    <x v="1"/>
    <s v=""/>
    <s v="Nao"/>
  </r>
  <r>
    <x v="341"/>
    <x v="7"/>
    <x v="7"/>
    <n v="1889"/>
    <x v="493"/>
    <n v="8.6300000000000002E-2"/>
    <n v="48.9"/>
    <n v="33"/>
    <n v="126"/>
    <n v="4"/>
    <n v="163"/>
    <x v="6"/>
    <x v="9"/>
    <x v="401"/>
    <x v="11"/>
    <x v="1"/>
    <s v=""/>
    <s v="Nao"/>
  </r>
  <r>
    <x v="341"/>
    <x v="14"/>
    <x v="12"/>
    <n v="3657"/>
    <x v="233"/>
    <n v="7.4399999999999994E-2"/>
    <n v="81.599999999999994"/>
    <n v="63"/>
    <n v="206"/>
    <n v="3"/>
    <n v="272"/>
    <x v="6"/>
    <x v="9"/>
    <x v="388"/>
    <x v="11"/>
    <x v="1"/>
    <s v=""/>
    <s v="Nao"/>
  </r>
  <r>
    <x v="342"/>
    <x v="4"/>
    <x v="4"/>
    <n v="2725"/>
    <x v="494"/>
    <n v="7.0499999999999993E-2"/>
    <n v="67.2"/>
    <n v="8"/>
    <n v="181"/>
    <n v="3"/>
    <n v="192"/>
    <x v="6"/>
    <x v="10"/>
    <x v="219"/>
    <x v="11"/>
    <x v="1"/>
    <s v=""/>
    <s v="Nao"/>
  </r>
  <r>
    <x v="343"/>
    <x v="12"/>
    <x v="11"/>
    <n v="2775"/>
    <x v="226"/>
    <n v="9.2999999999999999E-2"/>
    <n v="82.56"/>
    <n v="35"/>
    <n v="215"/>
    <n v="8"/>
    <n v="258"/>
    <x v="6"/>
    <x v="11"/>
    <x v="362"/>
    <x v="11"/>
    <x v="1"/>
    <s v=""/>
    <s v="Nao"/>
  </r>
  <r>
    <x v="343"/>
    <x v="9"/>
    <x v="9"/>
    <n v="3628"/>
    <x v="495"/>
    <n v="6.6699999999999995E-2"/>
    <n v="62.92"/>
    <n v="7"/>
    <n v="228"/>
    <n v="7"/>
    <n v="242"/>
    <x v="6"/>
    <x v="11"/>
    <x v="402"/>
    <x v="11"/>
    <x v="1"/>
    <s v=""/>
    <s v="Nao"/>
  </r>
  <r>
    <x v="344"/>
    <x v="13"/>
    <x v="9"/>
    <n v="2684"/>
    <x v="86"/>
    <n v="8.0799999999999997E-2"/>
    <n v="65.099999999999994"/>
    <n v="3"/>
    <n v="208"/>
    <n v="6"/>
    <n v="217"/>
    <x v="6"/>
    <x v="12"/>
    <x v="403"/>
    <x v="11"/>
    <x v="1"/>
    <s v=""/>
    <s v="Nao"/>
  </r>
  <r>
    <x v="344"/>
    <x v="3"/>
    <x v="3"/>
    <n v="2724"/>
    <x v="496"/>
    <n v="7.0499999999999993E-2"/>
    <n v="53.76"/>
    <n v="12"/>
    <n v="178"/>
    <n v="2"/>
    <n v="192"/>
    <x v="6"/>
    <x v="12"/>
    <x v="100"/>
    <x v="11"/>
    <x v="1"/>
    <s v=""/>
    <s v="Nao"/>
  </r>
  <r>
    <x v="345"/>
    <x v="1"/>
    <x v="1"/>
    <n v="2562"/>
    <x v="497"/>
    <n v="5.62E-2"/>
    <n v="46.08"/>
    <n v="10"/>
    <n v="132"/>
    <n v="2"/>
    <n v="144"/>
    <x v="6"/>
    <x v="13"/>
    <x v="57"/>
    <x v="11"/>
    <x v="1"/>
    <s v=""/>
    <s v="Nao"/>
  </r>
  <r>
    <x v="346"/>
    <x v="0"/>
    <x v="0"/>
    <n v="3840"/>
    <x v="498"/>
    <n v="6.3799999999999996E-2"/>
    <n v="78.400000000000006"/>
    <n v="13"/>
    <n v="228"/>
    <n v="4"/>
    <n v="245"/>
    <x v="6"/>
    <x v="14"/>
    <x v="404"/>
    <x v="11"/>
    <x v="1"/>
    <s v=""/>
    <s v="Nao"/>
  </r>
  <r>
    <x v="346"/>
    <x v="4"/>
    <x v="4"/>
    <n v="3730"/>
    <x v="499"/>
    <n v="5.4199999999999998E-2"/>
    <n v="70.7"/>
    <n v="14"/>
    <n v="185"/>
    <n v="3"/>
    <n v="202"/>
    <x v="6"/>
    <x v="14"/>
    <x v="405"/>
    <x v="11"/>
    <x v="1"/>
    <s v=""/>
    <s v="Nao"/>
  </r>
  <r>
    <x v="347"/>
    <x v="5"/>
    <x v="5"/>
    <n v="2836"/>
    <x v="425"/>
    <n v="5.6399999999999999E-2"/>
    <n v="54.4"/>
    <n v="9"/>
    <n v="147"/>
    <n v="4"/>
    <n v="160"/>
    <x v="6"/>
    <x v="15"/>
    <x v="334"/>
    <x v="11"/>
    <x v="1"/>
    <s v=""/>
    <s v="Nao"/>
  </r>
  <r>
    <x v="348"/>
    <x v="14"/>
    <x v="12"/>
    <n v="3679"/>
    <x v="500"/>
    <n v="5.9499999999999997E-2"/>
    <n v="65.7"/>
    <n v="64"/>
    <n v="152"/>
    <n v="3"/>
    <n v="219"/>
    <x v="6"/>
    <x v="16"/>
    <x v="406"/>
    <x v="11"/>
    <x v="1"/>
    <s v=""/>
    <s v="Nao"/>
  </r>
  <r>
    <x v="349"/>
    <x v="4"/>
    <x v="4"/>
    <n v="4085"/>
    <x v="501"/>
    <n v="6.7100000000000007E-2"/>
    <n v="95.9"/>
    <n v="21"/>
    <n v="249"/>
    <n v="4"/>
    <n v="274"/>
    <x v="6"/>
    <x v="17"/>
    <x v="118"/>
    <x v="11"/>
    <x v="1"/>
    <s v=""/>
    <s v="Nao"/>
  </r>
  <r>
    <x v="349"/>
    <x v="6"/>
    <x v="6"/>
    <n v="2790"/>
    <x v="502"/>
    <n v="8.4199999999999997E-2"/>
    <n v="82.25"/>
    <n v="14"/>
    <n v="218"/>
    <n v="3"/>
    <n v="235"/>
    <x v="6"/>
    <x v="17"/>
    <x v="407"/>
    <x v="11"/>
    <x v="1"/>
    <s v=""/>
    <s v="Nao"/>
  </r>
  <r>
    <x v="350"/>
    <x v="1"/>
    <x v="1"/>
    <n v="2771"/>
    <x v="503"/>
    <n v="7.0000000000000007E-2"/>
    <n v="62.08"/>
    <n v="6"/>
    <n v="185"/>
    <n v="3"/>
    <n v="194"/>
    <x v="6"/>
    <x v="18"/>
    <x v="408"/>
    <x v="11"/>
    <x v="1"/>
    <s v=""/>
    <s v="Nao"/>
  </r>
  <r>
    <x v="351"/>
    <x v="6"/>
    <x v="6"/>
    <n v="1839"/>
    <x v="504"/>
    <n v="5.8700000000000002E-2"/>
    <n v="37.799999999999997"/>
    <n v="4"/>
    <n v="102"/>
    <n v="2"/>
    <n v="108"/>
    <x v="6"/>
    <x v="19"/>
    <x v="409"/>
    <x v="11"/>
    <x v="1"/>
    <s v=""/>
    <s v="Nao"/>
  </r>
  <r>
    <x v="351"/>
    <x v="10"/>
    <x v="10"/>
    <n v="3034"/>
    <x v="505"/>
    <n v="8.8300000000000003E-2"/>
    <n v="85.76"/>
    <n v="24"/>
    <n v="237"/>
    <n v="7"/>
    <n v="268"/>
    <x v="6"/>
    <x v="19"/>
    <x v="351"/>
    <x v="11"/>
    <x v="1"/>
    <s v=""/>
    <s v="Nao"/>
  </r>
  <r>
    <x v="352"/>
    <x v="6"/>
    <x v="6"/>
    <n v="1986"/>
    <x v="506"/>
    <n v="6.6500000000000004E-2"/>
    <n v="46.2"/>
    <n v="4"/>
    <n v="126"/>
    <n v="2"/>
    <n v="132"/>
    <x v="6"/>
    <x v="20"/>
    <x v="410"/>
    <x v="11"/>
    <x v="1"/>
    <s v=""/>
    <s v="Nao"/>
  </r>
  <r>
    <x v="353"/>
    <x v="8"/>
    <x v="8"/>
    <n v="4035"/>
    <x v="312"/>
    <n v="0.1086"/>
    <n v="140.16"/>
    <n v="55"/>
    <n v="377"/>
    <n v="6"/>
    <n v="438"/>
    <x v="6"/>
    <x v="21"/>
    <x v="411"/>
    <x v="11"/>
    <x v="1"/>
    <s v=""/>
    <s v="Nao"/>
  </r>
  <r>
    <x v="353"/>
    <x v="6"/>
    <x v="6"/>
    <n v="2895"/>
    <x v="507"/>
    <n v="8.6699999999999999E-2"/>
    <n v="87.85"/>
    <n v="12"/>
    <n v="236"/>
    <n v="3"/>
    <n v="251"/>
    <x v="6"/>
    <x v="21"/>
    <x v="412"/>
    <x v="11"/>
    <x v="1"/>
    <s v=""/>
    <s v="Nao"/>
  </r>
  <r>
    <x v="354"/>
    <x v="10"/>
    <x v="10"/>
    <n v="3466"/>
    <x v="508"/>
    <n v="8.4199999999999997E-2"/>
    <n v="93.44"/>
    <n v="40"/>
    <n v="247"/>
    <n v="5"/>
    <n v="292"/>
    <x v="6"/>
    <x v="22"/>
    <x v="413"/>
    <x v="11"/>
    <x v="1"/>
    <s v=""/>
    <s v="Nao"/>
  </r>
  <r>
    <x v="355"/>
    <x v="4"/>
    <x v="4"/>
    <n v="4094"/>
    <x v="509"/>
    <n v="6.25E-2"/>
    <n v="89.6"/>
    <n v="9"/>
    <n v="243"/>
    <n v="4"/>
    <n v="256"/>
    <x v="6"/>
    <x v="23"/>
    <x v="95"/>
    <x v="11"/>
    <x v="1"/>
    <s v=""/>
    <s v="Nao"/>
  </r>
  <r>
    <x v="355"/>
    <x v="12"/>
    <x v="11"/>
    <n v="3000"/>
    <x v="510"/>
    <n v="9.9000000000000005E-2"/>
    <n v="95.04"/>
    <n v="36"/>
    <n v="256"/>
    <n v="5"/>
    <n v="297"/>
    <x v="6"/>
    <x v="23"/>
    <x v="414"/>
    <x v="11"/>
    <x v="1"/>
    <s v=""/>
    <s v="Nao"/>
  </r>
  <r>
    <x v="356"/>
    <x v="13"/>
    <x v="9"/>
    <n v="3760"/>
    <x v="511"/>
    <n v="9.3899999999999997E-2"/>
    <n v="105.9"/>
    <n v="12"/>
    <n v="332"/>
    <n v="9"/>
    <n v="353"/>
    <x v="6"/>
    <x v="24"/>
    <x v="8"/>
    <x v="11"/>
    <x v="1"/>
    <s v=""/>
    <s v="Nao"/>
  </r>
  <r>
    <x v="356"/>
    <x v="5"/>
    <x v="5"/>
    <n v="2075"/>
    <x v="512"/>
    <n v="5.7799999999999997E-2"/>
    <n v="40.799999999999997"/>
    <n v="7"/>
    <n v="111"/>
    <n v="2"/>
    <n v="120"/>
    <x v="6"/>
    <x v="24"/>
    <x v="415"/>
    <x v="11"/>
    <x v="1"/>
    <s v=""/>
    <s v="Nao"/>
  </r>
  <r>
    <x v="357"/>
    <x v="5"/>
    <x v="5"/>
    <n v="3151"/>
    <x v="513"/>
    <n v="6.6000000000000003E-2"/>
    <n v="70.72"/>
    <n v="5"/>
    <n v="199"/>
    <n v="4"/>
    <n v="208"/>
    <x v="6"/>
    <x v="25"/>
    <x v="28"/>
    <x v="11"/>
    <x v="1"/>
    <s v=""/>
    <s v="Nao"/>
  </r>
  <r>
    <x v="357"/>
    <x v="11"/>
    <x v="0"/>
    <n v="1955"/>
    <x v="514"/>
    <n v="6.1899999999999997E-2"/>
    <n v="33.880000000000003"/>
    <n v="8"/>
    <n v="111"/>
    <n v="2"/>
    <n v="121"/>
    <x v="6"/>
    <x v="25"/>
    <x v="416"/>
    <x v="11"/>
    <x v="1"/>
    <s v=""/>
    <s v="Nao"/>
  </r>
  <r>
    <x v="358"/>
    <x v="11"/>
    <x v="0"/>
    <n v="2670"/>
    <x v="231"/>
    <n v="6.7400000000000002E-2"/>
    <n v="50.4"/>
    <n v="8"/>
    <n v="168"/>
    <n v="4"/>
    <n v="180"/>
    <x v="6"/>
    <x v="26"/>
    <x v="394"/>
    <x v="11"/>
    <x v="1"/>
    <s v=""/>
    <s v="Nao"/>
  </r>
  <r>
    <x v="358"/>
    <x v="0"/>
    <x v="0"/>
    <n v="3447"/>
    <x v="247"/>
    <n v="8.2100000000000006E-2"/>
    <n v="90.56"/>
    <n v="12"/>
    <n v="265"/>
    <n v="6"/>
    <n v="283"/>
    <x v="6"/>
    <x v="26"/>
    <x v="417"/>
    <x v="11"/>
    <x v="1"/>
    <s v=""/>
    <s v="Nao"/>
  </r>
  <r>
    <x v="359"/>
    <x v="3"/>
    <x v="3"/>
    <n v="2364"/>
    <x v="387"/>
    <n v="6.7299999999999999E-2"/>
    <n v="44.52"/>
    <n v="11"/>
    <n v="146"/>
    <n v="2"/>
    <n v="159"/>
    <x v="6"/>
    <x v="27"/>
    <x v="418"/>
    <x v="11"/>
    <x v="1"/>
    <s v=""/>
    <s v="Nao"/>
  </r>
  <r>
    <x v="359"/>
    <x v="1"/>
    <x v="1"/>
    <n v="3088"/>
    <x v="515"/>
    <n v="0.1023"/>
    <n v="101.12"/>
    <n v="13"/>
    <n v="295"/>
    <n v="8"/>
    <n v="316"/>
    <x v="6"/>
    <x v="27"/>
    <x v="419"/>
    <x v="11"/>
    <x v="1"/>
    <s v=""/>
    <s v="Nao"/>
  </r>
  <r>
    <x v="360"/>
    <x v="4"/>
    <x v="4"/>
    <n v="1871"/>
    <x v="516"/>
    <n v="8.0199999999999994E-2"/>
    <n v="52.5"/>
    <n v="10"/>
    <n v="138"/>
    <n v="2"/>
    <n v="150"/>
    <x v="6"/>
    <x v="28"/>
    <x v="231"/>
    <x v="11"/>
    <x v="1"/>
    <s v=""/>
    <s v="Nao"/>
  </r>
  <r>
    <x v="360"/>
    <x v="6"/>
    <x v="6"/>
    <n v="4120"/>
    <x v="517"/>
    <n v="8.2799999999999999E-2"/>
    <n v="119.35"/>
    <n v="12"/>
    <n v="320"/>
    <n v="9"/>
    <n v="341"/>
    <x v="6"/>
    <x v="28"/>
    <x v="420"/>
    <x v="11"/>
    <x v="1"/>
    <s v=""/>
    <s v="Nao"/>
  </r>
  <r>
    <x v="361"/>
    <x v="4"/>
    <x v="4"/>
    <n v="2189"/>
    <x v="518"/>
    <n v="6.4399999999999999E-2"/>
    <n v="49.35"/>
    <n v="8"/>
    <n v="131"/>
    <n v="2"/>
    <n v="141"/>
    <x v="6"/>
    <x v="29"/>
    <x v="255"/>
    <x v="11"/>
    <x v="1"/>
    <s v=""/>
    <s v="Nao"/>
  </r>
  <r>
    <x v="361"/>
    <x v="11"/>
    <x v="0"/>
    <n v="2026"/>
    <x v="519"/>
    <n v="6.1199999999999997E-2"/>
    <n v="34.72"/>
    <n v="7"/>
    <n v="115"/>
    <n v="2"/>
    <n v="124"/>
    <x v="6"/>
    <x v="29"/>
    <x v="421"/>
    <x v="11"/>
    <x v="1"/>
    <s v=""/>
    <s v="Nao"/>
  </r>
  <r>
    <x v="362"/>
    <x v="4"/>
    <x v="4"/>
    <n v="3674"/>
    <x v="520"/>
    <n v="9.1499999999999998E-2"/>
    <n v="117.6"/>
    <n v="22"/>
    <n v="309"/>
    <n v="5"/>
    <n v="336"/>
    <x v="6"/>
    <x v="30"/>
    <x v="325"/>
    <x v="11"/>
    <x v="1"/>
    <s v=""/>
    <s v="Nao"/>
  </r>
  <r>
    <x v="363"/>
    <x v="2"/>
    <x v="2"/>
    <n v="4024"/>
    <x v="521"/>
    <n v="0.10539999999999999"/>
    <n v="135.68"/>
    <n v="14"/>
    <n v="406"/>
    <n v="4"/>
    <n v="424"/>
    <x v="6"/>
    <x v="31"/>
    <x v="86"/>
    <x v="11"/>
    <x v="1"/>
    <s v=""/>
    <s v="Nao"/>
  </r>
  <r>
    <x v="363"/>
    <x v="11"/>
    <x v="0"/>
    <n v="3051"/>
    <x v="522"/>
    <n v="6.2600000000000003E-2"/>
    <n v="53.48"/>
    <n v="10"/>
    <n v="178"/>
    <n v="3"/>
    <n v="191"/>
    <x v="6"/>
    <x v="31"/>
    <x v="422"/>
    <x v="11"/>
    <x v="1"/>
    <s v=""/>
    <s v="Nao"/>
  </r>
  <r>
    <x v="364"/>
    <x v="4"/>
    <x v="4"/>
    <n v="2767"/>
    <x v="523"/>
    <n v="6.83E-2"/>
    <n v="66.150000000000006"/>
    <n v="10"/>
    <n v="176"/>
    <n v="3"/>
    <n v="189"/>
    <x v="6"/>
    <x v="32"/>
    <x v="423"/>
    <x v="11"/>
    <x v="1"/>
    <s v=""/>
    <s v="Nao"/>
  </r>
  <r>
    <x v="365"/>
    <x v="13"/>
    <x v="9"/>
    <n v="1983"/>
    <x v="524"/>
    <n v="8.9300000000000004E-2"/>
    <n v="53.1"/>
    <n v="8"/>
    <n v="165"/>
    <n v="4"/>
    <n v="177"/>
    <x v="6"/>
    <x v="33"/>
    <x v="248"/>
    <x v="11"/>
    <x v="1"/>
    <s v=""/>
    <s v="Nao"/>
  </r>
  <r>
    <x v="366"/>
    <x v="0"/>
    <x v="0"/>
    <n v="2896"/>
    <x v="525"/>
    <n v="8.5999999999999993E-2"/>
    <n v="79.680000000000007"/>
    <n v="8"/>
    <n v="236"/>
    <n v="5"/>
    <n v="249"/>
    <x v="6"/>
    <x v="34"/>
    <x v="424"/>
    <x v="0"/>
    <x v="1"/>
    <s v=""/>
    <s v="Nao"/>
  </r>
  <r>
    <x v="367"/>
    <x v="2"/>
    <x v="2"/>
    <n v="3018"/>
    <x v="83"/>
    <n v="8.2199999999999995E-2"/>
    <n v="79.36"/>
    <n v="4"/>
    <n v="237"/>
    <n v="7"/>
    <n v="248"/>
    <x v="6"/>
    <x v="35"/>
    <x v="48"/>
    <x v="0"/>
    <x v="1"/>
    <s v=""/>
    <s v="Nao"/>
  </r>
  <r>
    <x v="367"/>
    <x v="6"/>
    <x v="6"/>
    <n v="1886"/>
    <x v="526"/>
    <n v="0.1013"/>
    <n v="66.849999999999994"/>
    <n v="12"/>
    <n v="175"/>
    <n v="4"/>
    <n v="191"/>
    <x v="6"/>
    <x v="35"/>
    <x v="425"/>
    <x v="0"/>
    <x v="1"/>
    <s v=""/>
    <s v="Nao"/>
  </r>
  <r>
    <x v="368"/>
    <x v="7"/>
    <x v="7"/>
    <n v="1948"/>
    <x v="527"/>
    <n v="0.10780000000000001"/>
    <n v="63"/>
    <n v="60"/>
    <n v="145"/>
    <n v="5"/>
    <n v="210"/>
    <x v="6"/>
    <x v="51"/>
    <x v="426"/>
    <x v="0"/>
    <x v="1"/>
    <s v=""/>
    <s v="Nao"/>
  </r>
  <r>
    <x v="368"/>
    <x v="14"/>
    <x v="12"/>
    <n v="3588"/>
    <x v="528"/>
    <n v="9.2799999999999994E-2"/>
    <n v="99.9"/>
    <n v="74"/>
    <n v="250"/>
    <n v="9"/>
    <n v="333"/>
    <x v="6"/>
    <x v="51"/>
    <x v="427"/>
    <x v="0"/>
    <x v="1"/>
    <s v=""/>
    <s v="Nao"/>
  </r>
  <r>
    <x v="369"/>
    <x v="2"/>
    <x v="2"/>
    <n v="2783"/>
    <x v="529"/>
    <n v="9.4500000000000001E-2"/>
    <n v="84.16"/>
    <n v="13"/>
    <n v="244"/>
    <n v="6"/>
    <n v="263"/>
    <x v="6"/>
    <x v="52"/>
    <x v="368"/>
    <x v="0"/>
    <x v="1"/>
    <s v=""/>
    <s v="Nao"/>
  </r>
  <r>
    <x v="369"/>
    <x v="9"/>
    <x v="9"/>
    <n v="1890"/>
    <x v="530"/>
    <n v="8.6199999999999999E-2"/>
    <n v="42.38"/>
    <n v="5"/>
    <n v="155"/>
    <n v="3"/>
    <n v="163"/>
    <x v="6"/>
    <x v="52"/>
    <x v="72"/>
    <x v="0"/>
    <x v="1"/>
    <s v=""/>
    <s v="Nao"/>
  </r>
  <r>
    <x v="370"/>
    <x v="7"/>
    <x v="7"/>
    <n v="3985"/>
    <x v="531"/>
    <n v="0.1019"/>
    <n v="121.8"/>
    <n v="106"/>
    <n v="290"/>
    <n v="10"/>
    <n v="406"/>
    <x v="6"/>
    <x v="53"/>
    <x v="428"/>
    <x v="0"/>
    <x v="1"/>
    <s v=""/>
    <s v="Nao"/>
  </r>
  <r>
    <x v="370"/>
    <x v="4"/>
    <x v="4"/>
    <n v="2242"/>
    <x v="532"/>
    <n v="9.1399999999999995E-2"/>
    <n v="71.75"/>
    <n v="14"/>
    <n v="189"/>
    <n v="2"/>
    <n v="205"/>
    <x v="6"/>
    <x v="53"/>
    <x v="267"/>
    <x v="0"/>
    <x v="1"/>
    <s v=""/>
    <s v="Nao"/>
  </r>
  <r>
    <x v="371"/>
    <x v="11"/>
    <x v="0"/>
    <n v="2159"/>
    <x v="533"/>
    <n v="8.0600000000000005E-2"/>
    <n v="48.72"/>
    <n v="13"/>
    <n v="159"/>
    <n v="2"/>
    <n v="174"/>
    <x v="6"/>
    <x v="54"/>
    <x v="429"/>
    <x v="0"/>
    <x v="1"/>
    <s v=""/>
    <s v="Nao"/>
  </r>
  <r>
    <x v="371"/>
    <x v="12"/>
    <x v="11"/>
    <n v="3791"/>
    <x v="534"/>
    <n v="0.1079"/>
    <n v="130.88"/>
    <n v="59"/>
    <n v="339"/>
    <n v="11"/>
    <n v="409"/>
    <x v="6"/>
    <x v="54"/>
    <x v="430"/>
    <x v="0"/>
    <x v="1"/>
    <s v=""/>
    <s v="Nao"/>
  </r>
  <r>
    <x v="372"/>
    <x v="8"/>
    <x v="8"/>
    <n v="2414"/>
    <x v="535"/>
    <n v="0.1201"/>
    <n v="92.8"/>
    <n v="24"/>
    <n v="263"/>
    <n v="3"/>
    <n v="290"/>
    <x v="6"/>
    <x v="55"/>
    <x v="431"/>
    <x v="0"/>
    <x v="1"/>
    <s v=""/>
    <s v="Nao"/>
  </r>
  <r>
    <x v="372"/>
    <x v="10"/>
    <x v="10"/>
    <n v="2696"/>
    <x v="445"/>
    <n v="0.1154"/>
    <n v="99.52"/>
    <n v="30"/>
    <n v="274"/>
    <n v="7"/>
    <n v="311"/>
    <x v="6"/>
    <x v="55"/>
    <x v="432"/>
    <x v="0"/>
    <x v="1"/>
    <s v=""/>
    <s v="Nao"/>
  </r>
  <r>
    <x v="373"/>
    <x v="13"/>
    <x v="9"/>
    <n v="3249"/>
    <x v="536"/>
    <n v="0.1111"/>
    <n v="108.3"/>
    <n v="20"/>
    <n v="335"/>
    <n v="6"/>
    <n v="361"/>
    <x v="6"/>
    <x v="56"/>
    <x v="433"/>
    <x v="0"/>
    <x v="1"/>
    <s v=""/>
    <s v="Nao"/>
  </r>
  <r>
    <x v="374"/>
    <x v="11"/>
    <x v="0"/>
    <n v="3837"/>
    <x v="166"/>
    <n v="8.6800000000000002E-2"/>
    <n v="93.24"/>
    <n v="23"/>
    <n v="304"/>
    <n v="6"/>
    <n v="333"/>
    <x v="6"/>
    <x v="57"/>
    <x v="434"/>
    <x v="0"/>
    <x v="1"/>
    <s v=""/>
    <s v="Nao"/>
  </r>
  <r>
    <x v="374"/>
    <x v="0"/>
    <x v="0"/>
    <n v="2228"/>
    <x v="537"/>
    <n v="8.48E-2"/>
    <n v="60.48"/>
    <n v="4"/>
    <n v="180"/>
    <n v="5"/>
    <n v="189"/>
    <x v="6"/>
    <x v="57"/>
    <x v="435"/>
    <x v="0"/>
    <x v="1"/>
    <s v=""/>
    <s v="Nao"/>
  </r>
  <r>
    <x v="375"/>
    <x v="11"/>
    <x v="0"/>
    <n v="3068"/>
    <x v="538"/>
    <n v="8.8999999999999996E-2"/>
    <n v="76.44"/>
    <n v="18"/>
    <n v="249"/>
    <n v="6"/>
    <n v="273"/>
    <x v="6"/>
    <x v="58"/>
    <x v="436"/>
    <x v="0"/>
    <x v="1"/>
    <s v=""/>
    <s v="Nao"/>
  </r>
  <r>
    <x v="376"/>
    <x v="6"/>
    <x v="6"/>
    <n v="3753"/>
    <x v="95"/>
    <n v="9.0899999999999995E-2"/>
    <n v="119.35"/>
    <n v="20"/>
    <n v="313"/>
    <n v="8"/>
    <n v="341"/>
    <x v="6"/>
    <x v="59"/>
    <x v="420"/>
    <x v="0"/>
    <x v="1"/>
    <s v=""/>
    <s v="Nao"/>
  </r>
  <r>
    <x v="377"/>
    <x v="11"/>
    <x v="0"/>
    <n v="3072"/>
    <x v="539"/>
    <n v="7.9799999999999996E-2"/>
    <n v="68.599999999999994"/>
    <n v="17"/>
    <n v="224"/>
    <n v="4"/>
    <n v="245"/>
    <x v="6"/>
    <x v="60"/>
    <x v="437"/>
    <x v="0"/>
    <x v="1"/>
    <s v=""/>
    <s v="Nao"/>
  </r>
  <r>
    <x v="377"/>
    <x v="6"/>
    <x v="6"/>
    <n v="1818"/>
    <x v="540"/>
    <n v="0.1023"/>
    <n v="65.099999999999994"/>
    <n v="5"/>
    <n v="176"/>
    <n v="5"/>
    <n v="186"/>
    <x v="6"/>
    <x v="60"/>
    <x v="438"/>
    <x v="0"/>
    <x v="1"/>
    <s v=""/>
    <s v="Nao"/>
  </r>
  <r>
    <x v="378"/>
    <x v="4"/>
    <x v="4"/>
    <n v="3140"/>
    <x v="541"/>
    <n v="0.10639999999999999"/>
    <n v="116.9"/>
    <n v="5"/>
    <n v="319"/>
    <n v="10"/>
    <n v="334"/>
    <x v="6"/>
    <x v="61"/>
    <x v="439"/>
    <x v="0"/>
    <x v="1"/>
    <s v=""/>
    <s v="Nao"/>
  </r>
  <r>
    <x v="379"/>
    <x v="9"/>
    <x v="9"/>
    <n v="2951"/>
    <x v="42"/>
    <n v="9.8900000000000002E-2"/>
    <n v="75.92"/>
    <n v="20"/>
    <n v="268"/>
    <n v="4"/>
    <n v="292"/>
    <x v="6"/>
    <x v="62"/>
    <x v="440"/>
    <x v="0"/>
    <x v="1"/>
    <s v=""/>
    <s v="Nao"/>
  </r>
  <r>
    <x v="379"/>
    <x v="10"/>
    <x v="10"/>
    <n v="3735"/>
    <x v="542"/>
    <n v="0.1186"/>
    <n v="141.76"/>
    <n v="48"/>
    <n v="389"/>
    <n v="6"/>
    <n v="443"/>
    <x v="6"/>
    <x v="62"/>
    <x v="441"/>
    <x v="0"/>
    <x v="1"/>
    <n v="62"/>
    <s v="Nao"/>
  </r>
  <r>
    <x v="380"/>
    <x v="13"/>
    <x v="9"/>
    <n v="2570"/>
    <x v="543"/>
    <n v="6.0299999999999999E-2"/>
    <n v="46.5"/>
    <n v="5"/>
    <n v="148"/>
    <n v="2"/>
    <n v="155"/>
    <x v="7"/>
    <x v="36"/>
    <x v="358"/>
    <x v="0"/>
    <x v="1"/>
    <s v=""/>
    <s v="Nao"/>
  </r>
  <r>
    <x v="380"/>
    <x v="4"/>
    <x v="4"/>
    <n v="2675"/>
    <x v="544"/>
    <n v="2.6200000000000001E-2"/>
    <n v="24.5"/>
    <n v="2"/>
    <n v="66"/>
    <n v="2"/>
    <n v="70"/>
    <x v="7"/>
    <x v="36"/>
    <x v="442"/>
    <x v="0"/>
    <x v="1"/>
    <s v=""/>
    <s v="Nao"/>
  </r>
  <r>
    <x v="381"/>
    <x v="3"/>
    <x v="3"/>
    <n v="2457"/>
    <x v="545"/>
    <n v="4.2299999999999997E-2"/>
    <n v="29.12"/>
    <n v="5"/>
    <n v="98"/>
    <n v="1"/>
    <n v="104"/>
    <x v="7"/>
    <x v="37"/>
    <x v="443"/>
    <x v="0"/>
    <x v="1"/>
    <s v=""/>
    <s v="Nao"/>
  </r>
  <r>
    <x v="381"/>
    <x v="4"/>
    <x v="4"/>
    <n v="3457"/>
    <x v="546"/>
    <n v="2.4899999999999999E-2"/>
    <n v="30.1"/>
    <n v="5"/>
    <n v="79"/>
    <n v="2"/>
    <n v="86"/>
    <x v="7"/>
    <x v="37"/>
    <x v="444"/>
    <x v="0"/>
    <x v="1"/>
    <s v=""/>
    <s v="Nao"/>
  </r>
  <r>
    <x v="382"/>
    <x v="3"/>
    <x v="3"/>
    <n v="3247"/>
    <x v="152"/>
    <n v="3.7600000000000001E-2"/>
    <n v="34.159999999999997"/>
    <n v="7"/>
    <n v="112"/>
    <n v="3"/>
    <n v="122"/>
    <x v="7"/>
    <x v="38"/>
    <x v="17"/>
    <x v="0"/>
    <x v="1"/>
    <s v=""/>
    <s v="Nao"/>
  </r>
  <r>
    <x v="382"/>
    <x v="13"/>
    <x v="9"/>
    <n v="2634"/>
    <x v="547"/>
    <n v="6.5299999999999997E-2"/>
    <n v="51.6"/>
    <n v="5"/>
    <n v="163"/>
    <n v="4"/>
    <n v="172"/>
    <x v="7"/>
    <x v="38"/>
    <x v="445"/>
    <x v="0"/>
    <x v="1"/>
    <s v=""/>
    <s v="Nao"/>
  </r>
  <r>
    <x v="383"/>
    <x v="11"/>
    <x v="0"/>
    <n v="2608"/>
    <x v="170"/>
    <n v="4.2200000000000001E-2"/>
    <n v="30.8"/>
    <n v="6"/>
    <n v="103"/>
    <n v="1"/>
    <n v="110"/>
    <x v="7"/>
    <x v="39"/>
    <x v="446"/>
    <x v="0"/>
    <x v="1"/>
    <s v=""/>
    <s v="Nao"/>
  </r>
  <r>
    <x v="384"/>
    <x v="6"/>
    <x v="6"/>
    <n v="2578"/>
    <x v="548"/>
    <n v="4.1500000000000002E-2"/>
    <n v="37.450000000000003"/>
    <n v="2"/>
    <n v="102"/>
    <n v="3"/>
    <n v="107"/>
    <x v="7"/>
    <x v="40"/>
    <x v="447"/>
    <x v="0"/>
    <x v="1"/>
    <s v=""/>
    <s v="Nao"/>
  </r>
  <r>
    <x v="385"/>
    <x v="0"/>
    <x v="0"/>
    <n v="2024"/>
    <x v="549"/>
    <n v="2.87E-2"/>
    <n v="18.559999999999999"/>
    <n v="3"/>
    <n v="53"/>
    <n v="2"/>
    <n v="58"/>
    <x v="7"/>
    <x v="41"/>
    <x v="448"/>
    <x v="0"/>
    <x v="1"/>
    <s v=""/>
    <s v="Nao"/>
  </r>
  <r>
    <x v="386"/>
    <x v="9"/>
    <x v="9"/>
    <n v="3079"/>
    <x v="550"/>
    <n v="5.16E-2"/>
    <n v="41.34"/>
    <n v="6"/>
    <n v="151"/>
    <n v="2"/>
    <n v="159"/>
    <x v="7"/>
    <x v="42"/>
    <x v="449"/>
    <x v="0"/>
    <x v="1"/>
    <s v=""/>
    <s v="Nao"/>
  </r>
  <r>
    <x v="386"/>
    <x v="4"/>
    <x v="4"/>
    <n v="2294"/>
    <x v="551"/>
    <n v="5.0999999999999997E-2"/>
    <n v="40.950000000000003"/>
    <n v="7"/>
    <n v="109"/>
    <n v="1"/>
    <n v="117"/>
    <x v="7"/>
    <x v="42"/>
    <x v="450"/>
    <x v="0"/>
    <x v="1"/>
    <s v=""/>
    <s v="Nao"/>
  </r>
  <r>
    <x v="387"/>
    <x v="0"/>
    <x v="0"/>
    <n v="1915"/>
    <x v="328"/>
    <n v="5.0099999999999999E-2"/>
    <n v="30.72"/>
    <n v="7"/>
    <n v="88"/>
    <n v="1"/>
    <n v="96"/>
    <x v="7"/>
    <x v="43"/>
    <x v="451"/>
    <x v="0"/>
    <x v="1"/>
    <s v=""/>
    <s v="Nao"/>
  </r>
  <r>
    <x v="388"/>
    <x v="14"/>
    <x v="12"/>
    <n v="2484"/>
    <x v="422"/>
    <n v="4.87E-2"/>
    <n v="36.299999999999997"/>
    <n v="27"/>
    <n v="93"/>
    <n v="1"/>
    <n v="121"/>
    <x v="7"/>
    <x v="44"/>
    <x v="452"/>
    <x v="0"/>
    <x v="1"/>
    <s v=""/>
    <s v="Nao"/>
  </r>
  <r>
    <x v="388"/>
    <x v="1"/>
    <x v="1"/>
    <n v="3901"/>
    <x v="552"/>
    <n v="4.7699999999999999E-2"/>
    <n v="59.52"/>
    <n v="11"/>
    <n v="173"/>
    <n v="2"/>
    <n v="186"/>
    <x v="7"/>
    <x v="44"/>
    <x v="243"/>
    <x v="0"/>
    <x v="1"/>
    <s v=""/>
    <s v="Nao"/>
  </r>
  <r>
    <x v="389"/>
    <x v="12"/>
    <x v="11"/>
    <n v="3681"/>
    <x v="553"/>
    <n v="6.1400000000000003E-2"/>
    <n v="72.319999999999993"/>
    <n v="24"/>
    <n v="197"/>
    <n v="5"/>
    <n v="226"/>
    <x v="7"/>
    <x v="45"/>
    <x v="135"/>
    <x v="0"/>
    <x v="1"/>
    <s v=""/>
    <s v="Nao"/>
  </r>
  <r>
    <x v="389"/>
    <x v="14"/>
    <x v="12"/>
    <n v="2626"/>
    <x v="554"/>
    <n v="5.2600000000000001E-2"/>
    <n v="41.4"/>
    <n v="36"/>
    <n v="98"/>
    <n v="4"/>
    <n v="138"/>
    <x v="7"/>
    <x v="45"/>
    <x v="453"/>
    <x v="0"/>
    <x v="1"/>
    <s v=""/>
    <s v="Nao"/>
  </r>
  <r>
    <x v="390"/>
    <x v="6"/>
    <x v="6"/>
    <n v="2374"/>
    <x v="555"/>
    <n v="4.9299999999999997E-2"/>
    <n v="40.950000000000003"/>
    <n v="4"/>
    <n v="111"/>
    <n v="2"/>
    <n v="117"/>
    <x v="7"/>
    <x v="46"/>
    <x v="279"/>
    <x v="0"/>
    <x v="1"/>
    <s v=""/>
    <s v="Nao"/>
  </r>
  <r>
    <x v="391"/>
    <x v="2"/>
    <x v="2"/>
    <n v="2319"/>
    <x v="184"/>
    <n v="5.2999999999999999E-2"/>
    <n v="39.36"/>
    <n v="8"/>
    <n v="113"/>
    <n v="2"/>
    <n v="123"/>
    <x v="7"/>
    <x v="47"/>
    <x v="290"/>
    <x v="0"/>
    <x v="1"/>
    <s v=""/>
    <s v="Nao"/>
  </r>
  <r>
    <x v="392"/>
    <x v="10"/>
    <x v="10"/>
    <n v="2725"/>
    <x v="556"/>
    <n v="6.5699999999999995E-2"/>
    <n v="57.28"/>
    <n v="25"/>
    <n v="149"/>
    <n v="5"/>
    <n v="179"/>
    <x v="7"/>
    <x v="48"/>
    <x v="218"/>
    <x v="0"/>
    <x v="1"/>
    <s v=""/>
    <s v="Nao"/>
  </r>
  <r>
    <x v="393"/>
    <x v="13"/>
    <x v="9"/>
    <n v="2027"/>
    <x v="44"/>
    <n v="5.8700000000000002E-2"/>
    <n v="35.700000000000003"/>
    <n v="5"/>
    <n v="112"/>
    <n v="2"/>
    <n v="119"/>
    <x v="7"/>
    <x v="49"/>
    <x v="454"/>
    <x v="0"/>
    <x v="1"/>
    <s v=""/>
    <s v="Nao"/>
  </r>
  <r>
    <x v="393"/>
    <x v="2"/>
    <x v="2"/>
    <n v="1863"/>
    <x v="557"/>
    <n v="6.6000000000000003E-2"/>
    <n v="39.36"/>
    <n v="5"/>
    <n v="116"/>
    <n v="2"/>
    <n v="123"/>
    <x v="7"/>
    <x v="49"/>
    <x v="290"/>
    <x v="0"/>
    <x v="1"/>
    <s v=""/>
    <s v="Nao"/>
  </r>
  <r>
    <x v="394"/>
    <x v="1"/>
    <x v="1"/>
    <n v="2749"/>
    <x v="558"/>
    <n v="5.8900000000000001E-2"/>
    <n v="51.84"/>
    <n v="63"/>
    <n v="26"/>
    <n v="73"/>
    <n v="162"/>
    <x v="7"/>
    <x v="50"/>
    <x v="455"/>
    <x v="0"/>
    <x v="1"/>
    <s v=""/>
    <s v="Sim"/>
  </r>
  <r>
    <x v="394"/>
    <x v="5"/>
    <x v="5"/>
    <n v="2629"/>
    <x v="559"/>
    <n v="4.1099999999999998E-2"/>
    <n v="36.72"/>
    <n v="7"/>
    <n v="99"/>
    <n v="2"/>
    <n v="108"/>
    <x v="7"/>
    <x v="50"/>
    <x v="249"/>
    <x v="0"/>
    <x v="1"/>
    <s v=""/>
    <s v="Nao"/>
  </r>
  <r>
    <x v="395"/>
    <x v="13"/>
    <x v="9"/>
    <n v="1947"/>
    <x v="560"/>
    <n v="6.1600000000000002E-2"/>
    <n v="36"/>
    <n v="4"/>
    <n v="114"/>
    <n v="2"/>
    <n v="120"/>
    <x v="7"/>
    <x v="0"/>
    <x v="345"/>
    <x v="0"/>
    <x v="1"/>
    <s v=""/>
    <s v="Nao"/>
  </r>
  <r>
    <x v="395"/>
    <x v="9"/>
    <x v="9"/>
    <n v="3678"/>
    <x v="561"/>
    <n v="5.7599999999999998E-2"/>
    <n v="55.12"/>
    <n v="14"/>
    <n v="196"/>
    <n v="2"/>
    <n v="212"/>
    <x v="7"/>
    <x v="0"/>
    <x v="170"/>
    <x v="0"/>
    <x v="1"/>
    <s v=""/>
    <s v="Nao"/>
  </r>
  <r>
    <x v="396"/>
    <x v="3"/>
    <x v="3"/>
    <n v="3430"/>
    <x v="456"/>
    <n v="7.9600000000000004E-2"/>
    <n v="76.44"/>
    <n v="4"/>
    <n v="262"/>
    <n v="7"/>
    <n v="273"/>
    <x v="7"/>
    <x v="1"/>
    <x v="310"/>
    <x v="0"/>
    <x v="1"/>
    <s v=""/>
    <s v="Nao"/>
  </r>
  <r>
    <x v="396"/>
    <x v="7"/>
    <x v="7"/>
    <n v="3676"/>
    <x v="562"/>
    <n v="6.2300000000000001E-2"/>
    <n v="68.7"/>
    <n v="61"/>
    <n v="163"/>
    <n v="5"/>
    <n v="229"/>
    <x v="7"/>
    <x v="1"/>
    <x v="199"/>
    <x v="0"/>
    <x v="1"/>
    <s v=""/>
    <s v="Nao"/>
  </r>
  <r>
    <x v="397"/>
    <x v="10"/>
    <x v="10"/>
    <n v="3687"/>
    <x v="563"/>
    <n v="8.6199999999999999E-2"/>
    <n v="101.76"/>
    <n v="30"/>
    <n v="279"/>
    <n v="9"/>
    <n v="318"/>
    <x v="7"/>
    <x v="2"/>
    <x v="456"/>
    <x v="1"/>
    <x v="1"/>
    <s v=""/>
    <s v="Nao"/>
  </r>
  <r>
    <x v="397"/>
    <x v="12"/>
    <x v="11"/>
    <n v="3976"/>
    <x v="564"/>
    <n v="8.48E-2"/>
    <n v="107.84"/>
    <n v="38"/>
    <n v="292"/>
    <n v="7"/>
    <n v="337"/>
    <x v="7"/>
    <x v="2"/>
    <x v="457"/>
    <x v="1"/>
    <x v="1"/>
    <s v=""/>
    <s v="Nao"/>
  </r>
  <r>
    <x v="398"/>
    <x v="13"/>
    <x v="9"/>
    <n v="3004"/>
    <x v="565"/>
    <n v="9.9199999999999997E-2"/>
    <n v="89.4"/>
    <n v="15"/>
    <n v="275"/>
    <n v="8"/>
    <n v="298"/>
    <x v="7"/>
    <x v="3"/>
    <x v="458"/>
    <x v="1"/>
    <x v="1"/>
    <s v=""/>
    <s v="Nao"/>
  </r>
  <r>
    <x v="399"/>
    <x v="3"/>
    <x v="3"/>
    <n v="2617"/>
    <x v="339"/>
    <n v="7.8E-2"/>
    <n v="57.12"/>
    <n v="7"/>
    <n v="193"/>
    <n v="4"/>
    <n v="204"/>
    <x v="7"/>
    <x v="4"/>
    <x v="217"/>
    <x v="1"/>
    <x v="1"/>
    <s v=""/>
    <s v="Nao"/>
  </r>
  <r>
    <x v="400"/>
    <x v="1"/>
    <x v="1"/>
    <n v="3877"/>
    <x v="566"/>
    <n v="7.1199999999999999E-2"/>
    <n v="88.32"/>
    <n v="20"/>
    <n v="253"/>
    <n v="3"/>
    <n v="276"/>
    <x v="7"/>
    <x v="5"/>
    <x v="253"/>
    <x v="1"/>
    <x v="1"/>
    <s v=""/>
    <s v="Nao"/>
  </r>
  <r>
    <x v="400"/>
    <x v="3"/>
    <x v="3"/>
    <n v="2243"/>
    <x v="567"/>
    <n v="6.8199999999999997E-2"/>
    <n v="42.84"/>
    <n v="7"/>
    <n v="144"/>
    <n v="2"/>
    <n v="153"/>
    <x v="7"/>
    <x v="5"/>
    <x v="234"/>
    <x v="1"/>
    <x v="1"/>
    <s v=""/>
    <s v="Nao"/>
  </r>
  <r>
    <x v="401"/>
    <x v="5"/>
    <x v="5"/>
    <n v="1984"/>
    <x v="486"/>
    <n v="6.3500000000000001E-2"/>
    <n v="42.84"/>
    <n v="8"/>
    <n v="115"/>
    <n v="3"/>
    <n v="126"/>
    <x v="7"/>
    <x v="6"/>
    <x v="459"/>
    <x v="1"/>
    <x v="1"/>
    <s v=""/>
    <s v="Nao"/>
  </r>
  <r>
    <x v="401"/>
    <x v="1"/>
    <x v="1"/>
    <n v="3297"/>
    <x v="424"/>
    <n v="5.16E-2"/>
    <n v="54.4"/>
    <n v="11"/>
    <n v="155"/>
    <n v="4"/>
    <n v="170"/>
    <x v="7"/>
    <x v="6"/>
    <x v="334"/>
    <x v="1"/>
    <x v="1"/>
    <s v=""/>
    <s v="Nao"/>
  </r>
  <r>
    <x v="402"/>
    <x v="9"/>
    <x v="9"/>
    <n v="1859"/>
    <x v="526"/>
    <n v="8.8200000000000001E-2"/>
    <n v="42.64"/>
    <n v="5"/>
    <n v="155"/>
    <n v="4"/>
    <n v="164"/>
    <x v="7"/>
    <x v="7"/>
    <x v="460"/>
    <x v="1"/>
    <x v="1"/>
    <s v=""/>
    <s v="Nao"/>
  </r>
  <r>
    <x v="402"/>
    <x v="14"/>
    <x v="12"/>
    <n v="2722"/>
    <x v="568"/>
    <n v="8.3000000000000004E-2"/>
    <n v="67.8"/>
    <n v="66"/>
    <n v="154"/>
    <n v="6"/>
    <n v="226"/>
    <x v="7"/>
    <x v="7"/>
    <x v="165"/>
    <x v="1"/>
    <x v="1"/>
    <s v=""/>
    <s v="Nao"/>
  </r>
  <r>
    <x v="403"/>
    <x v="6"/>
    <x v="6"/>
    <n v="2079"/>
    <x v="569"/>
    <n v="6.6400000000000001E-2"/>
    <n v="48.3"/>
    <n v="5"/>
    <n v="129"/>
    <n v="4"/>
    <n v="138"/>
    <x v="7"/>
    <x v="8"/>
    <x v="115"/>
    <x v="1"/>
    <x v="1"/>
    <s v=""/>
    <s v="Nao"/>
  </r>
  <r>
    <x v="404"/>
    <x v="1"/>
    <x v="1"/>
    <n v="2951"/>
    <x v="570"/>
    <n v="7.9000000000000001E-2"/>
    <n v="74.56"/>
    <n v="10"/>
    <n v="219"/>
    <n v="4"/>
    <n v="233"/>
    <x v="7"/>
    <x v="9"/>
    <x v="285"/>
    <x v="1"/>
    <x v="1"/>
    <s v=""/>
    <s v="Nao"/>
  </r>
  <r>
    <x v="405"/>
    <x v="9"/>
    <x v="9"/>
    <n v="4141"/>
    <x v="571"/>
    <n v="8.09E-2"/>
    <n v="87.1"/>
    <n v="25"/>
    <n v="305"/>
    <n v="5"/>
    <n v="335"/>
    <x v="7"/>
    <x v="10"/>
    <x v="461"/>
    <x v="1"/>
    <x v="1"/>
    <s v=""/>
    <s v="Nao"/>
  </r>
  <r>
    <x v="405"/>
    <x v="12"/>
    <x v="11"/>
    <n v="2764"/>
    <x v="572"/>
    <n v="9.7699999999999995E-2"/>
    <n v="86.4"/>
    <n v="22"/>
    <n v="241"/>
    <n v="7"/>
    <n v="270"/>
    <x v="7"/>
    <x v="10"/>
    <x v="462"/>
    <x v="1"/>
    <x v="1"/>
    <s v=""/>
    <s v="Nao"/>
  </r>
  <r>
    <x v="406"/>
    <x v="5"/>
    <x v="5"/>
    <n v="4164"/>
    <x v="573"/>
    <n v="7.8E-2"/>
    <n v="110.5"/>
    <n v="23"/>
    <n v="298"/>
    <n v="4"/>
    <n v="325"/>
    <x v="7"/>
    <x v="11"/>
    <x v="463"/>
    <x v="1"/>
    <x v="1"/>
    <s v=""/>
    <s v="Nao"/>
  </r>
  <r>
    <x v="407"/>
    <x v="13"/>
    <x v="9"/>
    <n v="2355"/>
    <x v="574"/>
    <n v="7.4700000000000003E-2"/>
    <n v="52.8"/>
    <n v="4"/>
    <n v="167"/>
    <n v="5"/>
    <n v="176"/>
    <x v="7"/>
    <x v="12"/>
    <x v="464"/>
    <x v="1"/>
    <x v="1"/>
    <s v=""/>
    <s v="Nao"/>
  </r>
  <r>
    <x v="407"/>
    <x v="13"/>
    <x v="9"/>
    <n v="1842"/>
    <x v="575"/>
    <n v="8.5199999999999998E-2"/>
    <n v="47.1"/>
    <n v="50"/>
    <n v="24"/>
    <n v="83"/>
    <n v="157"/>
    <x v="7"/>
    <x v="12"/>
    <x v="465"/>
    <x v="1"/>
    <x v="1"/>
    <s v=""/>
    <s v="Sim"/>
  </r>
  <r>
    <x v="408"/>
    <x v="14"/>
    <x v="12"/>
    <n v="4037"/>
    <x v="576"/>
    <n v="8.7900000000000006E-2"/>
    <n v="106.5"/>
    <n v="92"/>
    <n v="254"/>
    <n v="9"/>
    <n v="355"/>
    <x v="7"/>
    <x v="13"/>
    <x v="466"/>
    <x v="1"/>
    <x v="1"/>
    <s v=""/>
    <s v="Nao"/>
  </r>
  <r>
    <x v="409"/>
    <x v="8"/>
    <x v="8"/>
    <n v="3785"/>
    <x v="577"/>
    <n v="0.1004"/>
    <n v="121.6"/>
    <n v="40"/>
    <n v="334"/>
    <n v="6"/>
    <n v="380"/>
    <x v="7"/>
    <x v="14"/>
    <x v="467"/>
    <x v="1"/>
    <x v="1"/>
    <s v=""/>
    <s v="Nao"/>
  </r>
  <r>
    <x v="410"/>
    <x v="9"/>
    <x v="9"/>
    <n v="3678"/>
    <x v="578"/>
    <n v="7.7200000000000005E-2"/>
    <n v="73.84"/>
    <n v="17"/>
    <n v="259"/>
    <n v="8"/>
    <n v="284"/>
    <x v="7"/>
    <x v="15"/>
    <x v="468"/>
    <x v="1"/>
    <x v="1"/>
    <s v=""/>
    <s v="Nao"/>
  </r>
  <r>
    <x v="411"/>
    <x v="13"/>
    <x v="9"/>
    <n v="3905"/>
    <x v="579"/>
    <n v="8.9099999999999999E-2"/>
    <n v="104.4"/>
    <n v="19"/>
    <n v="322"/>
    <n v="7"/>
    <n v="348"/>
    <x v="7"/>
    <x v="16"/>
    <x v="469"/>
    <x v="1"/>
    <x v="1"/>
    <s v=""/>
    <s v="Nao"/>
  </r>
  <r>
    <x v="411"/>
    <x v="9"/>
    <x v="9"/>
    <n v="1807"/>
    <x v="196"/>
    <n v="7.0800000000000002E-2"/>
    <n v="33.28"/>
    <n v="8"/>
    <n v="117"/>
    <n v="3"/>
    <n v="128"/>
    <x v="7"/>
    <x v="16"/>
    <x v="470"/>
    <x v="1"/>
    <x v="1"/>
    <s v=""/>
    <s v="Nao"/>
  </r>
  <r>
    <x v="412"/>
    <x v="5"/>
    <x v="5"/>
    <n v="2075"/>
    <x v="569"/>
    <n v="6.4600000000000005E-2"/>
    <n v="45.56"/>
    <n v="3"/>
    <n v="128"/>
    <n v="3"/>
    <n v="134"/>
    <x v="7"/>
    <x v="17"/>
    <x v="471"/>
    <x v="1"/>
    <x v="1"/>
    <s v=""/>
    <s v="Nao"/>
  </r>
  <r>
    <x v="412"/>
    <x v="14"/>
    <x v="12"/>
    <n v="1970"/>
    <x v="580"/>
    <n v="7.51E-2"/>
    <n v="44.4"/>
    <n v="45"/>
    <n v="101"/>
    <n v="2"/>
    <n v="148"/>
    <x v="7"/>
    <x v="17"/>
    <x v="472"/>
    <x v="1"/>
    <x v="1"/>
    <s v=""/>
    <s v="Nao"/>
  </r>
  <r>
    <x v="413"/>
    <x v="3"/>
    <x v="3"/>
    <n v="2657"/>
    <x v="376"/>
    <n v="6.3200000000000006E-2"/>
    <n v="47.04"/>
    <n v="7"/>
    <n v="157"/>
    <n v="4"/>
    <n v="168"/>
    <x v="7"/>
    <x v="18"/>
    <x v="299"/>
    <x v="1"/>
    <x v="1"/>
    <s v=""/>
    <s v="Nao"/>
  </r>
  <r>
    <x v="414"/>
    <x v="9"/>
    <x v="9"/>
    <n v="2010"/>
    <x v="581"/>
    <n v="7.3599999999999999E-2"/>
    <n v="38.479999999999997"/>
    <n v="7"/>
    <n v="137"/>
    <n v="4"/>
    <n v="148"/>
    <x v="7"/>
    <x v="19"/>
    <x v="473"/>
    <x v="1"/>
    <x v="1"/>
    <s v=""/>
    <s v="Nao"/>
  </r>
  <r>
    <x v="414"/>
    <x v="1"/>
    <x v="1"/>
    <n v="2226"/>
    <x v="582"/>
    <n v="7.7700000000000005E-2"/>
    <n v="55.36"/>
    <n v="8"/>
    <n v="161"/>
    <n v="4"/>
    <n v="173"/>
    <x v="7"/>
    <x v="19"/>
    <x v="400"/>
    <x v="1"/>
    <x v="1"/>
    <s v=""/>
    <s v="Nao"/>
  </r>
  <r>
    <x v="415"/>
    <x v="10"/>
    <x v="10"/>
    <n v="3400"/>
    <x v="583"/>
    <n v="9.4399999999999998E-2"/>
    <n v="102.72"/>
    <n v="45"/>
    <n v="272"/>
    <n v="4"/>
    <n v="321"/>
    <x v="7"/>
    <x v="20"/>
    <x v="474"/>
    <x v="1"/>
    <x v="1"/>
    <s v=""/>
    <s v="Nao"/>
  </r>
  <r>
    <x v="415"/>
    <x v="6"/>
    <x v="6"/>
    <n v="3744"/>
    <x v="26"/>
    <n v="7.5300000000000006E-2"/>
    <n v="98.7"/>
    <n v="10"/>
    <n v="267"/>
    <n v="5"/>
    <n v="282"/>
    <x v="7"/>
    <x v="20"/>
    <x v="475"/>
    <x v="1"/>
    <x v="1"/>
    <s v=""/>
    <s v="Nao"/>
  </r>
  <r>
    <x v="416"/>
    <x v="2"/>
    <x v="2"/>
    <n v="1845"/>
    <x v="87"/>
    <n v="8.3500000000000005E-2"/>
    <n v="49.28"/>
    <n v="5"/>
    <n v="147"/>
    <n v="2"/>
    <n v="154"/>
    <x v="7"/>
    <x v="21"/>
    <x v="476"/>
    <x v="1"/>
    <x v="1"/>
    <s v=""/>
    <s v="Nao"/>
  </r>
  <r>
    <x v="416"/>
    <x v="9"/>
    <x v="9"/>
    <n v="2059"/>
    <x v="584"/>
    <n v="8.5000000000000006E-2"/>
    <n v="45.5"/>
    <n v="6"/>
    <n v="166"/>
    <n v="3"/>
    <n v="175"/>
    <x v="7"/>
    <x v="21"/>
    <x v="35"/>
    <x v="1"/>
    <x v="1"/>
    <s v=""/>
    <s v="Nao"/>
  </r>
  <r>
    <x v="417"/>
    <x v="14"/>
    <x v="12"/>
    <n v="3824"/>
    <x v="585"/>
    <n v="7.8700000000000006E-2"/>
    <n v="90.3"/>
    <n v="95"/>
    <n v="200"/>
    <n v="6"/>
    <n v="301"/>
    <x v="7"/>
    <x v="22"/>
    <x v="477"/>
    <x v="1"/>
    <x v="1"/>
    <s v=""/>
    <s v="Nao"/>
  </r>
  <r>
    <x v="417"/>
    <x v="14"/>
    <x v="12"/>
    <n v="3290"/>
    <x v="586"/>
    <n v="8.0500000000000002E-2"/>
    <n v="79.5"/>
    <n v="54"/>
    <n v="208"/>
    <n v="3"/>
    <n v="265"/>
    <x v="7"/>
    <x v="22"/>
    <x v="13"/>
    <x v="1"/>
    <x v="1"/>
    <s v=""/>
    <s v="Nao"/>
  </r>
  <r>
    <x v="418"/>
    <x v="7"/>
    <x v="7"/>
    <n v="2519"/>
    <x v="587"/>
    <n v="8.3400000000000002E-2"/>
    <n v="63"/>
    <n v="38"/>
    <n v="166"/>
    <n v="6"/>
    <n v="210"/>
    <x v="7"/>
    <x v="23"/>
    <x v="426"/>
    <x v="1"/>
    <x v="1"/>
    <s v=""/>
    <s v="Nao"/>
  </r>
  <r>
    <x v="418"/>
    <x v="2"/>
    <x v="2"/>
    <n v="2043"/>
    <x v="506"/>
    <n v="9.2499999999999999E-2"/>
    <n v="60.48"/>
    <n v="10"/>
    <n v="176"/>
    <n v="3"/>
    <n v="189"/>
    <x v="7"/>
    <x v="23"/>
    <x v="22"/>
    <x v="1"/>
    <x v="1"/>
    <s v=""/>
    <s v="Nao"/>
  </r>
  <r>
    <x v="419"/>
    <x v="11"/>
    <x v="0"/>
    <n v="2992"/>
    <x v="111"/>
    <n v="6.1800000000000001E-2"/>
    <n v="51.8"/>
    <n v="11"/>
    <n v="169"/>
    <n v="5"/>
    <n v="185"/>
    <x v="7"/>
    <x v="24"/>
    <x v="478"/>
    <x v="1"/>
    <x v="1"/>
    <s v=""/>
    <s v="Nao"/>
  </r>
  <r>
    <x v="419"/>
    <x v="11"/>
    <x v="0"/>
    <n v="3571"/>
    <x v="588"/>
    <n v="5.9900000000000002E-2"/>
    <n v="59.92"/>
    <n v="13"/>
    <n v="196"/>
    <n v="5"/>
    <n v="214"/>
    <x v="7"/>
    <x v="24"/>
    <x v="479"/>
    <x v="1"/>
    <x v="1"/>
    <s v=""/>
    <s v="Nao"/>
  </r>
  <r>
    <x v="420"/>
    <x v="3"/>
    <x v="3"/>
    <n v="3083"/>
    <x v="589"/>
    <n v="0.108"/>
    <n v="93.24"/>
    <n v="14"/>
    <n v="313"/>
    <n v="6"/>
    <n v="333"/>
    <x v="7"/>
    <x v="25"/>
    <x v="480"/>
    <x v="1"/>
    <x v="1"/>
    <s v=""/>
    <s v="Nao"/>
  </r>
  <r>
    <x v="421"/>
    <x v="1"/>
    <x v="1"/>
    <n v="2555"/>
    <x v="590"/>
    <n v="9.5899999999999999E-2"/>
    <n v="78.400000000000006"/>
    <n v="8"/>
    <n v="230"/>
    <n v="7"/>
    <n v="245"/>
    <x v="7"/>
    <x v="26"/>
    <x v="198"/>
    <x v="1"/>
    <x v="1"/>
    <s v=""/>
    <s v="Nao"/>
  </r>
  <r>
    <x v="421"/>
    <x v="1"/>
    <x v="1"/>
    <n v="2979"/>
    <x v="591"/>
    <n v="7.6499999999999999E-2"/>
    <n v="72.959999999999994"/>
    <n v="11"/>
    <n v="212"/>
    <n v="5"/>
    <n v="228"/>
    <x v="7"/>
    <x v="26"/>
    <x v="481"/>
    <x v="1"/>
    <x v="1"/>
    <s v=""/>
    <s v="Nao"/>
  </r>
  <r>
    <x v="422"/>
    <x v="0"/>
    <x v="0"/>
    <n v="3101"/>
    <x v="592"/>
    <n v="7.2599999999999998E-2"/>
    <n v="72"/>
    <n v="7"/>
    <n v="212"/>
    <n v="6"/>
    <n v="225"/>
    <x v="7"/>
    <x v="27"/>
    <x v="193"/>
    <x v="1"/>
    <x v="1"/>
    <s v=""/>
    <s v="Nao"/>
  </r>
  <r>
    <x v="423"/>
    <x v="2"/>
    <x v="2"/>
    <n v="2054"/>
    <x v="593"/>
    <n v="9.1499999999999998E-2"/>
    <n v="60.16"/>
    <n v="9"/>
    <n v="175"/>
    <n v="4"/>
    <n v="188"/>
    <x v="7"/>
    <x v="28"/>
    <x v="482"/>
    <x v="1"/>
    <x v="1"/>
    <s v=""/>
    <s v="Nao"/>
  </r>
  <r>
    <x v="423"/>
    <x v="13"/>
    <x v="9"/>
    <n v="3180"/>
    <x v="54"/>
    <n v="8.77E-2"/>
    <n v="83.7"/>
    <n v="78"/>
    <n v="41"/>
    <n v="160"/>
    <n v="279"/>
    <x v="7"/>
    <x v="28"/>
    <x v="483"/>
    <x v="1"/>
    <x v="1"/>
    <s v=""/>
    <s v="Sim"/>
  </r>
  <r>
    <x v="424"/>
    <x v="0"/>
    <x v="0"/>
    <n v="1954"/>
    <x v="594"/>
    <n v="8.6999999999999994E-2"/>
    <n v="54.4"/>
    <n v="62"/>
    <n v="39"/>
    <n v="69"/>
    <n v="170"/>
    <x v="7"/>
    <x v="29"/>
    <x v="484"/>
    <x v="1"/>
    <x v="1"/>
    <s v=""/>
    <s v="Sim"/>
  </r>
  <r>
    <x v="424"/>
    <x v="2"/>
    <x v="2"/>
    <n v="2070"/>
    <x v="255"/>
    <n v="8.3099999999999993E-2"/>
    <n v="55.04"/>
    <n v="13"/>
    <n v="157"/>
    <n v="2"/>
    <n v="172"/>
    <x v="7"/>
    <x v="29"/>
    <x v="352"/>
    <x v="1"/>
    <x v="1"/>
    <s v=""/>
    <s v="Nao"/>
  </r>
  <r>
    <x v="425"/>
    <x v="6"/>
    <x v="6"/>
    <n v="3506"/>
    <x v="595"/>
    <n v="9.5600000000000004E-2"/>
    <n v="117.25"/>
    <n v="11"/>
    <n v="319"/>
    <n v="5"/>
    <n v="335"/>
    <x v="7"/>
    <x v="30"/>
    <x v="485"/>
    <x v="1"/>
    <x v="1"/>
    <s v=""/>
    <s v="Nao"/>
  </r>
  <r>
    <x v="426"/>
    <x v="12"/>
    <x v="11"/>
    <n v="2521"/>
    <x v="596"/>
    <n v="0.1008"/>
    <n v="81.28"/>
    <n v="29"/>
    <n v="222"/>
    <n v="3"/>
    <n v="254"/>
    <x v="7"/>
    <x v="31"/>
    <x v="486"/>
    <x v="1"/>
    <x v="1"/>
    <s v=""/>
    <s v="Nao"/>
  </r>
  <r>
    <x v="426"/>
    <x v="1"/>
    <x v="1"/>
    <n v="2182"/>
    <x v="597"/>
    <n v="0.1008"/>
    <n v="70.400000000000006"/>
    <n v="9"/>
    <n v="205"/>
    <n v="6"/>
    <n v="220"/>
    <x v="7"/>
    <x v="31"/>
    <x v="406"/>
    <x v="1"/>
    <x v="1"/>
    <s v=""/>
    <s v="Nao"/>
  </r>
  <r>
    <x v="427"/>
    <x v="10"/>
    <x v="10"/>
    <n v="2023"/>
    <x v="598"/>
    <n v="0.10970000000000001"/>
    <n v="71.040000000000006"/>
    <n v="27"/>
    <n v="190"/>
    <n v="5"/>
    <n v="222"/>
    <x v="7"/>
    <x v="32"/>
    <x v="128"/>
    <x v="2"/>
    <x v="1"/>
    <s v=""/>
    <s v="Nao"/>
  </r>
  <r>
    <x v="427"/>
    <x v="5"/>
    <x v="5"/>
    <n v="4044"/>
    <x v="364"/>
    <n v="8.2600000000000007E-2"/>
    <n v="113.56"/>
    <n v="15"/>
    <n v="315"/>
    <n v="4"/>
    <n v="334"/>
    <x v="7"/>
    <x v="32"/>
    <x v="487"/>
    <x v="2"/>
    <x v="1"/>
    <s v=""/>
    <s v="Nao"/>
  </r>
  <r>
    <x v="428"/>
    <x v="13"/>
    <x v="9"/>
    <n v="3210"/>
    <x v="599"/>
    <n v="0.1159"/>
    <n v="111.6"/>
    <n v="23"/>
    <n v="342"/>
    <n v="7"/>
    <n v="372"/>
    <x v="7"/>
    <x v="33"/>
    <x v="488"/>
    <x v="2"/>
    <x v="1"/>
    <s v=""/>
    <s v="Nao"/>
  </r>
  <r>
    <x v="428"/>
    <x v="14"/>
    <x v="12"/>
    <n v="3219"/>
    <x v="600"/>
    <n v="9.6000000000000002E-2"/>
    <n v="92.7"/>
    <n v="72"/>
    <n v="226"/>
    <n v="11"/>
    <n v="309"/>
    <x v="7"/>
    <x v="33"/>
    <x v="489"/>
    <x v="2"/>
    <x v="1"/>
    <s v=""/>
    <s v="Nao"/>
  </r>
  <r>
    <x v="429"/>
    <x v="9"/>
    <x v="9"/>
    <n v="3514"/>
    <x v="601"/>
    <n v="6.8900000000000003E-2"/>
    <n v="62.92"/>
    <n v="16"/>
    <n v="221"/>
    <n v="5"/>
    <n v="242"/>
    <x v="7"/>
    <x v="34"/>
    <x v="402"/>
    <x v="2"/>
    <x v="1"/>
    <s v=""/>
    <s v="Nao"/>
  </r>
  <r>
    <x v="430"/>
    <x v="8"/>
    <x v="8"/>
    <n v="4181"/>
    <x v="602"/>
    <n v="0.11840000000000001"/>
    <n v="158.4"/>
    <n v="41"/>
    <n v="440"/>
    <n v="14"/>
    <n v="495"/>
    <x v="7"/>
    <x v="35"/>
    <x v="490"/>
    <x v="2"/>
    <x v="1"/>
    <s v=""/>
    <s v="Nao"/>
  </r>
  <r>
    <x v="430"/>
    <x v="0"/>
    <x v="0"/>
    <n v="3535"/>
    <x v="603"/>
    <n v="7.0400000000000004E-2"/>
    <n v="79.680000000000007"/>
    <n v="18"/>
    <n v="228"/>
    <n v="3"/>
    <n v="249"/>
    <x v="7"/>
    <x v="35"/>
    <x v="424"/>
    <x v="2"/>
    <x v="1"/>
    <s v=""/>
    <s v="Nao"/>
  </r>
  <r>
    <x v="431"/>
    <x v="3"/>
    <x v="3"/>
    <n v="3317"/>
    <x v="604"/>
    <n v="7.9000000000000001E-2"/>
    <n v="73.36"/>
    <n v="5"/>
    <n v="251"/>
    <n v="6"/>
    <n v="262"/>
    <x v="7"/>
    <x v="51"/>
    <x v="284"/>
    <x v="2"/>
    <x v="1"/>
    <s v=""/>
    <s v="Nao"/>
  </r>
  <r>
    <x v="432"/>
    <x v="1"/>
    <x v="1"/>
    <n v="2964"/>
    <x v="200"/>
    <n v="9.4500000000000001E-2"/>
    <n v="89.6"/>
    <n v="14"/>
    <n v="259"/>
    <n v="7"/>
    <n v="280"/>
    <x v="7"/>
    <x v="52"/>
    <x v="491"/>
    <x v="2"/>
    <x v="1"/>
    <s v=""/>
    <s v="Nao"/>
  </r>
  <r>
    <x v="432"/>
    <x v="13"/>
    <x v="9"/>
    <n v="3264"/>
    <x v="605"/>
    <n v="0.1017"/>
    <n v="99.6"/>
    <n v="15"/>
    <n v="309"/>
    <n v="8"/>
    <n v="332"/>
    <x v="7"/>
    <x v="52"/>
    <x v="492"/>
    <x v="2"/>
    <x v="1"/>
    <s v=""/>
    <s v="Nao"/>
  </r>
  <r>
    <x v="433"/>
    <x v="9"/>
    <x v="9"/>
    <n v="2613"/>
    <x v="606"/>
    <n v="9.2999999999999999E-2"/>
    <n v="63.18"/>
    <n v="14"/>
    <n v="222"/>
    <n v="7"/>
    <n v="243"/>
    <x v="7"/>
    <x v="53"/>
    <x v="493"/>
    <x v="2"/>
    <x v="1"/>
    <s v=""/>
    <s v="Nao"/>
  </r>
  <r>
    <x v="433"/>
    <x v="14"/>
    <x v="12"/>
    <n v="3799"/>
    <x v="367"/>
    <n v="8.4199999999999997E-2"/>
    <n v="96"/>
    <n v="85"/>
    <n v="230"/>
    <n v="5"/>
    <n v="320"/>
    <x v="7"/>
    <x v="53"/>
    <x v="494"/>
    <x v="2"/>
    <x v="1"/>
    <s v=""/>
    <s v="Nao"/>
  </r>
  <r>
    <x v="434"/>
    <x v="5"/>
    <x v="5"/>
    <n v="1974"/>
    <x v="607"/>
    <n v="8.6599999999999996E-2"/>
    <n v="58.14"/>
    <n v="12"/>
    <n v="156"/>
    <n v="3"/>
    <n v="171"/>
    <x v="7"/>
    <x v="54"/>
    <x v="495"/>
    <x v="2"/>
    <x v="1"/>
    <s v=""/>
    <s v="Nao"/>
  </r>
  <r>
    <x v="434"/>
    <x v="8"/>
    <x v="8"/>
    <n v="2970"/>
    <x v="608"/>
    <n v="0.1205"/>
    <n v="114.56"/>
    <n v="38"/>
    <n v="313"/>
    <n v="7"/>
    <n v="358"/>
    <x v="7"/>
    <x v="54"/>
    <x v="203"/>
    <x v="2"/>
    <x v="1"/>
    <n v="54"/>
    <s v="Nao"/>
  </r>
  <r>
    <x v="435"/>
    <x v="6"/>
    <x v="6"/>
    <n v="3673"/>
    <x v="609"/>
    <n v="4.2500000000000003E-2"/>
    <n v="54.6"/>
    <n v="8"/>
    <n v="144"/>
    <n v="4"/>
    <n v="156"/>
    <x v="8"/>
    <x v="36"/>
    <x v="426"/>
    <x v="2"/>
    <x v="1"/>
    <s v=""/>
    <s v="Nao"/>
  </r>
  <r>
    <x v="435"/>
    <x v="11"/>
    <x v="0"/>
    <n v="3363"/>
    <x v="610"/>
    <n v="3.8399999999999997E-2"/>
    <n v="36.119999999999997"/>
    <n v="5"/>
    <n v="122"/>
    <n v="2"/>
    <n v="129"/>
    <x v="8"/>
    <x v="36"/>
    <x v="496"/>
    <x v="2"/>
    <x v="1"/>
    <s v=""/>
    <s v="Nao"/>
  </r>
  <r>
    <x v="436"/>
    <x v="14"/>
    <x v="12"/>
    <n v="3166"/>
    <x v="611"/>
    <n v="5.6500000000000002E-2"/>
    <n v="53.7"/>
    <n v="34"/>
    <n v="140"/>
    <n v="5"/>
    <n v="179"/>
    <x v="8"/>
    <x v="37"/>
    <x v="497"/>
    <x v="2"/>
    <x v="1"/>
    <s v=""/>
    <s v="Nao"/>
  </r>
  <r>
    <x v="436"/>
    <x v="7"/>
    <x v="7"/>
    <n v="2243"/>
    <x v="484"/>
    <n v="5.8799999999999998E-2"/>
    <n v="39.6"/>
    <n v="26"/>
    <n v="103"/>
    <n v="3"/>
    <n v="132"/>
    <x v="8"/>
    <x v="37"/>
    <x v="498"/>
    <x v="2"/>
    <x v="1"/>
    <s v=""/>
    <s v="Nao"/>
  </r>
  <r>
    <x v="437"/>
    <x v="7"/>
    <x v="7"/>
    <n v="1863"/>
    <x v="504"/>
    <n v="7.0900000000000005E-2"/>
    <n v="39.6"/>
    <n v="36"/>
    <n v="92"/>
    <n v="4"/>
    <n v="132"/>
    <x v="8"/>
    <x v="38"/>
    <x v="498"/>
    <x v="2"/>
    <x v="1"/>
    <s v=""/>
    <s v="Nao"/>
  </r>
  <r>
    <x v="438"/>
    <x v="1"/>
    <x v="1"/>
    <n v="3678"/>
    <x v="612"/>
    <n v="5.9799999999999999E-2"/>
    <n v="70.400000000000006"/>
    <n v="13"/>
    <n v="204"/>
    <n v="3"/>
    <n v="220"/>
    <x v="8"/>
    <x v="39"/>
    <x v="406"/>
    <x v="2"/>
    <x v="1"/>
    <s v=""/>
    <s v="Nao"/>
  </r>
  <r>
    <x v="438"/>
    <x v="4"/>
    <x v="4"/>
    <n v="3126"/>
    <x v="586"/>
    <n v="3.2300000000000002E-2"/>
    <n v="35.35"/>
    <n v="41"/>
    <n v="16"/>
    <n v="44"/>
    <n v="101"/>
    <x v="8"/>
    <x v="39"/>
    <x v="499"/>
    <x v="2"/>
    <x v="1"/>
    <s v=""/>
    <s v="Sim"/>
  </r>
  <r>
    <x v="439"/>
    <x v="14"/>
    <x v="12"/>
    <n v="3170"/>
    <x v="613"/>
    <n v="6.25E-2"/>
    <n v="59.4"/>
    <n v="56"/>
    <n v="136"/>
    <n v="6"/>
    <n v="198"/>
    <x v="8"/>
    <x v="40"/>
    <x v="500"/>
    <x v="2"/>
    <x v="1"/>
    <s v=""/>
    <s v="Nao"/>
  </r>
  <r>
    <x v="439"/>
    <x v="5"/>
    <x v="5"/>
    <n v="4190"/>
    <x v="614"/>
    <n v="6.3E-2"/>
    <n v="89.76"/>
    <n v="9"/>
    <n v="252"/>
    <n v="3"/>
    <n v="264"/>
    <x v="8"/>
    <x v="40"/>
    <x v="501"/>
    <x v="2"/>
    <x v="1"/>
    <s v=""/>
    <s v="Nao"/>
  </r>
  <r>
    <x v="440"/>
    <x v="1"/>
    <x v="1"/>
    <n v="3360"/>
    <x v="615"/>
    <n v="4.6100000000000002E-2"/>
    <n v="49.6"/>
    <n v="10"/>
    <n v="143"/>
    <n v="2"/>
    <n v="155"/>
    <x v="8"/>
    <x v="41"/>
    <x v="330"/>
    <x v="2"/>
    <x v="1"/>
    <s v=""/>
    <s v="Nao"/>
  </r>
  <r>
    <x v="440"/>
    <x v="12"/>
    <x v="11"/>
    <n v="3477"/>
    <x v="616"/>
    <n v="5.1799999999999999E-2"/>
    <n v="57.6"/>
    <n v="16"/>
    <n v="160"/>
    <n v="4"/>
    <n v="180"/>
    <x v="8"/>
    <x v="41"/>
    <x v="502"/>
    <x v="2"/>
    <x v="1"/>
    <s v=""/>
    <s v="Nao"/>
  </r>
  <r>
    <x v="441"/>
    <x v="7"/>
    <x v="7"/>
    <n v="1945"/>
    <x v="617"/>
    <n v="4.9399999999999999E-2"/>
    <n v="28.8"/>
    <n v="20"/>
    <n v="73"/>
    <n v="3"/>
    <n v="96"/>
    <x v="8"/>
    <x v="42"/>
    <x v="503"/>
    <x v="2"/>
    <x v="1"/>
    <s v=""/>
    <s v="Nao"/>
  </r>
  <r>
    <x v="442"/>
    <x v="11"/>
    <x v="0"/>
    <n v="2307"/>
    <x v="618"/>
    <n v="5.4600000000000003E-2"/>
    <n v="35.28"/>
    <n v="6"/>
    <n v="118"/>
    <n v="2"/>
    <n v="126"/>
    <x v="8"/>
    <x v="43"/>
    <x v="473"/>
    <x v="2"/>
    <x v="1"/>
    <s v=""/>
    <s v="Nao"/>
  </r>
  <r>
    <x v="443"/>
    <x v="6"/>
    <x v="6"/>
    <n v="2522"/>
    <x v="136"/>
    <n v="3.3300000000000003E-2"/>
    <n v="29.4"/>
    <n v="5"/>
    <n v="78"/>
    <n v="1"/>
    <n v="84"/>
    <x v="8"/>
    <x v="44"/>
    <x v="504"/>
    <x v="2"/>
    <x v="1"/>
    <s v=""/>
    <s v="Nao"/>
  </r>
  <r>
    <x v="443"/>
    <x v="10"/>
    <x v="10"/>
    <n v="3262"/>
    <x v="619"/>
    <n v="0.08"/>
    <n v="83.52"/>
    <n v="29"/>
    <n v="226"/>
    <n v="6"/>
    <n v="261"/>
    <x v="8"/>
    <x v="44"/>
    <x v="505"/>
    <x v="2"/>
    <x v="1"/>
    <s v=""/>
    <s v="Nao"/>
  </r>
  <r>
    <x v="444"/>
    <x v="14"/>
    <x v="12"/>
    <n v="3687"/>
    <x v="620"/>
    <n v="5.67E-2"/>
    <n v="62.7"/>
    <n v="60"/>
    <n v="142"/>
    <n v="7"/>
    <n v="209"/>
    <x v="8"/>
    <x v="45"/>
    <x v="506"/>
    <x v="2"/>
    <x v="1"/>
    <s v=""/>
    <s v="Nao"/>
  </r>
  <r>
    <x v="444"/>
    <x v="1"/>
    <x v="1"/>
    <n v="2755"/>
    <x v="473"/>
    <n v="6.13E-2"/>
    <n v="54.08"/>
    <n v="63"/>
    <n v="32"/>
    <n v="74"/>
    <n v="169"/>
    <x v="8"/>
    <x v="45"/>
    <x v="396"/>
    <x v="2"/>
    <x v="1"/>
    <s v=""/>
    <s v="Sim"/>
  </r>
  <r>
    <x v="445"/>
    <x v="4"/>
    <x v="4"/>
    <n v="2960"/>
    <x v="621"/>
    <n v="4.02E-2"/>
    <n v="41.65"/>
    <n v="4"/>
    <n v="112"/>
    <n v="3"/>
    <n v="119"/>
    <x v="8"/>
    <x v="46"/>
    <x v="472"/>
    <x v="2"/>
    <x v="1"/>
    <s v=""/>
    <s v="Nao"/>
  </r>
  <r>
    <x v="446"/>
    <x v="13"/>
    <x v="9"/>
    <n v="3481"/>
    <x v="601"/>
    <n v="0.06"/>
    <n v="62.7"/>
    <n v="8"/>
    <n v="199"/>
    <n v="2"/>
    <n v="209"/>
    <x v="8"/>
    <x v="47"/>
    <x v="507"/>
    <x v="2"/>
    <x v="1"/>
    <s v=""/>
    <s v="Nao"/>
  </r>
  <r>
    <x v="446"/>
    <x v="5"/>
    <x v="5"/>
    <n v="2918"/>
    <x v="622"/>
    <n v="5.45E-2"/>
    <n v="54.06"/>
    <n v="12"/>
    <n v="145"/>
    <n v="2"/>
    <n v="159"/>
    <x v="8"/>
    <x v="47"/>
    <x v="396"/>
    <x v="2"/>
    <x v="1"/>
    <s v=""/>
    <s v="Nao"/>
  </r>
  <r>
    <x v="447"/>
    <x v="2"/>
    <x v="2"/>
    <n v="2987"/>
    <x v="62"/>
    <n v="5.0900000000000001E-2"/>
    <n v="48.64"/>
    <n v="7"/>
    <n v="143"/>
    <n v="2"/>
    <n v="152"/>
    <x v="8"/>
    <x v="48"/>
    <x v="129"/>
    <x v="2"/>
    <x v="1"/>
    <s v=""/>
    <s v="Nao"/>
  </r>
  <r>
    <x v="448"/>
    <x v="9"/>
    <x v="9"/>
    <n v="1998"/>
    <x v="423"/>
    <n v="5.5599999999999997E-2"/>
    <n v="28.86"/>
    <n v="2"/>
    <n v="106"/>
    <n v="3"/>
    <n v="111"/>
    <x v="8"/>
    <x v="49"/>
    <x v="508"/>
    <x v="2"/>
    <x v="1"/>
    <s v=""/>
    <s v="Nao"/>
  </r>
  <r>
    <x v="448"/>
    <x v="6"/>
    <x v="6"/>
    <n v="1978"/>
    <x v="134"/>
    <n v="3.5900000000000001E-2"/>
    <n v="24.85"/>
    <n v="5"/>
    <n v="65"/>
    <n v="1"/>
    <n v="71"/>
    <x v="8"/>
    <x v="49"/>
    <x v="509"/>
    <x v="2"/>
    <x v="1"/>
    <s v=""/>
    <s v="Nao"/>
  </r>
  <r>
    <x v="449"/>
    <x v="6"/>
    <x v="6"/>
    <n v="2008"/>
    <x v="581"/>
    <n v="7.2700000000000001E-2"/>
    <n v="51.1"/>
    <n v="8"/>
    <n v="136"/>
    <n v="2"/>
    <n v="146"/>
    <x v="8"/>
    <x v="50"/>
    <x v="75"/>
    <x v="2"/>
    <x v="1"/>
    <s v=""/>
    <s v="Nao"/>
  </r>
  <r>
    <x v="450"/>
    <x v="9"/>
    <x v="9"/>
    <n v="3015"/>
    <x v="623"/>
    <n v="5.5100000000000003E-2"/>
    <n v="43.16"/>
    <n v="10"/>
    <n v="154"/>
    <n v="2"/>
    <n v="166"/>
    <x v="8"/>
    <x v="0"/>
    <x v="510"/>
    <x v="2"/>
    <x v="1"/>
    <s v=""/>
    <s v="Nao"/>
  </r>
  <r>
    <x v="451"/>
    <x v="0"/>
    <x v="0"/>
    <n v="1943"/>
    <x v="624"/>
    <n v="6.0199999999999997E-2"/>
    <n v="37.44"/>
    <n v="6"/>
    <n v="108"/>
    <n v="3"/>
    <n v="117"/>
    <x v="8"/>
    <x v="1"/>
    <x v="161"/>
    <x v="2"/>
    <x v="1"/>
    <s v=""/>
    <s v="Nao"/>
  </r>
  <r>
    <x v="451"/>
    <x v="0"/>
    <x v="0"/>
    <n v="3290"/>
    <x v="625"/>
    <n v="5.9900000000000002E-2"/>
    <n v="63.04"/>
    <n v="11"/>
    <n v="183"/>
    <n v="3"/>
    <n v="197"/>
    <x v="8"/>
    <x v="1"/>
    <x v="511"/>
    <x v="2"/>
    <x v="1"/>
    <s v=""/>
    <s v="Nao"/>
  </r>
  <r>
    <x v="452"/>
    <x v="13"/>
    <x v="9"/>
    <n v="2813"/>
    <x v="626"/>
    <n v="7.1099999999999997E-2"/>
    <n v="60"/>
    <n v="4"/>
    <n v="190"/>
    <n v="6"/>
    <n v="200"/>
    <x v="8"/>
    <x v="2"/>
    <x v="512"/>
    <x v="2"/>
    <x v="1"/>
    <s v=""/>
    <s v="Nao"/>
  </r>
  <r>
    <x v="453"/>
    <x v="5"/>
    <x v="5"/>
    <n v="2830"/>
    <x v="627"/>
    <n v="5.2299999999999999E-2"/>
    <n v="50.32"/>
    <n v="6"/>
    <n v="140"/>
    <n v="2"/>
    <n v="148"/>
    <x v="8"/>
    <x v="3"/>
    <x v="513"/>
    <x v="2"/>
    <x v="1"/>
    <s v=""/>
    <s v="Nao"/>
  </r>
  <r>
    <x v="454"/>
    <x v="6"/>
    <x v="6"/>
    <n v="3981"/>
    <x v="628"/>
    <n v="4.65E-2"/>
    <n v="64.75"/>
    <n v="7"/>
    <n v="174"/>
    <n v="4"/>
    <n v="185"/>
    <x v="8"/>
    <x v="4"/>
    <x v="514"/>
    <x v="2"/>
    <x v="1"/>
    <s v=""/>
    <s v="Nao"/>
  </r>
  <r>
    <x v="454"/>
    <x v="7"/>
    <x v="7"/>
    <n v="3107"/>
    <x v="477"/>
    <n v="8.1100000000000005E-2"/>
    <n v="75.599999999999994"/>
    <n v="75"/>
    <n v="173"/>
    <n v="4"/>
    <n v="252"/>
    <x v="8"/>
    <x v="4"/>
    <x v="515"/>
    <x v="2"/>
    <x v="1"/>
    <s v=""/>
    <s v="Nao"/>
  </r>
  <r>
    <x v="455"/>
    <x v="2"/>
    <x v="2"/>
    <n v="2365"/>
    <x v="574"/>
    <n v="7.8600000000000003E-2"/>
    <n v="59.52"/>
    <n v="5"/>
    <n v="178"/>
    <n v="3"/>
    <n v="186"/>
    <x v="8"/>
    <x v="5"/>
    <x v="243"/>
    <x v="2"/>
    <x v="1"/>
    <s v=""/>
    <s v="Nao"/>
  </r>
  <r>
    <x v="455"/>
    <x v="12"/>
    <x v="11"/>
    <n v="3150"/>
    <x v="629"/>
    <n v="8.9499999999999996E-2"/>
    <n v="90.24"/>
    <n v="36"/>
    <n v="239"/>
    <n v="7"/>
    <n v="282"/>
    <x v="8"/>
    <x v="5"/>
    <x v="89"/>
    <x v="2"/>
    <x v="1"/>
    <s v=""/>
    <s v="Nao"/>
  </r>
  <r>
    <x v="456"/>
    <x v="9"/>
    <x v="9"/>
    <n v="2178"/>
    <x v="630"/>
    <n v="5.6500000000000002E-2"/>
    <n v="31.98"/>
    <n v="3"/>
    <n v="118"/>
    <n v="2"/>
    <n v="123"/>
    <x v="8"/>
    <x v="6"/>
    <x v="516"/>
    <x v="2"/>
    <x v="1"/>
    <s v=""/>
    <s v="Nao"/>
  </r>
  <r>
    <x v="456"/>
    <x v="6"/>
    <x v="6"/>
    <n v="1971"/>
    <x v="514"/>
    <n v="6.9500000000000006E-2"/>
    <n v="47.95"/>
    <n v="4"/>
    <n v="130"/>
    <n v="3"/>
    <n v="137"/>
    <x v="8"/>
    <x v="6"/>
    <x v="479"/>
    <x v="2"/>
    <x v="1"/>
    <s v=""/>
    <s v="Nao"/>
  </r>
  <r>
    <x v="457"/>
    <x v="13"/>
    <x v="9"/>
    <n v="3307"/>
    <x v="631"/>
    <n v="6.1100000000000002E-2"/>
    <n v="60.6"/>
    <n v="4"/>
    <n v="192"/>
    <n v="6"/>
    <n v="202"/>
    <x v="8"/>
    <x v="7"/>
    <x v="517"/>
    <x v="2"/>
    <x v="1"/>
    <s v=""/>
    <s v="Nao"/>
  </r>
  <r>
    <x v="457"/>
    <x v="7"/>
    <x v="7"/>
    <n v="2171"/>
    <x v="632"/>
    <n v="7.8299999999999995E-2"/>
    <n v="51"/>
    <n v="40"/>
    <n v="126"/>
    <n v="4"/>
    <n v="170"/>
    <x v="8"/>
    <x v="7"/>
    <x v="518"/>
    <x v="2"/>
    <x v="1"/>
    <s v=""/>
    <s v="Nao"/>
  </r>
  <r>
    <x v="458"/>
    <x v="5"/>
    <x v="5"/>
    <n v="2214"/>
    <x v="633"/>
    <n v="5.6899999999999999E-2"/>
    <n v="42.84"/>
    <n v="5"/>
    <n v="119"/>
    <n v="2"/>
    <n v="126"/>
    <x v="8"/>
    <x v="8"/>
    <x v="459"/>
    <x v="3"/>
    <x v="2"/>
    <s v=""/>
    <s v="Nao"/>
  </r>
  <r>
    <x v="458"/>
    <x v="1"/>
    <x v="1"/>
    <n v="3158"/>
    <x v="472"/>
    <n v="6.1100000000000002E-2"/>
    <n v="61.76"/>
    <n v="9"/>
    <n v="179"/>
    <n v="5"/>
    <n v="193"/>
    <x v="8"/>
    <x v="8"/>
    <x v="251"/>
    <x v="3"/>
    <x v="2"/>
    <s v=""/>
    <s v="Nao"/>
  </r>
  <r>
    <x v="459"/>
    <x v="13"/>
    <x v="9"/>
    <n v="2186"/>
    <x v="634"/>
    <n v="8.9700000000000002E-2"/>
    <n v="58.8"/>
    <n v="4"/>
    <n v="188"/>
    <n v="4"/>
    <n v="196"/>
    <x v="8"/>
    <x v="9"/>
    <x v="519"/>
    <x v="3"/>
    <x v="2"/>
    <s v=""/>
    <s v="Nao"/>
  </r>
  <r>
    <x v="460"/>
    <x v="9"/>
    <x v="9"/>
    <n v="2552"/>
    <x v="79"/>
    <n v="7.7200000000000005E-2"/>
    <n v="51.22"/>
    <n v="14"/>
    <n v="180"/>
    <n v="3"/>
    <n v="197"/>
    <x v="8"/>
    <x v="10"/>
    <x v="520"/>
    <x v="3"/>
    <x v="2"/>
    <s v=""/>
    <s v="Nao"/>
  </r>
  <r>
    <x v="460"/>
    <x v="0"/>
    <x v="0"/>
    <n v="2688"/>
    <x v="635"/>
    <n v="5.9200000000000003E-2"/>
    <n v="50.88"/>
    <n v="12"/>
    <n v="145"/>
    <n v="2"/>
    <n v="159"/>
    <x v="8"/>
    <x v="10"/>
    <x v="521"/>
    <x v="3"/>
    <x v="2"/>
    <s v=""/>
    <s v="Nao"/>
  </r>
  <r>
    <x v="461"/>
    <x v="0"/>
    <x v="0"/>
    <n v="2191"/>
    <x v="492"/>
    <n v="5.9799999999999999E-2"/>
    <n v="41.92"/>
    <n v="7"/>
    <n v="122"/>
    <n v="2"/>
    <n v="131"/>
    <x v="8"/>
    <x v="11"/>
    <x v="522"/>
    <x v="3"/>
    <x v="2"/>
    <s v=""/>
    <s v="Nao"/>
  </r>
  <r>
    <x v="461"/>
    <x v="8"/>
    <x v="8"/>
    <n v="2139"/>
    <x v="519"/>
    <n v="0.1108"/>
    <n v="75.84"/>
    <n v="33"/>
    <n v="199"/>
    <n v="5"/>
    <n v="237"/>
    <x v="8"/>
    <x v="11"/>
    <x v="523"/>
    <x v="3"/>
    <x v="2"/>
    <s v=""/>
    <s v="Nao"/>
  </r>
  <r>
    <x v="462"/>
    <x v="11"/>
    <x v="0"/>
    <n v="2647"/>
    <x v="356"/>
    <n v="5.3600000000000002E-2"/>
    <n v="39.76"/>
    <n v="4"/>
    <n v="135"/>
    <n v="3"/>
    <n v="142"/>
    <x v="8"/>
    <x v="12"/>
    <x v="178"/>
    <x v="3"/>
    <x v="2"/>
    <s v=""/>
    <s v="Nao"/>
  </r>
  <r>
    <x v="462"/>
    <x v="1"/>
    <x v="1"/>
    <n v="2661"/>
    <x v="636"/>
    <n v="8.0399999999999999E-2"/>
    <n v="68.48"/>
    <n v="16"/>
    <n v="195"/>
    <n v="3"/>
    <n v="214"/>
    <x v="8"/>
    <x v="12"/>
    <x v="235"/>
    <x v="3"/>
    <x v="2"/>
    <s v=""/>
    <s v="Nao"/>
  </r>
  <r>
    <x v="463"/>
    <x v="8"/>
    <x v="8"/>
    <n v="3657"/>
    <x v="289"/>
    <n v="9.7100000000000006E-2"/>
    <n v="113.6"/>
    <n v="149"/>
    <n v="1"/>
    <n v="205"/>
    <n v="355"/>
    <x v="8"/>
    <x v="13"/>
    <x v="487"/>
    <x v="3"/>
    <x v="2"/>
    <s v=""/>
    <s v="Sim"/>
  </r>
  <r>
    <x v="463"/>
    <x v="14"/>
    <x v="12"/>
    <n v="3262"/>
    <x v="637"/>
    <n v="8.4599999999999995E-2"/>
    <n v="82.8"/>
    <n v="77"/>
    <n v="194"/>
    <n v="5"/>
    <n v="276"/>
    <x v="8"/>
    <x v="13"/>
    <x v="397"/>
    <x v="3"/>
    <x v="2"/>
    <s v=""/>
    <s v="Nao"/>
  </r>
  <r>
    <x v="464"/>
    <x v="9"/>
    <x v="9"/>
    <n v="3972"/>
    <x v="80"/>
    <n v="8.6099999999999996E-2"/>
    <n v="88.92"/>
    <n v="16"/>
    <n v="318"/>
    <n v="8"/>
    <n v="342"/>
    <x v="8"/>
    <x v="14"/>
    <x v="524"/>
    <x v="3"/>
    <x v="2"/>
    <s v=""/>
    <s v="Nao"/>
  </r>
  <r>
    <x v="464"/>
    <x v="10"/>
    <x v="10"/>
    <n v="3953"/>
    <x v="638"/>
    <n v="8.7999999999999995E-2"/>
    <n v="111.36"/>
    <n v="36"/>
    <n v="305"/>
    <n v="7"/>
    <n v="348"/>
    <x v="8"/>
    <x v="14"/>
    <x v="525"/>
    <x v="3"/>
    <x v="2"/>
    <s v=""/>
    <s v="Nao"/>
  </r>
  <r>
    <x v="465"/>
    <x v="3"/>
    <x v="3"/>
    <n v="2776"/>
    <x v="639"/>
    <n v="7.3499999999999996E-2"/>
    <n v="57.12"/>
    <n v="8"/>
    <n v="194"/>
    <n v="2"/>
    <n v="204"/>
    <x v="8"/>
    <x v="15"/>
    <x v="217"/>
    <x v="3"/>
    <x v="2"/>
    <s v=""/>
    <s v="Nao"/>
  </r>
  <r>
    <x v="465"/>
    <x v="3"/>
    <x v="3"/>
    <n v="2665"/>
    <x v="271"/>
    <n v="8.0699999999999994E-2"/>
    <n v="60.2"/>
    <n v="4"/>
    <n v="206"/>
    <n v="5"/>
    <n v="215"/>
    <x v="8"/>
    <x v="15"/>
    <x v="526"/>
    <x v="3"/>
    <x v="2"/>
    <s v=""/>
    <s v="Nao"/>
  </r>
  <r>
    <x v="466"/>
    <x v="11"/>
    <x v="0"/>
    <n v="2891"/>
    <x v="640"/>
    <n v="6.0499999999999998E-2"/>
    <n v="49"/>
    <n v="6"/>
    <n v="167"/>
    <n v="2"/>
    <n v="175"/>
    <x v="8"/>
    <x v="16"/>
    <x v="527"/>
    <x v="3"/>
    <x v="2"/>
    <s v=""/>
    <s v="Nao"/>
  </r>
  <r>
    <x v="467"/>
    <x v="0"/>
    <x v="0"/>
    <n v="3586"/>
    <x v="641"/>
    <n v="7.17E-2"/>
    <n v="82.24"/>
    <n v="16"/>
    <n v="234"/>
    <n v="7"/>
    <n v="257"/>
    <x v="8"/>
    <x v="17"/>
    <x v="528"/>
    <x v="3"/>
    <x v="2"/>
    <s v=""/>
    <s v="Nao"/>
  </r>
  <r>
    <x v="467"/>
    <x v="12"/>
    <x v="11"/>
    <n v="2639"/>
    <x v="642"/>
    <n v="9.06E-2"/>
    <n v="76.48"/>
    <n v="23"/>
    <n v="212"/>
    <n v="4"/>
    <n v="239"/>
    <x v="8"/>
    <x v="17"/>
    <x v="281"/>
    <x v="3"/>
    <x v="2"/>
    <s v=""/>
    <s v="Nao"/>
  </r>
  <r>
    <x v="468"/>
    <x v="7"/>
    <x v="7"/>
    <n v="2781"/>
    <x v="643"/>
    <n v="6.2899999999999998E-2"/>
    <n v="52.5"/>
    <n v="41"/>
    <n v="128"/>
    <n v="6"/>
    <n v="175"/>
    <x v="8"/>
    <x v="18"/>
    <x v="335"/>
    <x v="3"/>
    <x v="2"/>
    <s v=""/>
    <s v="Nao"/>
  </r>
  <r>
    <x v="469"/>
    <x v="5"/>
    <x v="5"/>
    <n v="3322"/>
    <x v="380"/>
    <n v="7.4999999999999997E-2"/>
    <n v="84.66"/>
    <n v="14"/>
    <n v="228"/>
    <n v="7"/>
    <n v="249"/>
    <x v="8"/>
    <x v="19"/>
    <x v="529"/>
    <x v="3"/>
    <x v="2"/>
    <s v=""/>
    <s v="Nao"/>
  </r>
  <r>
    <x v="469"/>
    <x v="1"/>
    <x v="1"/>
    <n v="1921"/>
    <x v="644"/>
    <n v="6.7699999999999996E-2"/>
    <n v="41.6"/>
    <n v="5"/>
    <n v="123"/>
    <n v="2"/>
    <n v="130"/>
    <x v="8"/>
    <x v="19"/>
    <x v="216"/>
    <x v="3"/>
    <x v="2"/>
    <s v=""/>
    <s v="Nao"/>
  </r>
  <r>
    <x v="470"/>
    <x v="7"/>
    <x v="7"/>
    <n v="3305"/>
    <x v="645"/>
    <n v="7.0499999999999993E-2"/>
    <n v="69.900000000000006"/>
    <n v="48"/>
    <n v="177"/>
    <n v="8"/>
    <n v="233"/>
    <x v="8"/>
    <x v="20"/>
    <x v="113"/>
    <x v="3"/>
    <x v="2"/>
    <s v=""/>
    <s v="Nao"/>
  </r>
  <r>
    <x v="470"/>
    <x v="5"/>
    <x v="5"/>
    <n v="3756"/>
    <x v="646"/>
    <n v="7.0300000000000001E-2"/>
    <n v="89.76"/>
    <n v="17"/>
    <n v="242"/>
    <n v="5"/>
    <n v="264"/>
    <x v="8"/>
    <x v="20"/>
    <x v="501"/>
    <x v="3"/>
    <x v="2"/>
    <s v=""/>
    <s v="Nao"/>
  </r>
  <r>
    <x v="471"/>
    <x v="3"/>
    <x v="3"/>
    <n v="1864"/>
    <x v="647"/>
    <n v="7.0300000000000001E-2"/>
    <n v="36.68"/>
    <n v="7"/>
    <n v="123"/>
    <n v="1"/>
    <n v="131"/>
    <x v="8"/>
    <x v="21"/>
    <x v="178"/>
    <x v="3"/>
    <x v="2"/>
    <s v=""/>
    <s v="Nao"/>
  </r>
  <r>
    <x v="471"/>
    <x v="12"/>
    <x v="11"/>
    <n v="2334"/>
    <x v="484"/>
    <n v="9.5500000000000002E-2"/>
    <n v="71.36"/>
    <n v="32"/>
    <n v="185"/>
    <n v="6"/>
    <n v="223"/>
    <x v="8"/>
    <x v="21"/>
    <x v="399"/>
    <x v="3"/>
    <x v="2"/>
    <s v=""/>
    <s v="Nao"/>
  </r>
  <r>
    <x v="472"/>
    <x v="6"/>
    <x v="6"/>
    <n v="2407"/>
    <x v="648"/>
    <n v="7.5200000000000003E-2"/>
    <n v="63.35"/>
    <n v="12"/>
    <n v="166"/>
    <n v="3"/>
    <n v="181"/>
    <x v="8"/>
    <x v="22"/>
    <x v="530"/>
    <x v="3"/>
    <x v="2"/>
    <s v=""/>
    <s v="Nao"/>
  </r>
  <r>
    <x v="472"/>
    <x v="2"/>
    <x v="2"/>
    <n v="3661"/>
    <x v="649"/>
    <n v="7.0699999999999999E-2"/>
    <n v="82.88"/>
    <n v="17"/>
    <n v="237"/>
    <n v="5"/>
    <n v="259"/>
    <x v="8"/>
    <x v="22"/>
    <x v="246"/>
    <x v="3"/>
    <x v="2"/>
    <s v=""/>
    <s v="Nao"/>
  </r>
  <r>
    <x v="473"/>
    <x v="14"/>
    <x v="12"/>
    <n v="3892"/>
    <x v="650"/>
    <n v="0.1023"/>
    <n v="119.4"/>
    <n v="125"/>
    <n v="267"/>
    <n v="6"/>
    <n v="398"/>
    <x v="8"/>
    <x v="23"/>
    <x v="531"/>
    <x v="3"/>
    <x v="2"/>
    <s v=""/>
    <s v="Nao"/>
  </r>
  <r>
    <x v="473"/>
    <x v="13"/>
    <x v="9"/>
    <n v="2867"/>
    <x v="651"/>
    <n v="9.98E-2"/>
    <n v="85.8"/>
    <n v="10"/>
    <n v="270"/>
    <n v="6"/>
    <n v="286"/>
    <x v="8"/>
    <x v="23"/>
    <x v="532"/>
    <x v="3"/>
    <x v="2"/>
    <s v=""/>
    <s v="Nao"/>
  </r>
  <r>
    <x v="474"/>
    <x v="6"/>
    <x v="6"/>
    <n v="2605"/>
    <x v="652"/>
    <n v="7.9100000000000004E-2"/>
    <n v="72.099999999999994"/>
    <n v="8"/>
    <n v="195"/>
    <n v="3"/>
    <n v="206"/>
    <x v="8"/>
    <x v="24"/>
    <x v="533"/>
    <x v="3"/>
    <x v="2"/>
    <s v=""/>
    <s v="Nao"/>
  </r>
  <r>
    <x v="474"/>
    <x v="13"/>
    <x v="9"/>
    <n v="3678"/>
    <x v="653"/>
    <n v="8.4599999999999995E-2"/>
    <n v="93.3"/>
    <n v="8"/>
    <n v="295"/>
    <n v="8"/>
    <n v="311"/>
    <x v="8"/>
    <x v="24"/>
    <x v="37"/>
    <x v="3"/>
    <x v="2"/>
    <s v=""/>
    <s v="Nao"/>
  </r>
  <r>
    <x v="475"/>
    <x v="12"/>
    <x v="11"/>
    <n v="3726"/>
    <x v="654"/>
    <n v="0.11940000000000001"/>
    <n v="142.4"/>
    <n v="54"/>
    <n v="381"/>
    <n v="10"/>
    <n v="445"/>
    <x v="8"/>
    <x v="25"/>
    <x v="534"/>
    <x v="3"/>
    <x v="2"/>
    <s v=""/>
    <s v="Nao"/>
  </r>
  <r>
    <x v="475"/>
    <x v="14"/>
    <x v="12"/>
    <n v="2025"/>
    <x v="655"/>
    <n v="9.1399999999999995E-2"/>
    <n v="55.5"/>
    <n v="45"/>
    <n v="133"/>
    <n v="7"/>
    <n v="185"/>
    <x v="8"/>
    <x v="25"/>
    <x v="535"/>
    <x v="3"/>
    <x v="2"/>
    <s v=""/>
    <s v="Nao"/>
  </r>
  <r>
    <x v="476"/>
    <x v="7"/>
    <x v="7"/>
    <n v="3783"/>
    <x v="66"/>
    <n v="0.1057"/>
    <n v="120"/>
    <n v="105"/>
    <n v="285"/>
    <n v="10"/>
    <n v="400"/>
    <x v="8"/>
    <x v="26"/>
    <x v="536"/>
    <x v="3"/>
    <x v="2"/>
    <s v=""/>
    <s v="Nao"/>
  </r>
  <r>
    <x v="476"/>
    <x v="0"/>
    <x v="0"/>
    <n v="2466"/>
    <x v="656"/>
    <n v="6.7299999999999999E-2"/>
    <n v="53.12"/>
    <n v="8"/>
    <n v="155"/>
    <n v="3"/>
    <n v="166"/>
    <x v="8"/>
    <x v="26"/>
    <x v="537"/>
    <x v="3"/>
    <x v="2"/>
    <s v=""/>
    <s v="Nao"/>
  </r>
  <r>
    <x v="477"/>
    <x v="5"/>
    <x v="5"/>
    <n v="2785"/>
    <x v="482"/>
    <n v="8.3299999999999999E-2"/>
    <n v="78.88"/>
    <n v="15"/>
    <n v="212"/>
    <n v="5"/>
    <n v="232"/>
    <x v="8"/>
    <x v="27"/>
    <x v="101"/>
    <x v="3"/>
    <x v="2"/>
    <s v=""/>
    <s v="Nao"/>
  </r>
  <r>
    <x v="477"/>
    <x v="12"/>
    <x v="11"/>
    <n v="1840"/>
    <x v="657"/>
    <n v="9.4600000000000004E-2"/>
    <n v="55.68"/>
    <n v="14"/>
    <n v="157"/>
    <n v="3"/>
    <n v="174"/>
    <x v="8"/>
    <x v="27"/>
    <x v="62"/>
    <x v="3"/>
    <x v="2"/>
    <s v=""/>
    <s v="Nao"/>
  </r>
  <r>
    <x v="478"/>
    <x v="8"/>
    <x v="8"/>
    <n v="3096"/>
    <x v="658"/>
    <n v="0.1082"/>
    <n v="107.2"/>
    <n v="49"/>
    <n v="281"/>
    <n v="5"/>
    <n v="335"/>
    <x v="8"/>
    <x v="28"/>
    <x v="361"/>
    <x v="3"/>
    <x v="2"/>
    <s v=""/>
    <s v="Nao"/>
  </r>
  <r>
    <x v="479"/>
    <x v="2"/>
    <x v="2"/>
    <n v="2494"/>
    <x v="659"/>
    <n v="8.2600000000000007E-2"/>
    <n v="65.92"/>
    <n v="8"/>
    <n v="195"/>
    <n v="3"/>
    <n v="206"/>
    <x v="8"/>
    <x v="29"/>
    <x v="538"/>
    <x v="3"/>
    <x v="2"/>
    <s v=""/>
    <s v="Nao"/>
  </r>
  <r>
    <x v="479"/>
    <x v="5"/>
    <x v="5"/>
    <n v="2905"/>
    <x v="660"/>
    <n v="7.6399999999999996E-2"/>
    <n v="75.48"/>
    <n v="7"/>
    <n v="212"/>
    <n v="3"/>
    <n v="222"/>
    <x v="8"/>
    <x v="29"/>
    <x v="329"/>
    <x v="3"/>
    <x v="2"/>
    <s v=""/>
    <s v="Nao"/>
  </r>
  <r>
    <x v="480"/>
    <x v="12"/>
    <x v="11"/>
    <n v="3227"/>
    <x v="661"/>
    <n v="0.1193"/>
    <n v="123.2"/>
    <n v="39"/>
    <n v="338"/>
    <n v="8"/>
    <n v="385"/>
    <x v="8"/>
    <x v="30"/>
    <x v="539"/>
    <x v="3"/>
    <x v="2"/>
    <s v=""/>
    <s v="Nao"/>
  </r>
  <r>
    <x v="481"/>
    <x v="6"/>
    <x v="6"/>
    <n v="2330"/>
    <x v="662"/>
    <n v="9.7900000000000001E-2"/>
    <n v="79.8"/>
    <n v="10"/>
    <n v="213"/>
    <n v="5"/>
    <n v="228"/>
    <x v="8"/>
    <x v="31"/>
    <x v="540"/>
    <x v="3"/>
    <x v="2"/>
    <s v=""/>
    <s v="Nao"/>
  </r>
  <r>
    <x v="482"/>
    <x v="11"/>
    <x v="0"/>
    <n v="4185"/>
    <x v="663"/>
    <n v="6.9800000000000001E-2"/>
    <n v="81.760000000000005"/>
    <n v="13"/>
    <n v="274"/>
    <n v="5"/>
    <n v="292"/>
    <x v="8"/>
    <x v="32"/>
    <x v="104"/>
    <x v="3"/>
    <x v="2"/>
    <s v=""/>
    <s v="Nao"/>
  </r>
  <r>
    <x v="483"/>
    <x v="4"/>
    <x v="4"/>
    <n v="2442"/>
    <x v="0"/>
    <n v="8.6800000000000002E-2"/>
    <n v="74.2"/>
    <n v="6"/>
    <n v="202"/>
    <n v="4"/>
    <n v="212"/>
    <x v="8"/>
    <x v="33"/>
    <x v="541"/>
    <x v="3"/>
    <x v="2"/>
    <s v=""/>
    <s v="Nao"/>
  </r>
  <r>
    <x v="483"/>
    <x v="9"/>
    <x v="9"/>
    <n v="3598"/>
    <x v="664"/>
    <n v="9.8699999999999996E-2"/>
    <n v="92.3"/>
    <n v="12"/>
    <n v="336"/>
    <n v="7"/>
    <n v="355"/>
    <x v="8"/>
    <x v="33"/>
    <x v="49"/>
    <x v="3"/>
    <x v="2"/>
    <s v=""/>
    <s v="Nao"/>
  </r>
  <r>
    <x v="484"/>
    <x v="14"/>
    <x v="12"/>
    <n v="1943"/>
    <x v="665"/>
    <n v="7.3599999999999999E-2"/>
    <n v="42.9"/>
    <n v="41"/>
    <n v="99"/>
    <n v="3"/>
    <n v="143"/>
    <x v="8"/>
    <x v="34"/>
    <x v="542"/>
    <x v="3"/>
    <x v="2"/>
    <s v=""/>
    <s v="Nao"/>
  </r>
  <r>
    <x v="485"/>
    <x v="6"/>
    <x v="6"/>
    <n v="3157"/>
    <x v="2"/>
    <n v="6.9400000000000003E-2"/>
    <n v="76.650000000000006"/>
    <n v="8"/>
    <n v="207"/>
    <n v="4"/>
    <n v="219"/>
    <x v="8"/>
    <x v="35"/>
    <x v="543"/>
    <x v="3"/>
    <x v="2"/>
    <s v=""/>
    <s v="Nao"/>
  </r>
  <r>
    <x v="485"/>
    <x v="13"/>
    <x v="9"/>
    <n v="3259"/>
    <x v="666"/>
    <n v="0.1037"/>
    <n v="101.4"/>
    <n v="16"/>
    <n v="314"/>
    <n v="8"/>
    <n v="338"/>
    <x v="8"/>
    <x v="35"/>
    <x v="544"/>
    <x v="3"/>
    <x v="2"/>
    <s v=""/>
    <s v="Nao"/>
  </r>
  <r>
    <x v="486"/>
    <x v="11"/>
    <x v="0"/>
    <n v="2963"/>
    <x v="667"/>
    <n v="7.8E-2"/>
    <n v="64.680000000000007"/>
    <n v="8"/>
    <n v="218"/>
    <n v="5"/>
    <n v="231"/>
    <x v="8"/>
    <x v="51"/>
    <x v="545"/>
    <x v="3"/>
    <x v="2"/>
    <s v=""/>
    <s v="Nao"/>
  </r>
  <r>
    <x v="486"/>
    <x v="2"/>
    <x v="2"/>
    <n v="2795"/>
    <x v="559"/>
    <n v="9.8000000000000004E-2"/>
    <n v="87.68"/>
    <n v="19"/>
    <n v="250"/>
    <n v="5"/>
    <n v="274"/>
    <x v="8"/>
    <x v="51"/>
    <x v="316"/>
    <x v="3"/>
    <x v="2"/>
    <s v=""/>
    <s v="Nao"/>
  </r>
  <r>
    <x v="487"/>
    <x v="11"/>
    <x v="0"/>
    <n v="4151"/>
    <x v="342"/>
    <n v="6.6500000000000004E-2"/>
    <n v="77.28"/>
    <n v="10"/>
    <n v="259"/>
    <n v="7"/>
    <n v="276"/>
    <x v="8"/>
    <x v="52"/>
    <x v="180"/>
    <x v="3"/>
    <x v="2"/>
    <s v=""/>
    <s v="Nao"/>
  </r>
  <r>
    <x v="488"/>
    <x v="9"/>
    <x v="9"/>
    <n v="1877"/>
    <x v="87"/>
    <n v="9.9099999999999994E-2"/>
    <n v="48.36"/>
    <n v="10"/>
    <n v="172"/>
    <n v="4"/>
    <n v="186"/>
    <x v="8"/>
    <x v="53"/>
    <x v="546"/>
    <x v="3"/>
    <x v="2"/>
    <s v=""/>
    <s v="Nao"/>
  </r>
  <r>
    <x v="488"/>
    <x v="14"/>
    <x v="12"/>
    <n v="3796"/>
    <x v="668"/>
    <n v="0.1072"/>
    <n v="122.1"/>
    <n v="96"/>
    <n v="301"/>
    <n v="10"/>
    <n v="407"/>
    <x v="8"/>
    <x v="53"/>
    <x v="547"/>
    <x v="3"/>
    <x v="2"/>
    <s v=""/>
    <s v="Nao"/>
  </r>
  <r>
    <x v="489"/>
    <x v="14"/>
    <x v="12"/>
    <n v="3931"/>
    <x v="669"/>
    <n v="9.2600000000000002E-2"/>
    <n v="109.2"/>
    <n v="70"/>
    <n v="282"/>
    <n v="12"/>
    <n v="364"/>
    <x v="8"/>
    <x v="54"/>
    <x v="548"/>
    <x v="4"/>
    <x v="2"/>
    <s v=""/>
    <s v="Nao"/>
  </r>
  <r>
    <x v="489"/>
    <x v="12"/>
    <x v="11"/>
    <n v="1942"/>
    <x v="77"/>
    <n v="9.7799999999999998E-2"/>
    <n v="60.8"/>
    <n v="23"/>
    <n v="163"/>
    <n v="4"/>
    <n v="190"/>
    <x v="8"/>
    <x v="54"/>
    <x v="549"/>
    <x v="4"/>
    <x v="2"/>
    <n v="54"/>
    <s v="Nao"/>
  </r>
  <r>
    <x v="490"/>
    <x v="11"/>
    <x v="0"/>
    <n v="2977"/>
    <x v="670"/>
    <n v="3.2599999999999997E-2"/>
    <n v="27.16"/>
    <n v="5"/>
    <n v="90"/>
    <n v="2"/>
    <n v="97"/>
    <x v="9"/>
    <x v="36"/>
    <x v="550"/>
    <x v="4"/>
    <x v="2"/>
    <s v=""/>
    <s v="Nao"/>
  </r>
  <r>
    <x v="491"/>
    <x v="4"/>
    <x v="4"/>
    <n v="2346"/>
    <x v="671"/>
    <n v="3.2000000000000001E-2"/>
    <n v="26.25"/>
    <n v="5"/>
    <n v="69"/>
    <n v="1"/>
    <n v="75"/>
    <x v="9"/>
    <x v="37"/>
    <x v="551"/>
    <x v="4"/>
    <x v="2"/>
    <s v=""/>
    <s v="Nao"/>
  </r>
  <r>
    <x v="491"/>
    <x v="1"/>
    <x v="1"/>
    <n v="2433"/>
    <x v="672"/>
    <n v="4.19E-2"/>
    <n v="32.64"/>
    <n v="2"/>
    <n v="97"/>
    <n v="3"/>
    <n v="102"/>
    <x v="9"/>
    <x v="37"/>
    <x v="552"/>
    <x v="4"/>
    <x v="2"/>
    <s v=""/>
    <s v="Nao"/>
  </r>
  <r>
    <x v="492"/>
    <x v="6"/>
    <x v="6"/>
    <n v="2315"/>
    <x v="673"/>
    <n v="4.9200000000000001E-2"/>
    <n v="39.9"/>
    <n v="3"/>
    <n v="109"/>
    <n v="2"/>
    <n v="114"/>
    <x v="9"/>
    <x v="38"/>
    <x v="553"/>
    <x v="4"/>
    <x v="2"/>
    <s v=""/>
    <s v="Nao"/>
  </r>
  <r>
    <x v="492"/>
    <x v="7"/>
    <x v="7"/>
    <n v="2441"/>
    <x v="327"/>
    <n v="4.5900000000000003E-2"/>
    <n v="33.6"/>
    <n v="31"/>
    <n v="79"/>
    <n v="2"/>
    <n v="112"/>
    <x v="9"/>
    <x v="38"/>
    <x v="554"/>
    <x v="4"/>
    <x v="2"/>
    <s v=""/>
    <s v="Nao"/>
  </r>
  <r>
    <x v="493"/>
    <x v="12"/>
    <x v="11"/>
    <n v="2825"/>
    <x v="352"/>
    <n v="4.7100000000000003E-2"/>
    <n v="42.56"/>
    <n v="13"/>
    <n v="117"/>
    <n v="3"/>
    <n v="133"/>
    <x v="9"/>
    <x v="39"/>
    <x v="555"/>
    <x v="4"/>
    <x v="2"/>
    <s v=""/>
    <s v="Nao"/>
  </r>
  <r>
    <x v="494"/>
    <x v="5"/>
    <x v="5"/>
    <n v="2673"/>
    <x v="674"/>
    <n v="4.9000000000000002E-2"/>
    <n v="44.54"/>
    <n v="5"/>
    <n v="124"/>
    <n v="2"/>
    <n v="131"/>
    <x v="9"/>
    <x v="40"/>
    <x v="58"/>
    <x v="4"/>
    <x v="2"/>
    <s v=""/>
    <s v="Nao"/>
  </r>
  <r>
    <x v="495"/>
    <x v="2"/>
    <x v="2"/>
    <n v="4083"/>
    <x v="573"/>
    <n v="5.9799999999999999E-2"/>
    <n v="78.08"/>
    <n v="12"/>
    <n v="228"/>
    <n v="4"/>
    <n v="244"/>
    <x v="9"/>
    <x v="41"/>
    <x v="346"/>
    <x v="4"/>
    <x v="2"/>
    <s v=""/>
    <s v="Nao"/>
  </r>
  <r>
    <x v="496"/>
    <x v="14"/>
    <x v="12"/>
    <n v="3379"/>
    <x v="675"/>
    <n v="5.5899999999999998E-2"/>
    <n v="56.7"/>
    <n v="57"/>
    <n v="130"/>
    <n v="2"/>
    <n v="189"/>
    <x v="9"/>
    <x v="42"/>
    <x v="549"/>
    <x v="4"/>
    <x v="2"/>
    <s v=""/>
    <s v="Nao"/>
  </r>
  <r>
    <x v="496"/>
    <x v="14"/>
    <x v="12"/>
    <n v="3480"/>
    <x v="676"/>
    <n v="5.1999999999999998E-2"/>
    <n v="54.3"/>
    <n v="49"/>
    <n v="128"/>
    <n v="4"/>
    <n v="181"/>
    <x v="9"/>
    <x v="42"/>
    <x v="495"/>
    <x v="4"/>
    <x v="2"/>
    <s v=""/>
    <s v="Nao"/>
  </r>
  <r>
    <x v="497"/>
    <x v="8"/>
    <x v="8"/>
    <n v="3205"/>
    <x v="677"/>
    <n v="8.2400000000000001E-2"/>
    <n v="84.48"/>
    <n v="30"/>
    <n v="227"/>
    <n v="7"/>
    <n v="264"/>
    <x v="9"/>
    <x v="43"/>
    <x v="556"/>
    <x v="4"/>
    <x v="2"/>
    <s v=""/>
    <s v="Nao"/>
  </r>
  <r>
    <x v="498"/>
    <x v="9"/>
    <x v="9"/>
    <n v="4199"/>
    <x v="678"/>
    <n v="6.6900000000000001E-2"/>
    <n v="73.06"/>
    <n v="7"/>
    <n v="269"/>
    <n v="5"/>
    <n v="281"/>
    <x v="9"/>
    <x v="44"/>
    <x v="134"/>
    <x v="4"/>
    <x v="2"/>
    <s v=""/>
    <s v="Nao"/>
  </r>
  <r>
    <x v="498"/>
    <x v="6"/>
    <x v="6"/>
    <n v="2537"/>
    <x v="679"/>
    <n v="4.3400000000000001E-2"/>
    <n v="38.5"/>
    <n v="6"/>
    <n v="102"/>
    <n v="2"/>
    <n v="110"/>
    <x v="9"/>
    <x v="44"/>
    <x v="557"/>
    <x v="4"/>
    <x v="2"/>
    <s v=""/>
    <s v="Nao"/>
  </r>
  <r>
    <x v="499"/>
    <x v="6"/>
    <x v="6"/>
    <n v="3055"/>
    <x v="680"/>
    <n v="4.7100000000000003E-2"/>
    <n v="50.4"/>
    <n v="5"/>
    <n v="137"/>
    <n v="2"/>
    <n v="144"/>
    <x v="9"/>
    <x v="45"/>
    <x v="558"/>
    <x v="4"/>
    <x v="2"/>
    <s v=""/>
    <s v="Nao"/>
  </r>
  <r>
    <x v="499"/>
    <x v="1"/>
    <x v="1"/>
    <n v="3935"/>
    <x v="681"/>
    <n v="4.9000000000000002E-2"/>
    <n v="61.76"/>
    <n v="6"/>
    <n v="184"/>
    <n v="3"/>
    <n v="193"/>
    <x v="9"/>
    <x v="45"/>
    <x v="251"/>
    <x v="4"/>
    <x v="2"/>
    <s v=""/>
    <s v="Nao"/>
  </r>
  <r>
    <x v="500"/>
    <x v="11"/>
    <x v="0"/>
    <n v="1938"/>
    <x v="682"/>
    <n v="4.5400000000000003E-2"/>
    <n v="24.64"/>
    <n v="5"/>
    <n v="81"/>
    <n v="2"/>
    <n v="88"/>
    <x v="9"/>
    <x v="46"/>
    <x v="559"/>
    <x v="4"/>
    <x v="2"/>
    <s v=""/>
    <s v="Nao"/>
  </r>
  <r>
    <x v="500"/>
    <x v="3"/>
    <x v="3"/>
    <n v="4057"/>
    <x v="683"/>
    <n v="7.1999999999999995E-2"/>
    <n v="81.760000000000005"/>
    <n v="12"/>
    <n v="273"/>
    <n v="7"/>
    <n v="292"/>
    <x v="9"/>
    <x v="46"/>
    <x v="560"/>
    <x v="4"/>
    <x v="2"/>
    <s v=""/>
    <s v="Nao"/>
  </r>
  <r>
    <x v="501"/>
    <x v="11"/>
    <x v="0"/>
    <n v="3987"/>
    <x v="684"/>
    <n v="5.2900000000000003E-2"/>
    <n v="59.08"/>
    <n v="10"/>
    <n v="198"/>
    <n v="3"/>
    <n v="211"/>
    <x v="9"/>
    <x v="47"/>
    <x v="211"/>
    <x v="4"/>
    <x v="2"/>
    <s v=""/>
    <s v="Nao"/>
  </r>
  <r>
    <x v="502"/>
    <x v="3"/>
    <x v="3"/>
    <n v="3073"/>
    <x v="670"/>
    <n v="6.2799999999999995E-2"/>
    <n v="54.04"/>
    <n v="4"/>
    <n v="184"/>
    <n v="5"/>
    <n v="193"/>
    <x v="9"/>
    <x v="48"/>
    <x v="40"/>
    <x v="4"/>
    <x v="2"/>
    <s v=""/>
    <s v="Nao"/>
  </r>
  <r>
    <x v="503"/>
    <x v="2"/>
    <x v="2"/>
    <n v="3081"/>
    <x v="287"/>
    <n v="5.6800000000000003E-2"/>
    <n v="56"/>
    <n v="72"/>
    <n v="9"/>
    <n v="94"/>
    <n v="175"/>
    <x v="9"/>
    <x v="49"/>
    <x v="561"/>
    <x v="4"/>
    <x v="2"/>
    <s v=""/>
    <s v="Sim"/>
  </r>
  <r>
    <x v="503"/>
    <x v="13"/>
    <x v="9"/>
    <n v="3220"/>
    <x v="685"/>
    <n v="8.0100000000000005E-2"/>
    <n v="77.400000000000006"/>
    <n v="6"/>
    <n v="246"/>
    <n v="6"/>
    <n v="258"/>
    <x v="9"/>
    <x v="49"/>
    <x v="562"/>
    <x v="4"/>
    <x v="2"/>
    <s v=""/>
    <s v="Nao"/>
  </r>
  <r>
    <x v="504"/>
    <x v="1"/>
    <x v="1"/>
    <n v="2454"/>
    <x v="190"/>
    <n v="6.93E-2"/>
    <n v="54.4"/>
    <n v="10"/>
    <n v="156"/>
    <n v="4"/>
    <n v="170"/>
    <x v="9"/>
    <x v="50"/>
    <x v="334"/>
    <x v="4"/>
    <x v="2"/>
    <s v=""/>
    <s v="Nao"/>
  </r>
  <r>
    <x v="505"/>
    <x v="12"/>
    <x v="11"/>
    <n v="1825"/>
    <x v="686"/>
    <n v="8.8800000000000004E-2"/>
    <n v="51.84"/>
    <n v="24"/>
    <n v="135"/>
    <n v="3"/>
    <n v="162"/>
    <x v="9"/>
    <x v="0"/>
    <x v="455"/>
    <x v="4"/>
    <x v="2"/>
    <s v=""/>
    <s v="Nao"/>
  </r>
  <r>
    <x v="505"/>
    <x v="5"/>
    <x v="5"/>
    <n v="4084"/>
    <x v="687"/>
    <n v="6.6100000000000006E-2"/>
    <n v="91.8"/>
    <n v="6"/>
    <n v="259"/>
    <n v="5"/>
    <n v="270"/>
    <x v="9"/>
    <x v="0"/>
    <x v="563"/>
    <x v="4"/>
    <x v="2"/>
    <s v=""/>
    <s v="Nao"/>
  </r>
  <r>
    <x v="506"/>
    <x v="4"/>
    <x v="4"/>
    <n v="4183"/>
    <x v="688"/>
    <n v="5.33E-2"/>
    <n v="78.05"/>
    <n v="15"/>
    <n v="206"/>
    <n v="2"/>
    <n v="223"/>
    <x v="9"/>
    <x v="1"/>
    <x v="564"/>
    <x v="4"/>
    <x v="2"/>
    <s v=""/>
    <s v="Nao"/>
  </r>
  <r>
    <x v="506"/>
    <x v="3"/>
    <x v="3"/>
    <n v="2156"/>
    <x v="689"/>
    <n v="4.0800000000000003E-2"/>
    <n v="24.64"/>
    <n v="4"/>
    <n v="83"/>
    <n v="1"/>
    <n v="88"/>
    <x v="9"/>
    <x v="1"/>
    <x v="565"/>
    <x v="4"/>
    <x v="2"/>
    <s v=""/>
    <s v="Nao"/>
  </r>
  <r>
    <x v="507"/>
    <x v="1"/>
    <x v="1"/>
    <n v="3668"/>
    <x v="690"/>
    <n v="6.5699999999999995E-2"/>
    <n v="77.12"/>
    <n v="10"/>
    <n v="225"/>
    <n v="6"/>
    <n v="241"/>
    <x v="9"/>
    <x v="2"/>
    <x v="307"/>
    <x v="4"/>
    <x v="2"/>
    <s v=""/>
    <s v="Nao"/>
  </r>
  <r>
    <x v="507"/>
    <x v="12"/>
    <x v="11"/>
    <n v="2865"/>
    <x v="691"/>
    <n v="9.8400000000000001E-2"/>
    <n v="90.24"/>
    <n v="35"/>
    <n v="239"/>
    <n v="8"/>
    <n v="282"/>
    <x v="9"/>
    <x v="2"/>
    <x v="89"/>
    <x v="4"/>
    <x v="2"/>
    <s v=""/>
    <s v="Nao"/>
  </r>
  <r>
    <x v="508"/>
    <x v="12"/>
    <x v="11"/>
    <n v="2454"/>
    <x v="190"/>
    <n v="6.93E-2"/>
    <n v="54.4"/>
    <n v="14"/>
    <n v="153"/>
    <n v="3"/>
    <n v="170"/>
    <x v="9"/>
    <x v="3"/>
    <x v="334"/>
    <x v="4"/>
    <x v="2"/>
    <s v=""/>
    <s v="Nao"/>
  </r>
  <r>
    <x v="508"/>
    <x v="7"/>
    <x v="7"/>
    <n v="3219"/>
    <x v="692"/>
    <n v="6.6799999999999998E-2"/>
    <n v="64.5"/>
    <n v="46"/>
    <n v="163"/>
    <n v="6"/>
    <n v="215"/>
    <x v="9"/>
    <x v="3"/>
    <x v="20"/>
    <x v="4"/>
    <x v="2"/>
    <s v=""/>
    <s v="Nao"/>
  </r>
  <r>
    <x v="509"/>
    <x v="2"/>
    <x v="2"/>
    <n v="2457"/>
    <x v="413"/>
    <n v="6.2300000000000001E-2"/>
    <n v="48.96"/>
    <n v="6"/>
    <n v="143"/>
    <n v="4"/>
    <n v="153"/>
    <x v="9"/>
    <x v="4"/>
    <x v="375"/>
    <x v="4"/>
    <x v="2"/>
    <s v=""/>
    <s v="Nao"/>
  </r>
  <r>
    <x v="509"/>
    <x v="1"/>
    <x v="1"/>
    <n v="1904"/>
    <x v="594"/>
    <n v="6.3E-2"/>
    <n v="38.4"/>
    <n v="7"/>
    <n v="111"/>
    <n v="2"/>
    <n v="120"/>
    <x v="9"/>
    <x v="4"/>
    <x v="228"/>
    <x v="4"/>
    <x v="2"/>
    <s v=""/>
    <s v="Nao"/>
  </r>
  <r>
    <x v="510"/>
    <x v="9"/>
    <x v="9"/>
    <n v="2665"/>
    <x v="693"/>
    <n v="9.5299999999999996E-2"/>
    <n v="66.040000000000006"/>
    <n v="17"/>
    <n v="233"/>
    <n v="4"/>
    <n v="254"/>
    <x v="9"/>
    <x v="5"/>
    <x v="455"/>
    <x v="4"/>
    <x v="2"/>
    <s v=""/>
    <s v="Nao"/>
  </r>
  <r>
    <x v="510"/>
    <x v="12"/>
    <x v="11"/>
    <n v="2655"/>
    <x v="339"/>
    <n v="9.11E-2"/>
    <n v="77.44"/>
    <n v="29"/>
    <n v="207"/>
    <n v="6"/>
    <n v="242"/>
    <x v="9"/>
    <x v="5"/>
    <x v="566"/>
    <x v="4"/>
    <x v="2"/>
    <s v=""/>
    <s v="Nao"/>
  </r>
  <r>
    <x v="511"/>
    <x v="11"/>
    <x v="0"/>
    <n v="3906"/>
    <x v="288"/>
    <n v="5.45E-2"/>
    <n v="59.64"/>
    <n v="12"/>
    <n v="199"/>
    <n v="2"/>
    <n v="213"/>
    <x v="9"/>
    <x v="6"/>
    <x v="314"/>
    <x v="4"/>
    <x v="2"/>
    <s v=""/>
    <s v="Nao"/>
  </r>
  <r>
    <x v="511"/>
    <x v="4"/>
    <x v="4"/>
    <n v="2046"/>
    <x v="694"/>
    <n v="6.0100000000000001E-2"/>
    <n v="43.05"/>
    <n v="7"/>
    <n v="114"/>
    <n v="2"/>
    <n v="123"/>
    <x v="9"/>
    <x v="6"/>
    <x v="567"/>
    <x v="4"/>
    <x v="2"/>
    <s v=""/>
    <s v="Nao"/>
  </r>
  <r>
    <x v="512"/>
    <x v="11"/>
    <x v="0"/>
    <n v="3284"/>
    <x v="695"/>
    <n v="6.7599999999999993E-2"/>
    <n v="62.16"/>
    <n v="11"/>
    <n v="207"/>
    <n v="4"/>
    <n v="222"/>
    <x v="9"/>
    <x v="7"/>
    <x v="568"/>
    <x v="4"/>
    <x v="2"/>
    <s v=""/>
    <s v="Nao"/>
  </r>
  <r>
    <x v="512"/>
    <x v="10"/>
    <x v="10"/>
    <n v="2506"/>
    <x v="590"/>
    <n v="7.8200000000000006E-2"/>
    <n v="62.72"/>
    <n v="23"/>
    <n v="171"/>
    <n v="2"/>
    <n v="196"/>
    <x v="9"/>
    <x v="7"/>
    <x v="569"/>
    <x v="4"/>
    <x v="2"/>
    <s v=""/>
    <s v="Nao"/>
  </r>
  <r>
    <x v="513"/>
    <x v="4"/>
    <x v="4"/>
    <n v="2006"/>
    <x v="243"/>
    <n v="6.3799999999999996E-2"/>
    <n v="44.8"/>
    <n v="8"/>
    <n v="118"/>
    <n v="2"/>
    <n v="128"/>
    <x v="9"/>
    <x v="8"/>
    <x v="305"/>
    <x v="4"/>
    <x v="2"/>
    <s v=""/>
    <s v="Nao"/>
  </r>
  <r>
    <x v="513"/>
    <x v="11"/>
    <x v="0"/>
    <n v="3884"/>
    <x v="696"/>
    <n v="4.99E-2"/>
    <n v="54.32"/>
    <n v="13"/>
    <n v="178"/>
    <n v="3"/>
    <n v="194"/>
    <x v="9"/>
    <x v="8"/>
    <x v="227"/>
    <x v="4"/>
    <x v="2"/>
    <s v=""/>
    <s v="Nao"/>
  </r>
  <r>
    <x v="514"/>
    <x v="5"/>
    <x v="5"/>
    <n v="2940"/>
    <x v="697"/>
    <n v="7.0099999999999996E-2"/>
    <n v="70.040000000000006"/>
    <n v="6"/>
    <n v="197"/>
    <n v="3"/>
    <n v="206"/>
    <x v="9"/>
    <x v="9"/>
    <x v="104"/>
    <x v="4"/>
    <x v="2"/>
    <s v=""/>
    <s v="Nao"/>
  </r>
  <r>
    <x v="514"/>
    <x v="3"/>
    <x v="3"/>
    <n v="1841"/>
    <x v="698"/>
    <n v="6.9000000000000006E-2"/>
    <n v="35.56"/>
    <n v="8"/>
    <n v="117"/>
    <n v="2"/>
    <n v="127"/>
    <x v="9"/>
    <x v="9"/>
    <x v="570"/>
    <x v="4"/>
    <x v="2"/>
    <s v=""/>
    <s v="Nao"/>
  </r>
  <r>
    <x v="515"/>
    <x v="2"/>
    <x v="2"/>
    <n v="3016"/>
    <x v="111"/>
    <n v="6.93E-2"/>
    <n v="66.88"/>
    <n v="13"/>
    <n v="193"/>
    <n v="3"/>
    <n v="209"/>
    <x v="9"/>
    <x v="10"/>
    <x v="193"/>
    <x v="4"/>
    <x v="2"/>
    <s v=""/>
    <s v="Nao"/>
  </r>
  <r>
    <x v="515"/>
    <x v="2"/>
    <x v="2"/>
    <n v="1848"/>
    <x v="699"/>
    <n v="6.9800000000000001E-2"/>
    <n v="41.28"/>
    <n v="8"/>
    <n v="120"/>
    <n v="1"/>
    <n v="129"/>
    <x v="9"/>
    <x v="10"/>
    <x v="82"/>
    <x v="4"/>
    <x v="2"/>
    <s v=""/>
    <s v="Nao"/>
  </r>
  <r>
    <x v="516"/>
    <x v="11"/>
    <x v="0"/>
    <n v="3669"/>
    <x v="700"/>
    <n v="4.5499999999999999E-2"/>
    <n v="46.76"/>
    <n v="6"/>
    <n v="157"/>
    <n v="4"/>
    <n v="167"/>
    <x v="9"/>
    <x v="11"/>
    <x v="73"/>
    <x v="4"/>
    <x v="2"/>
    <s v=""/>
    <s v="Nao"/>
  </r>
  <r>
    <x v="516"/>
    <x v="9"/>
    <x v="9"/>
    <n v="3201"/>
    <x v="701"/>
    <n v="7.5300000000000006E-2"/>
    <n v="62.66"/>
    <n v="7"/>
    <n v="229"/>
    <n v="5"/>
    <n v="241"/>
    <x v="9"/>
    <x v="11"/>
    <x v="567"/>
    <x v="4"/>
    <x v="2"/>
    <s v=""/>
    <s v="Nao"/>
  </r>
  <r>
    <x v="517"/>
    <x v="4"/>
    <x v="4"/>
    <n v="2782"/>
    <x v="702"/>
    <n v="4.7800000000000002E-2"/>
    <n v="46.55"/>
    <n v="4"/>
    <n v="125"/>
    <n v="4"/>
    <n v="133"/>
    <x v="9"/>
    <x v="12"/>
    <x v="356"/>
    <x v="5"/>
    <x v="2"/>
    <s v=""/>
    <s v="Nao"/>
  </r>
  <r>
    <x v="517"/>
    <x v="2"/>
    <x v="2"/>
    <n v="3612"/>
    <x v="703"/>
    <n v="5.5899999999999998E-2"/>
    <n v="64.64"/>
    <n v="8"/>
    <n v="188"/>
    <n v="6"/>
    <n v="202"/>
    <x v="9"/>
    <x v="12"/>
    <x v="143"/>
    <x v="5"/>
    <x v="2"/>
    <s v=""/>
    <s v="Nao"/>
  </r>
  <r>
    <x v="518"/>
    <x v="2"/>
    <x v="2"/>
    <n v="2544"/>
    <x v="704"/>
    <n v="7.9399999999999998E-2"/>
    <n v="64.64"/>
    <n v="8"/>
    <n v="191"/>
    <n v="3"/>
    <n v="202"/>
    <x v="9"/>
    <x v="13"/>
    <x v="143"/>
    <x v="5"/>
    <x v="2"/>
    <s v=""/>
    <s v="Nao"/>
  </r>
  <r>
    <x v="519"/>
    <x v="9"/>
    <x v="9"/>
    <n v="3259"/>
    <x v="705"/>
    <n v="9.5399999999999999E-2"/>
    <n v="80.86"/>
    <n v="19"/>
    <n v="287"/>
    <n v="5"/>
    <n v="311"/>
    <x v="9"/>
    <x v="14"/>
    <x v="389"/>
    <x v="5"/>
    <x v="2"/>
    <s v=""/>
    <s v="Nao"/>
  </r>
  <r>
    <x v="520"/>
    <x v="5"/>
    <x v="5"/>
    <n v="3145"/>
    <x v="706"/>
    <n v="6.4500000000000002E-2"/>
    <n v="69.02"/>
    <n v="7"/>
    <n v="192"/>
    <n v="4"/>
    <n v="203"/>
    <x v="9"/>
    <x v="15"/>
    <x v="14"/>
    <x v="5"/>
    <x v="2"/>
    <s v=""/>
    <s v="Nao"/>
  </r>
  <r>
    <x v="520"/>
    <x v="3"/>
    <x v="3"/>
    <n v="3889"/>
    <x v="707"/>
    <n v="7.8399999999999997E-2"/>
    <n v="85.4"/>
    <n v="12"/>
    <n v="289"/>
    <n v="4"/>
    <n v="305"/>
    <x v="9"/>
    <x v="15"/>
    <x v="50"/>
    <x v="5"/>
    <x v="2"/>
    <s v=""/>
    <s v="Nao"/>
  </r>
  <r>
    <x v="521"/>
    <x v="14"/>
    <x v="12"/>
    <n v="2904"/>
    <x v="708"/>
    <n v="7.4399999999999994E-2"/>
    <n v="64.8"/>
    <n v="41"/>
    <n v="172"/>
    <n v="3"/>
    <n v="216"/>
    <x v="9"/>
    <x v="16"/>
    <x v="173"/>
    <x v="5"/>
    <x v="2"/>
    <s v=""/>
    <s v="Nao"/>
  </r>
  <r>
    <x v="521"/>
    <x v="8"/>
    <x v="8"/>
    <n v="2003"/>
    <x v="709"/>
    <n v="9.5899999999999999E-2"/>
    <n v="61.44"/>
    <n v="17"/>
    <n v="171"/>
    <n v="4"/>
    <n v="192"/>
    <x v="9"/>
    <x v="16"/>
    <x v="25"/>
    <x v="5"/>
    <x v="2"/>
    <s v=""/>
    <s v="Nao"/>
  </r>
  <r>
    <x v="522"/>
    <x v="0"/>
    <x v="0"/>
    <n v="2143"/>
    <x v="710"/>
    <n v="6.5799999999999997E-2"/>
    <n v="45.12"/>
    <n v="9"/>
    <n v="128"/>
    <n v="4"/>
    <n v="141"/>
    <x v="9"/>
    <x v="17"/>
    <x v="395"/>
    <x v="5"/>
    <x v="2"/>
    <s v=""/>
    <s v="Nao"/>
  </r>
  <r>
    <x v="523"/>
    <x v="8"/>
    <x v="8"/>
    <n v="4118"/>
    <x v="711"/>
    <n v="0.10199999999999999"/>
    <n v="134.4"/>
    <n v="57"/>
    <n v="356"/>
    <n v="7"/>
    <n v="420"/>
    <x v="9"/>
    <x v="18"/>
    <x v="325"/>
    <x v="5"/>
    <x v="2"/>
    <s v=""/>
    <s v="Nao"/>
  </r>
  <r>
    <x v="524"/>
    <x v="2"/>
    <x v="2"/>
    <n v="3956"/>
    <x v="712"/>
    <n v="7.6600000000000001E-2"/>
    <n v="96.96"/>
    <n v="20"/>
    <n v="280"/>
    <n v="3"/>
    <n v="303"/>
    <x v="9"/>
    <x v="19"/>
    <x v="571"/>
    <x v="5"/>
    <x v="2"/>
    <s v=""/>
    <s v="Nao"/>
  </r>
  <r>
    <x v="524"/>
    <x v="0"/>
    <x v="0"/>
    <n v="1902"/>
    <x v="713"/>
    <n v="4.1500000000000002E-2"/>
    <n v="25.28"/>
    <n v="3"/>
    <n v="74"/>
    <n v="2"/>
    <n v="79"/>
    <x v="9"/>
    <x v="19"/>
    <x v="572"/>
    <x v="5"/>
    <x v="2"/>
    <s v=""/>
    <s v="Nao"/>
  </r>
  <r>
    <x v="525"/>
    <x v="5"/>
    <x v="5"/>
    <n v="2905"/>
    <x v="714"/>
    <n v="7.7100000000000002E-2"/>
    <n v="76.16"/>
    <n v="9"/>
    <n v="210"/>
    <n v="5"/>
    <n v="224"/>
    <x v="9"/>
    <x v="20"/>
    <x v="107"/>
    <x v="5"/>
    <x v="2"/>
    <s v=""/>
    <s v="Nao"/>
  </r>
  <r>
    <x v="526"/>
    <x v="1"/>
    <x v="1"/>
    <n v="2861"/>
    <x v="715"/>
    <n v="8.5300000000000001E-2"/>
    <n v="78.08"/>
    <n v="15"/>
    <n v="224"/>
    <n v="5"/>
    <n v="244"/>
    <x v="9"/>
    <x v="21"/>
    <x v="346"/>
    <x v="5"/>
    <x v="2"/>
    <s v=""/>
    <s v="Nao"/>
  </r>
  <r>
    <x v="527"/>
    <x v="0"/>
    <x v="0"/>
    <n v="4005"/>
    <x v="684"/>
    <n v="5.7200000000000001E-2"/>
    <n v="73.28"/>
    <n v="6"/>
    <n v="219"/>
    <n v="4"/>
    <n v="229"/>
    <x v="9"/>
    <x v="22"/>
    <x v="573"/>
    <x v="5"/>
    <x v="2"/>
    <s v=""/>
    <s v="Nao"/>
  </r>
  <r>
    <x v="527"/>
    <x v="10"/>
    <x v="10"/>
    <n v="4041"/>
    <x v="716"/>
    <n v="0.1153"/>
    <n v="149.12"/>
    <n v="61"/>
    <n v="400"/>
    <n v="5"/>
    <n v="466"/>
    <x v="9"/>
    <x v="22"/>
    <x v="574"/>
    <x v="5"/>
    <x v="2"/>
    <s v=""/>
    <s v="Nao"/>
  </r>
  <r>
    <x v="528"/>
    <x v="4"/>
    <x v="4"/>
    <n v="4064"/>
    <x v="378"/>
    <n v="7.6300000000000007E-2"/>
    <n v="108.5"/>
    <n v="17"/>
    <n v="287"/>
    <n v="6"/>
    <n v="310"/>
    <x v="9"/>
    <x v="23"/>
    <x v="575"/>
    <x v="5"/>
    <x v="2"/>
    <s v=""/>
    <s v="Nao"/>
  </r>
  <r>
    <x v="529"/>
    <x v="1"/>
    <x v="1"/>
    <n v="3181"/>
    <x v="717"/>
    <n v="8.3299999999999999E-2"/>
    <n v="84.8"/>
    <n v="11"/>
    <n v="248"/>
    <n v="6"/>
    <n v="265"/>
    <x v="9"/>
    <x v="24"/>
    <x v="541"/>
    <x v="5"/>
    <x v="2"/>
    <s v=""/>
    <s v="Nao"/>
  </r>
  <r>
    <x v="530"/>
    <x v="6"/>
    <x v="6"/>
    <n v="2117"/>
    <x v="718"/>
    <n v="9.1200000000000003E-2"/>
    <n v="67.55"/>
    <n v="63"/>
    <n v="21"/>
    <n v="109"/>
    <n v="193"/>
    <x v="9"/>
    <x v="25"/>
    <x v="365"/>
    <x v="5"/>
    <x v="2"/>
    <s v=""/>
    <s v="Sim"/>
  </r>
  <r>
    <x v="530"/>
    <x v="6"/>
    <x v="6"/>
    <n v="1918"/>
    <x v="719"/>
    <n v="7.51E-2"/>
    <n v="50.4"/>
    <n v="8"/>
    <n v="133"/>
    <n v="3"/>
    <n v="144"/>
    <x v="9"/>
    <x v="25"/>
    <x v="558"/>
    <x v="5"/>
    <x v="2"/>
    <s v=""/>
    <s v="Nao"/>
  </r>
  <r>
    <x v="531"/>
    <x v="14"/>
    <x v="12"/>
    <n v="3239"/>
    <x v="472"/>
    <n v="8.4599999999999995E-2"/>
    <n v="82.2"/>
    <n v="54"/>
    <n v="209"/>
    <n v="11"/>
    <n v="274"/>
    <x v="9"/>
    <x v="26"/>
    <x v="576"/>
    <x v="5"/>
    <x v="2"/>
    <s v=""/>
    <s v="Nao"/>
  </r>
  <r>
    <x v="531"/>
    <x v="7"/>
    <x v="7"/>
    <n v="2308"/>
    <x v="336"/>
    <n v="8.1500000000000003E-2"/>
    <n v="56.4"/>
    <n v="48"/>
    <n v="137"/>
    <n v="3"/>
    <n v="188"/>
    <x v="9"/>
    <x v="26"/>
    <x v="577"/>
    <x v="5"/>
    <x v="2"/>
    <s v=""/>
    <s v="Nao"/>
  </r>
  <r>
    <x v="532"/>
    <x v="11"/>
    <x v="0"/>
    <n v="2875"/>
    <x v="565"/>
    <n v="5.8799999999999998E-2"/>
    <n v="47.32"/>
    <n v="8"/>
    <n v="157"/>
    <n v="4"/>
    <n v="169"/>
    <x v="9"/>
    <x v="27"/>
    <x v="578"/>
    <x v="5"/>
    <x v="2"/>
    <s v=""/>
    <s v="Nao"/>
  </r>
  <r>
    <x v="533"/>
    <x v="7"/>
    <x v="7"/>
    <n v="2076"/>
    <x v="720"/>
    <n v="9.1999999999999998E-2"/>
    <n v="57.3"/>
    <n v="56"/>
    <n v="132"/>
    <n v="3"/>
    <n v="191"/>
    <x v="9"/>
    <x v="28"/>
    <x v="356"/>
    <x v="5"/>
    <x v="2"/>
    <s v=""/>
    <s v="Nao"/>
  </r>
  <r>
    <x v="534"/>
    <x v="14"/>
    <x v="12"/>
    <n v="3302"/>
    <x v="721"/>
    <n v="8.8999999999999996E-2"/>
    <n v="88.2"/>
    <n v="70"/>
    <n v="220"/>
    <n v="4"/>
    <n v="294"/>
    <x v="9"/>
    <x v="29"/>
    <x v="88"/>
    <x v="5"/>
    <x v="2"/>
    <s v=""/>
    <s v="Nao"/>
  </r>
  <r>
    <x v="535"/>
    <x v="5"/>
    <x v="5"/>
    <n v="2466"/>
    <x v="722"/>
    <n v="6.8500000000000005E-2"/>
    <n v="57.46"/>
    <n v="5"/>
    <n v="159"/>
    <n v="5"/>
    <n v="169"/>
    <x v="9"/>
    <x v="30"/>
    <x v="134"/>
    <x v="5"/>
    <x v="2"/>
    <s v=""/>
    <s v="Nao"/>
  </r>
  <r>
    <x v="535"/>
    <x v="5"/>
    <x v="5"/>
    <n v="1979"/>
    <x v="449"/>
    <n v="8.4400000000000003E-2"/>
    <n v="56.78"/>
    <n v="9"/>
    <n v="153"/>
    <n v="5"/>
    <n v="167"/>
    <x v="9"/>
    <x v="30"/>
    <x v="282"/>
    <x v="5"/>
    <x v="2"/>
    <s v=""/>
    <s v="Nao"/>
  </r>
  <r>
    <x v="536"/>
    <x v="12"/>
    <x v="11"/>
    <n v="2634"/>
    <x v="723"/>
    <n v="9.8699999999999996E-2"/>
    <n v="83.2"/>
    <n v="33"/>
    <n v="219"/>
    <n v="8"/>
    <n v="260"/>
    <x v="9"/>
    <x v="31"/>
    <x v="60"/>
    <x v="5"/>
    <x v="2"/>
    <s v=""/>
    <s v="Nao"/>
  </r>
  <r>
    <x v="536"/>
    <x v="8"/>
    <x v="8"/>
    <n v="3648"/>
    <x v="724"/>
    <n v="9.5399999999999999E-2"/>
    <n v="111.36"/>
    <n v="43"/>
    <n v="295"/>
    <n v="10"/>
    <n v="348"/>
    <x v="9"/>
    <x v="31"/>
    <x v="525"/>
    <x v="5"/>
    <x v="2"/>
    <s v=""/>
    <s v="Nao"/>
  </r>
  <r>
    <x v="537"/>
    <x v="4"/>
    <x v="4"/>
    <n v="2439"/>
    <x v="725"/>
    <n v="7.9100000000000004E-2"/>
    <n v="67.55"/>
    <n v="7"/>
    <n v="181"/>
    <n v="5"/>
    <n v="193"/>
    <x v="9"/>
    <x v="32"/>
    <x v="533"/>
    <x v="5"/>
    <x v="2"/>
    <n v="47"/>
    <s v="Nao"/>
  </r>
  <r>
    <x v="538"/>
    <x v="3"/>
    <x v="3"/>
    <n v="2939"/>
    <x v="62"/>
    <n v="3.5400000000000001E-2"/>
    <n v="29.12"/>
    <n v="7"/>
    <n v="95"/>
    <n v="2"/>
    <n v="104"/>
    <x v="10"/>
    <x v="36"/>
    <x v="443"/>
    <x v="5"/>
    <x v="2"/>
    <s v=""/>
    <s v="Nao"/>
  </r>
  <r>
    <x v="538"/>
    <x v="6"/>
    <x v="6"/>
    <n v="2889"/>
    <x v="726"/>
    <n v="3.7400000000000003E-2"/>
    <n v="37.799999999999997"/>
    <n v="5"/>
    <n v="101"/>
    <n v="2"/>
    <n v="108"/>
    <x v="10"/>
    <x v="36"/>
    <x v="409"/>
    <x v="5"/>
    <x v="2"/>
    <s v=""/>
    <s v="Nao"/>
  </r>
  <r>
    <x v="539"/>
    <x v="14"/>
    <x v="12"/>
    <n v="2914"/>
    <x v="727"/>
    <n v="5.5300000000000002E-2"/>
    <n v="48.3"/>
    <n v="36"/>
    <n v="119"/>
    <n v="6"/>
    <n v="161"/>
    <x v="10"/>
    <x v="37"/>
    <x v="115"/>
    <x v="5"/>
    <x v="2"/>
    <s v=""/>
    <s v="Nao"/>
  </r>
  <r>
    <x v="539"/>
    <x v="9"/>
    <x v="9"/>
    <n v="3587"/>
    <x v="578"/>
    <n v="5.3800000000000001E-2"/>
    <n v="50.18"/>
    <n v="10"/>
    <n v="178"/>
    <n v="5"/>
    <n v="193"/>
    <x v="10"/>
    <x v="37"/>
    <x v="579"/>
    <x v="5"/>
    <x v="2"/>
    <s v=""/>
    <s v="Nao"/>
  </r>
  <r>
    <x v="540"/>
    <x v="1"/>
    <x v="1"/>
    <n v="2989"/>
    <x v="728"/>
    <n v="4.58E-2"/>
    <n v="43.84"/>
    <n v="3"/>
    <n v="131"/>
    <n v="3"/>
    <n v="137"/>
    <x v="10"/>
    <x v="38"/>
    <x v="279"/>
    <x v="5"/>
    <x v="2"/>
    <s v=""/>
    <s v="Nao"/>
  </r>
  <r>
    <x v="541"/>
    <x v="13"/>
    <x v="9"/>
    <n v="2481"/>
    <x v="18"/>
    <n v="5.9700000000000003E-2"/>
    <n v="44.4"/>
    <n v="7"/>
    <n v="138"/>
    <n v="3"/>
    <n v="148"/>
    <x v="10"/>
    <x v="39"/>
    <x v="164"/>
    <x v="5"/>
    <x v="2"/>
    <s v=""/>
    <s v="Nao"/>
  </r>
  <r>
    <x v="542"/>
    <x v="12"/>
    <x v="11"/>
    <n v="3660"/>
    <x v="729"/>
    <n v="6.6400000000000001E-2"/>
    <n v="77.760000000000005"/>
    <n v="35"/>
    <n v="202"/>
    <n v="6"/>
    <n v="243"/>
    <x v="10"/>
    <x v="40"/>
    <x v="85"/>
    <x v="5"/>
    <x v="2"/>
    <s v=""/>
    <s v="Nao"/>
  </r>
  <r>
    <x v="542"/>
    <x v="4"/>
    <x v="4"/>
    <n v="3682"/>
    <x v="620"/>
    <n v="5.5399999999999998E-2"/>
    <n v="71.400000000000006"/>
    <n v="8"/>
    <n v="190"/>
    <n v="6"/>
    <n v="204"/>
    <x v="10"/>
    <x v="40"/>
    <x v="348"/>
    <x v="5"/>
    <x v="2"/>
    <s v=""/>
    <s v="Nao"/>
  </r>
  <r>
    <x v="543"/>
    <x v="2"/>
    <x v="2"/>
    <n v="2270"/>
    <x v="618"/>
    <n v="3.9199999999999999E-2"/>
    <n v="28.48"/>
    <n v="2"/>
    <n v="85"/>
    <n v="2"/>
    <n v="89"/>
    <x v="10"/>
    <x v="41"/>
    <x v="451"/>
    <x v="5"/>
    <x v="2"/>
    <s v=""/>
    <s v="Nao"/>
  </r>
  <r>
    <x v="544"/>
    <x v="7"/>
    <x v="7"/>
    <n v="3728"/>
    <x v="730"/>
    <n v="5.5500000000000001E-2"/>
    <n v="62.1"/>
    <n v="60"/>
    <n v="141"/>
    <n v="6"/>
    <n v="207"/>
    <x v="10"/>
    <x v="42"/>
    <x v="580"/>
    <x v="5"/>
    <x v="2"/>
    <s v=""/>
    <s v="Nao"/>
  </r>
  <r>
    <x v="544"/>
    <x v="12"/>
    <x v="11"/>
    <n v="3944"/>
    <x v="731"/>
    <n v="5.7599999999999998E-2"/>
    <n v="72.64"/>
    <n v="20"/>
    <n v="204"/>
    <n v="3"/>
    <n v="227"/>
    <x v="10"/>
    <x v="42"/>
    <x v="165"/>
    <x v="5"/>
    <x v="2"/>
    <s v=""/>
    <s v="Nao"/>
  </r>
  <r>
    <x v="545"/>
    <x v="14"/>
    <x v="12"/>
    <n v="1865"/>
    <x v="305"/>
    <n v="7.2400000000000006E-2"/>
    <n v="40.5"/>
    <n v="37"/>
    <n v="93"/>
    <n v="5"/>
    <n v="135"/>
    <x v="10"/>
    <x v="43"/>
    <x v="581"/>
    <x v="5"/>
    <x v="2"/>
    <s v=""/>
    <s v="Nao"/>
  </r>
  <r>
    <x v="545"/>
    <x v="8"/>
    <x v="8"/>
    <n v="2395"/>
    <x v="732"/>
    <n v="9.3899999999999997E-2"/>
    <n v="72"/>
    <n v="94"/>
    <n v="32"/>
    <n v="99"/>
    <n v="225"/>
    <x v="10"/>
    <x v="43"/>
    <x v="2"/>
    <x v="5"/>
    <x v="2"/>
    <s v=""/>
    <s v="Sim"/>
  </r>
  <r>
    <x v="546"/>
    <x v="3"/>
    <x v="3"/>
    <n v="2380"/>
    <x v="733"/>
    <n v="5.8400000000000001E-2"/>
    <n v="38.92"/>
    <n v="4"/>
    <n v="133"/>
    <n v="2"/>
    <n v="139"/>
    <x v="10"/>
    <x v="44"/>
    <x v="280"/>
    <x v="5"/>
    <x v="2"/>
    <s v=""/>
    <s v="Nao"/>
  </r>
  <r>
    <x v="546"/>
    <x v="9"/>
    <x v="9"/>
    <n v="2301"/>
    <x v="189"/>
    <n v="7.1300000000000002E-2"/>
    <n v="42.64"/>
    <n v="7"/>
    <n v="152"/>
    <n v="5"/>
    <n v="164"/>
    <x v="10"/>
    <x v="44"/>
    <x v="460"/>
    <x v="5"/>
    <x v="2"/>
    <s v=""/>
    <s v="Nao"/>
  </r>
  <r>
    <x v="547"/>
    <x v="2"/>
    <x v="2"/>
    <n v="2805"/>
    <x v="734"/>
    <n v="6.3100000000000003E-2"/>
    <n v="56.64"/>
    <n v="11"/>
    <n v="164"/>
    <n v="2"/>
    <n v="177"/>
    <x v="10"/>
    <x v="45"/>
    <x v="210"/>
    <x v="5"/>
    <x v="2"/>
    <s v=""/>
    <s v="Nao"/>
  </r>
  <r>
    <x v="547"/>
    <x v="2"/>
    <x v="2"/>
    <n v="3589"/>
    <x v="735"/>
    <n v="6.4899999999999999E-2"/>
    <n v="74.56"/>
    <n v="18"/>
    <n v="213"/>
    <n v="2"/>
    <n v="233"/>
    <x v="10"/>
    <x v="45"/>
    <x v="285"/>
    <x v="5"/>
    <x v="2"/>
    <s v=""/>
    <s v="Nao"/>
  </r>
  <r>
    <x v="548"/>
    <x v="13"/>
    <x v="9"/>
    <n v="2662"/>
    <x v="385"/>
    <n v="7.9299999999999995E-2"/>
    <n v="63.3"/>
    <n v="9"/>
    <n v="197"/>
    <n v="5"/>
    <n v="211"/>
    <x v="10"/>
    <x v="46"/>
    <x v="582"/>
    <x v="6"/>
    <x v="2"/>
    <s v=""/>
    <s v="Nao"/>
  </r>
  <r>
    <x v="549"/>
    <x v="8"/>
    <x v="8"/>
    <n v="3730"/>
    <x v="729"/>
    <n v="8.3900000000000002E-2"/>
    <n v="100.16"/>
    <n v="35"/>
    <n v="271"/>
    <n v="7"/>
    <n v="313"/>
    <x v="10"/>
    <x v="47"/>
    <x v="583"/>
    <x v="6"/>
    <x v="2"/>
    <s v=""/>
    <s v="Nao"/>
  </r>
  <r>
    <x v="550"/>
    <x v="4"/>
    <x v="4"/>
    <n v="2170"/>
    <x v="295"/>
    <n v="4.9799999999999997E-2"/>
    <n v="37.799999999999997"/>
    <n v="5"/>
    <n v="101"/>
    <n v="2"/>
    <n v="108"/>
    <x v="10"/>
    <x v="48"/>
    <x v="394"/>
    <x v="6"/>
    <x v="2"/>
    <s v=""/>
    <s v="Nao"/>
  </r>
  <r>
    <x v="551"/>
    <x v="5"/>
    <x v="5"/>
    <n v="3489"/>
    <x v="289"/>
    <n v="5.3600000000000002E-2"/>
    <n v="63.58"/>
    <n v="5"/>
    <n v="177"/>
    <n v="5"/>
    <n v="187"/>
    <x v="10"/>
    <x v="49"/>
    <x v="224"/>
    <x v="6"/>
    <x v="2"/>
    <s v=""/>
    <s v="Nao"/>
  </r>
  <r>
    <x v="551"/>
    <x v="5"/>
    <x v="5"/>
    <n v="2348"/>
    <x v="736"/>
    <n v="5.4100000000000002E-2"/>
    <n v="43.18"/>
    <n v="10"/>
    <n v="116"/>
    <n v="1"/>
    <n v="127"/>
    <x v="10"/>
    <x v="49"/>
    <x v="394"/>
    <x v="6"/>
    <x v="2"/>
    <s v=""/>
    <s v="Nao"/>
  </r>
  <r>
    <x v="552"/>
    <x v="0"/>
    <x v="0"/>
    <n v="2172"/>
    <x v="737"/>
    <n v="4.7399999999999998E-2"/>
    <n v="32.96"/>
    <n v="5"/>
    <n v="96"/>
    <n v="2"/>
    <n v="103"/>
    <x v="10"/>
    <x v="50"/>
    <x v="454"/>
    <x v="6"/>
    <x v="2"/>
    <s v=""/>
    <s v="Nao"/>
  </r>
  <r>
    <x v="552"/>
    <x v="4"/>
    <x v="4"/>
    <n v="3796"/>
    <x v="738"/>
    <n v="6.5600000000000006E-2"/>
    <n v="87.15"/>
    <n v="10"/>
    <n v="235"/>
    <n v="4"/>
    <n v="249"/>
    <x v="10"/>
    <x v="50"/>
    <x v="584"/>
    <x v="6"/>
    <x v="2"/>
    <s v=""/>
    <s v="Nao"/>
  </r>
  <r>
    <x v="553"/>
    <x v="12"/>
    <x v="11"/>
    <n v="2881"/>
    <x v="739"/>
    <n v="9.6100000000000005E-2"/>
    <n v="88.64"/>
    <n v="35"/>
    <n v="234"/>
    <n v="8"/>
    <n v="277"/>
    <x v="10"/>
    <x v="0"/>
    <x v="585"/>
    <x v="6"/>
    <x v="2"/>
    <s v=""/>
    <s v="Nao"/>
  </r>
  <r>
    <x v="554"/>
    <x v="3"/>
    <x v="3"/>
    <n v="2747"/>
    <x v="353"/>
    <n v="5.3499999999999999E-2"/>
    <n v="41.16"/>
    <n v="7"/>
    <n v="136"/>
    <n v="4"/>
    <n v="147"/>
    <x v="10"/>
    <x v="1"/>
    <x v="586"/>
    <x v="6"/>
    <x v="2"/>
    <s v=""/>
    <s v="Nao"/>
  </r>
  <r>
    <x v="554"/>
    <x v="3"/>
    <x v="3"/>
    <n v="2905"/>
    <x v="490"/>
    <n v="5.4399999999999997E-2"/>
    <n v="44.24"/>
    <n v="10"/>
    <n v="144"/>
    <n v="4"/>
    <n v="158"/>
    <x v="10"/>
    <x v="1"/>
    <x v="587"/>
    <x v="6"/>
    <x v="2"/>
    <s v=""/>
    <s v="Nao"/>
  </r>
  <r>
    <x v="555"/>
    <x v="9"/>
    <x v="9"/>
    <n v="3720"/>
    <x v="562"/>
    <n v="7.3400000000000007E-2"/>
    <n v="70.98"/>
    <n v="16"/>
    <n v="251"/>
    <n v="6"/>
    <n v="273"/>
    <x v="10"/>
    <x v="2"/>
    <x v="403"/>
    <x v="6"/>
    <x v="2"/>
    <s v=""/>
    <s v="Nao"/>
  </r>
  <r>
    <x v="555"/>
    <x v="5"/>
    <x v="5"/>
    <n v="3281"/>
    <x v="143"/>
    <n v="4.9700000000000001E-2"/>
    <n v="55.42"/>
    <n v="6"/>
    <n v="152"/>
    <n v="5"/>
    <n v="163"/>
    <x v="10"/>
    <x v="2"/>
    <x v="545"/>
    <x v="6"/>
    <x v="2"/>
    <s v=""/>
    <s v="Nao"/>
  </r>
  <r>
    <x v="556"/>
    <x v="11"/>
    <x v="0"/>
    <n v="4090"/>
    <x v="474"/>
    <n v="4.3999999999999997E-2"/>
    <n v="50.4"/>
    <n v="6"/>
    <n v="169"/>
    <n v="5"/>
    <n v="180"/>
    <x v="10"/>
    <x v="3"/>
    <x v="394"/>
    <x v="6"/>
    <x v="2"/>
    <s v=""/>
    <s v="Nao"/>
  </r>
  <r>
    <x v="557"/>
    <x v="12"/>
    <x v="11"/>
    <n v="3660"/>
    <x v="740"/>
    <n v="7.6200000000000004E-2"/>
    <n v="89.28"/>
    <n v="42"/>
    <n v="233"/>
    <n v="4"/>
    <n v="279"/>
    <x v="10"/>
    <x v="4"/>
    <x v="588"/>
    <x v="6"/>
    <x v="2"/>
    <s v=""/>
    <s v="Nao"/>
  </r>
  <r>
    <x v="558"/>
    <x v="3"/>
    <x v="3"/>
    <n v="4025"/>
    <x v="213"/>
    <n v="5.3900000000000003E-2"/>
    <n v="60.76"/>
    <n v="11"/>
    <n v="200"/>
    <n v="6"/>
    <n v="217"/>
    <x v="10"/>
    <x v="5"/>
    <x v="255"/>
    <x v="6"/>
    <x v="2"/>
    <s v=""/>
    <s v="Nao"/>
  </r>
  <r>
    <x v="559"/>
    <x v="13"/>
    <x v="9"/>
    <n v="2800"/>
    <x v="741"/>
    <n v="8.1799999999999998E-2"/>
    <n v="68.7"/>
    <n v="13"/>
    <n v="211"/>
    <n v="5"/>
    <n v="229"/>
    <x v="10"/>
    <x v="6"/>
    <x v="589"/>
    <x v="6"/>
    <x v="2"/>
    <s v=""/>
    <s v="Nao"/>
  </r>
  <r>
    <x v="560"/>
    <x v="10"/>
    <x v="10"/>
    <n v="3156"/>
    <x v="742"/>
    <n v="7.4099999999999999E-2"/>
    <n v="74.88"/>
    <n v="20"/>
    <n v="211"/>
    <n v="3"/>
    <n v="234"/>
    <x v="10"/>
    <x v="7"/>
    <x v="268"/>
    <x v="6"/>
    <x v="2"/>
    <s v=""/>
    <s v="Nao"/>
  </r>
  <r>
    <x v="560"/>
    <x v="8"/>
    <x v="8"/>
    <n v="3415"/>
    <x v="743"/>
    <n v="8.7599999999999997E-2"/>
    <n v="95.68"/>
    <n v="40"/>
    <n v="255"/>
    <n v="4"/>
    <n v="299"/>
    <x v="10"/>
    <x v="7"/>
    <x v="590"/>
    <x v="6"/>
    <x v="2"/>
    <s v=""/>
    <s v="Nao"/>
  </r>
  <r>
    <x v="561"/>
    <x v="12"/>
    <x v="11"/>
    <n v="2932"/>
    <x v="744"/>
    <n v="7.9100000000000004E-2"/>
    <n v="74.239999999999995"/>
    <n v="28"/>
    <n v="199"/>
    <n v="5"/>
    <n v="232"/>
    <x v="10"/>
    <x v="8"/>
    <x v="591"/>
    <x v="6"/>
    <x v="2"/>
    <s v=""/>
    <s v="Nao"/>
  </r>
  <r>
    <x v="562"/>
    <x v="6"/>
    <x v="6"/>
    <n v="3382"/>
    <x v="745"/>
    <n v="7.2700000000000001E-2"/>
    <n v="86.1"/>
    <n v="17"/>
    <n v="224"/>
    <n v="5"/>
    <n v="246"/>
    <x v="10"/>
    <x v="9"/>
    <x v="592"/>
    <x v="6"/>
    <x v="2"/>
    <s v=""/>
    <s v="Nao"/>
  </r>
  <r>
    <x v="562"/>
    <x v="10"/>
    <x v="10"/>
    <n v="2470"/>
    <x v="746"/>
    <n v="8.2600000000000007E-2"/>
    <n v="65.28"/>
    <n v="19"/>
    <n v="183"/>
    <n v="2"/>
    <n v="204"/>
    <x v="10"/>
    <x v="9"/>
    <x v="593"/>
    <x v="6"/>
    <x v="2"/>
    <s v=""/>
    <s v="Nao"/>
  </r>
  <r>
    <x v="563"/>
    <x v="11"/>
    <x v="0"/>
    <n v="2922"/>
    <x v="747"/>
    <n v="4.48E-2"/>
    <n v="36.68"/>
    <n v="7"/>
    <n v="120"/>
    <n v="4"/>
    <n v="131"/>
    <x v="10"/>
    <x v="10"/>
    <x v="594"/>
    <x v="6"/>
    <x v="2"/>
    <s v=""/>
    <s v="Nao"/>
  </r>
  <r>
    <x v="563"/>
    <x v="1"/>
    <x v="1"/>
    <n v="2554"/>
    <x v="748"/>
    <n v="7.5999999999999998E-2"/>
    <n v="62.08"/>
    <n v="9"/>
    <n v="181"/>
    <n v="4"/>
    <n v="194"/>
    <x v="10"/>
    <x v="10"/>
    <x v="408"/>
    <x v="6"/>
    <x v="2"/>
    <s v=""/>
    <s v="Nao"/>
  </r>
  <r>
    <x v="564"/>
    <x v="10"/>
    <x v="10"/>
    <n v="3690"/>
    <x v="233"/>
    <n v="8.2699999999999996E-2"/>
    <n v="97.6"/>
    <n v="26"/>
    <n v="273"/>
    <n v="6"/>
    <n v="305"/>
    <x v="10"/>
    <x v="11"/>
    <x v="595"/>
    <x v="6"/>
    <x v="2"/>
    <s v=""/>
    <s v="Nao"/>
  </r>
  <r>
    <x v="565"/>
    <x v="2"/>
    <x v="2"/>
    <n v="2612"/>
    <x v="749"/>
    <n v="7.8899999999999998E-2"/>
    <n v="65.92"/>
    <n v="7"/>
    <n v="196"/>
    <n v="3"/>
    <n v="206"/>
    <x v="10"/>
    <x v="12"/>
    <x v="538"/>
    <x v="6"/>
    <x v="2"/>
    <s v=""/>
    <s v="Nao"/>
  </r>
  <r>
    <x v="565"/>
    <x v="5"/>
    <x v="5"/>
    <n v="2720"/>
    <x v="651"/>
    <n v="5.11E-2"/>
    <n v="47.26"/>
    <n v="7"/>
    <n v="131"/>
    <n v="1"/>
    <n v="139"/>
    <x v="10"/>
    <x v="12"/>
    <x v="596"/>
    <x v="6"/>
    <x v="2"/>
    <s v=""/>
    <s v="Nao"/>
  </r>
  <r>
    <x v="566"/>
    <x v="1"/>
    <x v="1"/>
    <n v="2553"/>
    <x v="750"/>
    <n v="7.5999999999999998E-2"/>
    <n v="62.08"/>
    <n v="7"/>
    <n v="183"/>
    <n v="4"/>
    <n v="194"/>
    <x v="10"/>
    <x v="13"/>
    <x v="408"/>
    <x v="6"/>
    <x v="2"/>
    <s v=""/>
    <s v="Nao"/>
  </r>
  <r>
    <x v="567"/>
    <x v="14"/>
    <x v="12"/>
    <n v="3252"/>
    <x v="751"/>
    <n v="7.4099999999999999E-2"/>
    <n v="72.3"/>
    <n v="74"/>
    <n v="163"/>
    <n v="4"/>
    <n v="241"/>
    <x v="10"/>
    <x v="14"/>
    <x v="566"/>
    <x v="6"/>
    <x v="2"/>
    <s v=""/>
    <s v="Nao"/>
  </r>
  <r>
    <x v="567"/>
    <x v="8"/>
    <x v="8"/>
    <n v="2260"/>
    <x v="752"/>
    <n v="0.1075"/>
    <n v="77.760000000000005"/>
    <n v="35"/>
    <n v="203"/>
    <n v="5"/>
    <n v="243"/>
    <x v="10"/>
    <x v="14"/>
    <x v="85"/>
    <x v="6"/>
    <x v="2"/>
    <s v=""/>
    <s v="Nao"/>
  </r>
  <r>
    <x v="568"/>
    <x v="14"/>
    <x v="12"/>
    <n v="3404"/>
    <x v="753"/>
    <n v="6.5799999999999997E-2"/>
    <n v="67.2"/>
    <n v="71"/>
    <n v="150"/>
    <n v="3"/>
    <n v="224"/>
    <x v="10"/>
    <x v="15"/>
    <x v="2"/>
    <x v="6"/>
    <x v="2"/>
    <s v=""/>
    <s v="Nao"/>
  </r>
  <r>
    <x v="568"/>
    <x v="0"/>
    <x v="0"/>
    <n v="2378"/>
    <x v="754"/>
    <n v="6.4299999999999996E-2"/>
    <n v="48.96"/>
    <n v="9"/>
    <n v="142"/>
    <n v="2"/>
    <n v="153"/>
    <x v="10"/>
    <x v="15"/>
    <x v="401"/>
    <x v="6"/>
    <x v="2"/>
    <s v=""/>
    <s v="Nao"/>
  </r>
  <r>
    <x v="569"/>
    <x v="0"/>
    <x v="0"/>
    <n v="2314"/>
    <x v="755"/>
    <n v="6.2700000000000006E-2"/>
    <n v="46.4"/>
    <n v="8"/>
    <n v="135"/>
    <n v="2"/>
    <n v="145"/>
    <x v="10"/>
    <x v="16"/>
    <x v="597"/>
    <x v="6"/>
    <x v="2"/>
    <s v=""/>
    <s v="Nao"/>
  </r>
  <r>
    <x v="570"/>
    <x v="6"/>
    <x v="6"/>
    <n v="2270"/>
    <x v="756"/>
    <n v="6.5199999999999994E-2"/>
    <n v="51.8"/>
    <n v="9"/>
    <n v="136"/>
    <n v="3"/>
    <n v="148"/>
    <x v="10"/>
    <x v="17"/>
    <x v="598"/>
    <x v="6"/>
    <x v="2"/>
    <s v=""/>
    <s v="Nao"/>
  </r>
  <r>
    <x v="570"/>
    <x v="1"/>
    <x v="1"/>
    <n v="4199"/>
    <x v="757"/>
    <n v="7.4999999999999997E-2"/>
    <n v="100.8"/>
    <n v="9"/>
    <n v="300"/>
    <n v="6"/>
    <n v="315"/>
    <x v="10"/>
    <x v="17"/>
    <x v="599"/>
    <x v="6"/>
    <x v="2"/>
    <s v=""/>
    <s v="Nao"/>
  </r>
  <r>
    <x v="571"/>
    <x v="4"/>
    <x v="4"/>
    <n v="2482"/>
    <x v="249"/>
    <n v="8.2600000000000007E-2"/>
    <n v="71.75"/>
    <n v="13"/>
    <n v="188"/>
    <n v="4"/>
    <n v="205"/>
    <x v="10"/>
    <x v="18"/>
    <x v="267"/>
    <x v="6"/>
    <x v="2"/>
    <s v=""/>
    <s v="Nao"/>
  </r>
  <r>
    <x v="571"/>
    <x v="7"/>
    <x v="7"/>
    <n v="2196"/>
    <x v="758"/>
    <n v="7.3300000000000004E-2"/>
    <n v="48.3"/>
    <n v="68"/>
    <n v="11"/>
    <n v="82"/>
    <n v="161"/>
    <x v="10"/>
    <x v="18"/>
    <x v="600"/>
    <x v="6"/>
    <x v="2"/>
    <s v=""/>
    <s v="Sim"/>
  </r>
  <r>
    <x v="572"/>
    <x v="10"/>
    <x v="10"/>
    <n v="3832"/>
    <x v="759"/>
    <n v="8.3500000000000005E-2"/>
    <n v="102.4"/>
    <n v="29"/>
    <n v="284"/>
    <n v="7"/>
    <n v="320"/>
    <x v="10"/>
    <x v="19"/>
    <x v="95"/>
    <x v="6"/>
    <x v="2"/>
    <s v=""/>
    <s v="Nao"/>
  </r>
  <r>
    <x v="573"/>
    <x v="10"/>
    <x v="10"/>
    <n v="2077"/>
    <x v="760"/>
    <n v="0.1026"/>
    <n v="68.16"/>
    <n v="23"/>
    <n v="186"/>
    <n v="4"/>
    <n v="213"/>
    <x v="10"/>
    <x v="20"/>
    <x v="284"/>
    <x v="6"/>
    <x v="2"/>
    <s v=""/>
    <s v="Nao"/>
  </r>
  <r>
    <x v="574"/>
    <x v="0"/>
    <x v="0"/>
    <n v="3087"/>
    <x v="761"/>
    <n v="7.8100000000000003E-2"/>
    <n v="77.12"/>
    <n v="15"/>
    <n v="223"/>
    <n v="3"/>
    <n v="241"/>
    <x v="10"/>
    <x v="21"/>
    <x v="425"/>
    <x v="6"/>
    <x v="2"/>
    <s v=""/>
    <s v="Nao"/>
  </r>
  <r>
    <x v="575"/>
    <x v="12"/>
    <x v="11"/>
    <n v="2351"/>
    <x v="762"/>
    <n v="8.72E-2"/>
    <n v="65.599999999999994"/>
    <n v="23"/>
    <n v="178"/>
    <n v="4"/>
    <n v="205"/>
    <x v="10"/>
    <x v="22"/>
    <x v="54"/>
    <x v="6"/>
    <x v="2"/>
    <s v=""/>
    <s v="Nao"/>
  </r>
  <r>
    <x v="575"/>
    <x v="1"/>
    <x v="1"/>
    <n v="1966"/>
    <x v="328"/>
    <n v="7.4800000000000005E-2"/>
    <n v="47.04"/>
    <n v="7"/>
    <n v="136"/>
    <n v="4"/>
    <n v="147"/>
    <x v="10"/>
    <x v="22"/>
    <x v="258"/>
    <x v="6"/>
    <x v="2"/>
    <s v=""/>
    <s v="Nao"/>
  </r>
  <r>
    <x v="576"/>
    <x v="10"/>
    <x v="10"/>
    <n v="2895"/>
    <x v="763"/>
    <n v="0.1012"/>
    <n v="93.76"/>
    <n v="36"/>
    <n v="249"/>
    <n v="8"/>
    <n v="293"/>
    <x v="10"/>
    <x v="23"/>
    <x v="601"/>
    <x v="6"/>
    <x v="2"/>
    <s v=""/>
    <s v="Nao"/>
  </r>
  <r>
    <x v="577"/>
    <x v="14"/>
    <x v="12"/>
    <n v="4116"/>
    <x v="764"/>
    <n v="8.5999999999999993E-2"/>
    <n v="106.2"/>
    <n v="99"/>
    <n v="251"/>
    <n v="4"/>
    <n v="354"/>
    <x v="10"/>
    <x v="24"/>
    <x v="602"/>
    <x v="6"/>
    <x v="2"/>
    <s v=""/>
    <s v="Nao"/>
  </r>
  <r>
    <x v="577"/>
    <x v="3"/>
    <x v="3"/>
    <n v="3511"/>
    <x v="765"/>
    <n v="8.09E-2"/>
    <n v="79.52"/>
    <n v="10"/>
    <n v="266"/>
    <n v="8"/>
    <n v="284"/>
    <x v="10"/>
    <x v="24"/>
    <x v="273"/>
    <x v="6"/>
    <x v="2"/>
    <s v=""/>
    <s v="Nao"/>
  </r>
  <r>
    <x v="578"/>
    <x v="14"/>
    <x v="12"/>
    <n v="1905"/>
    <x v="766"/>
    <n v="9.2899999999999996E-2"/>
    <n v="53.1"/>
    <n v="37"/>
    <n v="136"/>
    <n v="4"/>
    <n v="177"/>
    <x v="10"/>
    <x v="25"/>
    <x v="603"/>
    <x v="7"/>
    <x v="2"/>
    <s v=""/>
    <s v="Nao"/>
  </r>
  <r>
    <x v="578"/>
    <x v="5"/>
    <x v="5"/>
    <n v="3917"/>
    <x v="460"/>
    <n v="9.1399999999999995E-2"/>
    <n v="121.72"/>
    <n v="17"/>
    <n v="334"/>
    <n v="7"/>
    <n v="358"/>
    <x v="10"/>
    <x v="25"/>
    <x v="604"/>
    <x v="7"/>
    <x v="2"/>
    <s v=""/>
    <s v="Nao"/>
  </r>
  <r>
    <x v="579"/>
    <x v="0"/>
    <x v="0"/>
    <n v="3101"/>
    <x v="629"/>
    <n v="7.51E-2"/>
    <n v="74.56"/>
    <n v="6"/>
    <n v="223"/>
    <n v="4"/>
    <n v="233"/>
    <x v="10"/>
    <x v="26"/>
    <x v="256"/>
    <x v="7"/>
    <x v="2"/>
    <s v=""/>
    <s v="Nao"/>
  </r>
  <r>
    <x v="579"/>
    <x v="3"/>
    <x v="3"/>
    <n v="3324"/>
    <x v="767"/>
    <n v="9.6600000000000005E-2"/>
    <n v="89.88"/>
    <n v="22"/>
    <n v="293"/>
    <n v="6"/>
    <n v="321"/>
    <x v="10"/>
    <x v="26"/>
    <x v="192"/>
    <x v="7"/>
    <x v="2"/>
    <s v=""/>
    <s v="Nao"/>
  </r>
  <r>
    <x v="580"/>
    <x v="1"/>
    <x v="1"/>
    <n v="2874"/>
    <x v="768"/>
    <n v="8.1799999999999998E-2"/>
    <n v="75.2"/>
    <n v="12"/>
    <n v="218"/>
    <n v="5"/>
    <n v="235"/>
    <x v="10"/>
    <x v="27"/>
    <x v="110"/>
    <x v="7"/>
    <x v="2"/>
    <s v=""/>
    <s v="Nao"/>
  </r>
  <r>
    <x v="580"/>
    <x v="7"/>
    <x v="7"/>
    <n v="4170"/>
    <x v="571"/>
    <n v="8.7300000000000003E-2"/>
    <n v="109.2"/>
    <n v="81"/>
    <n v="269"/>
    <n v="14"/>
    <n v="364"/>
    <x v="10"/>
    <x v="27"/>
    <x v="605"/>
    <x v="7"/>
    <x v="2"/>
    <s v=""/>
    <s v="Nao"/>
  </r>
  <r>
    <x v="581"/>
    <x v="8"/>
    <x v="8"/>
    <n v="3275"/>
    <x v="769"/>
    <n v="0.1179"/>
    <n v="123.52"/>
    <n v="55"/>
    <n v="327"/>
    <n v="4"/>
    <n v="386"/>
    <x v="10"/>
    <x v="28"/>
    <x v="606"/>
    <x v="7"/>
    <x v="2"/>
    <s v=""/>
    <s v="Nao"/>
  </r>
  <r>
    <x v="581"/>
    <x v="1"/>
    <x v="1"/>
    <n v="3116"/>
    <x v="96"/>
    <n v="9.69E-2"/>
    <n v="96.64"/>
    <n v="7"/>
    <n v="290"/>
    <n v="5"/>
    <n v="302"/>
    <x v="10"/>
    <x v="28"/>
    <x v="607"/>
    <x v="7"/>
    <x v="2"/>
    <s v=""/>
    <s v="Nao"/>
  </r>
  <r>
    <x v="582"/>
    <x v="6"/>
    <x v="6"/>
    <n v="2997"/>
    <x v="770"/>
    <n v="8.2699999999999996E-2"/>
    <n v="86.8"/>
    <n v="13"/>
    <n v="228"/>
    <n v="7"/>
    <n v="248"/>
    <x v="10"/>
    <x v="29"/>
    <x v="608"/>
    <x v="7"/>
    <x v="2"/>
    <s v=""/>
    <s v="Nao"/>
  </r>
  <r>
    <x v="582"/>
    <x v="3"/>
    <x v="3"/>
    <n v="3015"/>
    <x v="771"/>
    <n v="9.98E-2"/>
    <n v="84.28"/>
    <n v="18"/>
    <n v="278"/>
    <n v="5"/>
    <n v="301"/>
    <x v="10"/>
    <x v="29"/>
    <x v="609"/>
    <x v="7"/>
    <x v="2"/>
    <s v=""/>
    <s v="Nao"/>
  </r>
  <r>
    <x v="583"/>
    <x v="13"/>
    <x v="9"/>
    <n v="3706"/>
    <x v="772"/>
    <n v="0.1004"/>
    <n v="111.6"/>
    <n v="16"/>
    <n v="352"/>
    <n v="4"/>
    <n v="372"/>
    <x v="10"/>
    <x v="30"/>
    <x v="488"/>
    <x v="7"/>
    <x v="2"/>
    <s v=""/>
    <s v="Nao"/>
  </r>
  <r>
    <x v="583"/>
    <x v="2"/>
    <x v="2"/>
    <n v="3216"/>
    <x v="773"/>
    <n v="8.7099999999999997E-2"/>
    <n v="89.6"/>
    <n v="20"/>
    <n v="257"/>
    <n v="3"/>
    <n v="280"/>
    <x v="10"/>
    <x v="30"/>
    <x v="491"/>
    <x v="7"/>
    <x v="2"/>
    <s v=""/>
    <s v="Nao"/>
  </r>
  <r>
    <x v="584"/>
    <x v="12"/>
    <x v="11"/>
    <n v="1997"/>
    <x v="774"/>
    <n v="9.7600000000000006E-2"/>
    <n v="62.4"/>
    <n v="24"/>
    <n v="166"/>
    <n v="5"/>
    <n v="195"/>
    <x v="10"/>
    <x v="31"/>
    <x v="294"/>
    <x v="7"/>
    <x v="2"/>
    <s v=""/>
    <s v="Nao"/>
  </r>
  <r>
    <x v="584"/>
    <x v="3"/>
    <x v="3"/>
    <n v="3579"/>
    <x v="775"/>
    <n v="9.1600000000000001E-2"/>
    <n v="91.84"/>
    <n v="11"/>
    <n v="312"/>
    <n v="5"/>
    <n v="328"/>
    <x v="10"/>
    <x v="31"/>
    <x v="610"/>
    <x v="7"/>
    <x v="2"/>
    <s v=""/>
    <s v="Nao"/>
  </r>
  <r>
    <x v="585"/>
    <x v="6"/>
    <x v="6"/>
    <n v="3916"/>
    <x v="498"/>
    <n v="8.2000000000000003E-2"/>
    <n v="112.35"/>
    <n v="19"/>
    <n v="295"/>
    <n v="7"/>
    <n v="321"/>
    <x v="10"/>
    <x v="32"/>
    <x v="611"/>
    <x v="7"/>
    <x v="2"/>
    <s v=""/>
    <s v="Nao"/>
  </r>
  <r>
    <x v="585"/>
    <x v="11"/>
    <x v="0"/>
    <n v="3500"/>
    <x v="776"/>
    <n v="7.3700000000000002E-2"/>
    <n v="72.239999999999995"/>
    <n v="11"/>
    <n v="242"/>
    <n v="5"/>
    <n v="258"/>
    <x v="10"/>
    <x v="32"/>
    <x v="612"/>
    <x v="7"/>
    <x v="2"/>
    <s v=""/>
    <s v="Nao"/>
  </r>
  <r>
    <x v="586"/>
    <x v="4"/>
    <x v="4"/>
    <n v="2416"/>
    <x v="777"/>
    <n v="6.54E-2"/>
    <n v="55.3"/>
    <n v="3"/>
    <n v="151"/>
    <n v="4"/>
    <n v="158"/>
    <x v="10"/>
    <x v="33"/>
    <x v="68"/>
    <x v="7"/>
    <x v="2"/>
    <s v=""/>
    <s v="Nao"/>
  </r>
  <r>
    <x v="587"/>
    <x v="9"/>
    <x v="9"/>
    <n v="3833"/>
    <x v="411"/>
    <n v="0.10440000000000001"/>
    <n v="104"/>
    <n v="15"/>
    <n v="379"/>
    <n v="6"/>
    <n v="400"/>
    <x v="10"/>
    <x v="34"/>
    <x v="613"/>
    <x v="7"/>
    <x v="2"/>
    <s v=""/>
    <s v="Nao"/>
  </r>
  <r>
    <x v="587"/>
    <x v="8"/>
    <x v="8"/>
    <n v="3146"/>
    <x v="96"/>
    <n v="0.1055"/>
    <n v="106.24"/>
    <n v="41"/>
    <n v="287"/>
    <n v="4"/>
    <n v="332"/>
    <x v="10"/>
    <x v="34"/>
    <x v="292"/>
    <x v="7"/>
    <x v="2"/>
    <s v=""/>
    <s v="Nao"/>
  </r>
  <r>
    <x v="588"/>
    <x v="10"/>
    <x v="10"/>
    <n v="4108"/>
    <x v="778"/>
    <n v="0.1115"/>
    <n v="146.56"/>
    <n v="45"/>
    <n v="408"/>
    <n v="5"/>
    <n v="458"/>
    <x v="10"/>
    <x v="35"/>
    <x v="614"/>
    <x v="7"/>
    <x v="2"/>
    <s v=""/>
    <s v="Nao"/>
  </r>
  <r>
    <x v="588"/>
    <x v="14"/>
    <x v="12"/>
    <n v="3238"/>
    <x v="600"/>
    <n v="0.1013"/>
    <n v="98.4"/>
    <n v="83"/>
    <n v="235"/>
    <n v="10"/>
    <n v="328"/>
    <x v="10"/>
    <x v="35"/>
    <x v="615"/>
    <x v="7"/>
    <x v="2"/>
    <s v=""/>
    <s v="Nao"/>
  </r>
  <r>
    <x v="589"/>
    <x v="9"/>
    <x v="9"/>
    <n v="2131"/>
    <x v="779"/>
    <n v="8.7300000000000003E-2"/>
    <n v="48.36"/>
    <n v="12"/>
    <n v="169"/>
    <n v="5"/>
    <n v="186"/>
    <x v="10"/>
    <x v="51"/>
    <x v="546"/>
    <x v="7"/>
    <x v="2"/>
    <s v=""/>
    <s v="Nao"/>
  </r>
  <r>
    <x v="589"/>
    <x v="0"/>
    <x v="0"/>
    <n v="2527"/>
    <x v="780"/>
    <n v="8.3500000000000005E-2"/>
    <n v="67.52"/>
    <n v="14"/>
    <n v="192"/>
    <n v="5"/>
    <n v="211"/>
    <x v="10"/>
    <x v="51"/>
    <x v="569"/>
    <x v="7"/>
    <x v="2"/>
    <n v="51"/>
    <s v="Nao"/>
  </r>
  <r>
    <x v="590"/>
    <x v="1"/>
    <x v="1"/>
    <n v="3350"/>
    <x v="781"/>
    <n v="4.2099999999999999E-2"/>
    <n v="45.12"/>
    <n v="6"/>
    <n v="133"/>
    <n v="2"/>
    <n v="141"/>
    <x v="11"/>
    <x v="36"/>
    <x v="233"/>
    <x v="7"/>
    <x v="2"/>
    <s v=""/>
    <s v="Nao"/>
  </r>
  <r>
    <x v="590"/>
    <x v="8"/>
    <x v="8"/>
    <n v="2777"/>
    <x v="254"/>
    <n v="6.5199999999999994E-2"/>
    <n v="57.92"/>
    <n v="17"/>
    <n v="160"/>
    <n v="4"/>
    <n v="181"/>
    <x v="11"/>
    <x v="36"/>
    <x v="306"/>
    <x v="7"/>
    <x v="2"/>
    <s v=""/>
    <s v="Nao"/>
  </r>
  <r>
    <x v="591"/>
    <x v="0"/>
    <x v="0"/>
    <n v="2902"/>
    <x v="83"/>
    <n v="4.5499999999999999E-2"/>
    <n v="42.24"/>
    <n v="3"/>
    <n v="125"/>
    <n v="4"/>
    <n v="132"/>
    <x v="11"/>
    <x v="37"/>
    <x v="0"/>
    <x v="7"/>
    <x v="2"/>
    <s v=""/>
    <s v="Nao"/>
  </r>
  <r>
    <x v="591"/>
    <x v="8"/>
    <x v="8"/>
    <n v="4033"/>
    <x v="236"/>
    <n v="5.2600000000000001E-2"/>
    <n v="67.84"/>
    <n v="24"/>
    <n v="184"/>
    <n v="4"/>
    <n v="212"/>
    <x v="11"/>
    <x v="37"/>
    <x v="530"/>
    <x v="7"/>
    <x v="2"/>
    <s v=""/>
    <s v="Nao"/>
  </r>
  <r>
    <x v="592"/>
    <x v="0"/>
    <x v="0"/>
    <n v="3353"/>
    <x v="753"/>
    <n v="5.16E-2"/>
    <n v="55.36"/>
    <n v="3"/>
    <n v="166"/>
    <n v="4"/>
    <n v="173"/>
    <x v="11"/>
    <x v="38"/>
    <x v="512"/>
    <x v="7"/>
    <x v="2"/>
    <s v=""/>
    <s v="Nao"/>
  </r>
  <r>
    <x v="592"/>
    <x v="7"/>
    <x v="7"/>
    <n v="2125"/>
    <x v="782"/>
    <n v="5.4100000000000002E-2"/>
    <n v="34.5"/>
    <n v="22"/>
    <n v="91"/>
    <n v="2"/>
    <n v="115"/>
    <x v="11"/>
    <x v="38"/>
    <x v="616"/>
    <x v="7"/>
    <x v="2"/>
    <s v=""/>
    <s v="Nao"/>
  </r>
  <r>
    <x v="593"/>
    <x v="12"/>
    <x v="11"/>
    <n v="3223"/>
    <x v="783"/>
    <n v="8.1900000000000001E-2"/>
    <n v="84.48"/>
    <n v="30"/>
    <n v="230"/>
    <n v="4"/>
    <n v="264"/>
    <x v="11"/>
    <x v="39"/>
    <x v="556"/>
    <x v="7"/>
    <x v="2"/>
    <s v=""/>
    <s v="Nao"/>
  </r>
  <r>
    <x v="593"/>
    <x v="6"/>
    <x v="6"/>
    <n v="3095"/>
    <x v="784"/>
    <n v="4.07E-2"/>
    <n v="44.1"/>
    <n v="6"/>
    <n v="117"/>
    <n v="3"/>
    <n v="126"/>
    <x v="11"/>
    <x v="39"/>
    <x v="596"/>
    <x v="7"/>
    <x v="2"/>
    <s v=""/>
    <s v="Nao"/>
  </r>
  <r>
    <x v="594"/>
    <x v="11"/>
    <x v="0"/>
    <n v="3111"/>
    <x v="785"/>
    <n v="4.4999999999999998E-2"/>
    <n v="39.200000000000003"/>
    <n v="5"/>
    <n v="131"/>
    <n v="4"/>
    <n v="140"/>
    <x v="11"/>
    <x v="40"/>
    <x v="617"/>
    <x v="7"/>
    <x v="2"/>
    <s v=""/>
    <s v="Nao"/>
  </r>
  <r>
    <x v="595"/>
    <x v="10"/>
    <x v="10"/>
    <n v="2236"/>
    <x v="29"/>
    <n v="6.8400000000000002E-2"/>
    <n v="48.96"/>
    <n v="16"/>
    <n v="134"/>
    <n v="3"/>
    <n v="153"/>
    <x v="11"/>
    <x v="41"/>
    <x v="375"/>
    <x v="7"/>
    <x v="2"/>
    <s v=""/>
    <s v="Nao"/>
  </r>
  <r>
    <x v="596"/>
    <x v="1"/>
    <x v="1"/>
    <n v="2036"/>
    <x v="786"/>
    <n v="5.16E-2"/>
    <n v="33.6"/>
    <n v="5"/>
    <n v="97"/>
    <n v="3"/>
    <n v="105"/>
    <x v="11"/>
    <x v="42"/>
    <x v="617"/>
    <x v="7"/>
    <x v="2"/>
    <s v=""/>
    <s v="Nao"/>
  </r>
  <r>
    <x v="597"/>
    <x v="3"/>
    <x v="3"/>
    <n v="2790"/>
    <x v="787"/>
    <n v="4.9099999999999998E-2"/>
    <n v="38.36"/>
    <n v="9"/>
    <n v="126"/>
    <n v="2"/>
    <n v="137"/>
    <x v="11"/>
    <x v="43"/>
    <x v="618"/>
    <x v="7"/>
    <x v="2"/>
    <s v=""/>
    <s v="Nao"/>
  </r>
  <r>
    <x v="598"/>
    <x v="13"/>
    <x v="9"/>
    <n v="3872"/>
    <x v="214"/>
    <n v="5.7599999999999998E-2"/>
    <n v="66.900000000000006"/>
    <n v="17"/>
    <n v="203"/>
    <n v="3"/>
    <n v="223"/>
    <x v="11"/>
    <x v="44"/>
    <x v="619"/>
    <x v="7"/>
    <x v="2"/>
    <s v=""/>
    <s v="Nao"/>
  </r>
  <r>
    <x v="599"/>
    <x v="8"/>
    <x v="8"/>
    <n v="4074"/>
    <x v="788"/>
    <n v="7.8799999999999995E-2"/>
    <n v="102.72"/>
    <n v="25"/>
    <n v="286"/>
    <n v="10"/>
    <n v="321"/>
    <x v="11"/>
    <x v="45"/>
    <x v="474"/>
    <x v="7"/>
    <x v="2"/>
    <s v=""/>
    <s v="Nao"/>
  </r>
  <r>
    <x v="599"/>
    <x v="13"/>
    <x v="9"/>
    <n v="2232"/>
    <x v="789"/>
    <n v="6.9000000000000006E-2"/>
    <n v="46.2"/>
    <n v="8"/>
    <n v="144"/>
    <n v="2"/>
    <n v="154"/>
    <x v="11"/>
    <x v="45"/>
    <x v="149"/>
    <x v="7"/>
    <x v="2"/>
    <s v=""/>
    <s v="Nao"/>
  </r>
  <r>
    <x v="600"/>
    <x v="13"/>
    <x v="9"/>
    <n v="2738"/>
    <x v="790"/>
    <n v="8.1799999999999998E-2"/>
    <n v="67.2"/>
    <n v="17"/>
    <n v="205"/>
    <n v="2"/>
    <n v="224"/>
    <x v="11"/>
    <x v="46"/>
    <x v="502"/>
    <x v="7"/>
    <x v="2"/>
    <s v=""/>
    <s v="Nao"/>
  </r>
  <r>
    <x v="601"/>
    <x v="9"/>
    <x v="9"/>
    <n v="2013"/>
    <x v="419"/>
    <n v="5.5599999999999997E-2"/>
    <n v="29.12"/>
    <n v="4"/>
    <n v="105"/>
    <n v="3"/>
    <n v="112"/>
    <x v="11"/>
    <x v="47"/>
    <x v="565"/>
    <x v="7"/>
    <x v="2"/>
    <s v=""/>
    <s v="Nao"/>
  </r>
  <r>
    <x v="602"/>
    <x v="4"/>
    <x v="4"/>
    <n v="3529"/>
    <x v="791"/>
    <n v="4.65E-2"/>
    <n v="57.4"/>
    <n v="7"/>
    <n v="153"/>
    <n v="4"/>
    <n v="164"/>
    <x v="11"/>
    <x v="48"/>
    <x v="54"/>
    <x v="7"/>
    <x v="2"/>
    <s v=""/>
    <s v="Nao"/>
  </r>
  <r>
    <x v="602"/>
    <x v="7"/>
    <x v="7"/>
    <n v="2194"/>
    <x v="792"/>
    <n v="6.7900000000000002E-2"/>
    <n v="44.7"/>
    <n v="38"/>
    <n v="109"/>
    <n v="2"/>
    <n v="149"/>
    <x v="11"/>
    <x v="48"/>
    <x v="620"/>
    <x v="7"/>
    <x v="2"/>
    <s v=""/>
    <s v="Nao"/>
  </r>
  <r>
    <x v="603"/>
    <x v="10"/>
    <x v="10"/>
    <n v="1874"/>
    <x v="793"/>
    <n v="6.88E-2"/>
    <n v="41.28"/>
    <n v="12"/>
    <n v="115"/>
    <n v="2"/>
    <n v="129"/>
    <x v="11"/>
    <x v="49"/>
    <x v="82"/>
    <x v="7"/>
    <x v="2"/>
    <s v=""/>
    <s v="Nao"/>
  </r>
  <r>
    <x v="604"/>
    <x v="5"/>
    <x v="5"/>
    <n v="2892"/>
    <x v="489"/>
    <n v="5.7700000000000001E-2"/>
    <n v="56.78"/>
    <n v="8"/>
    <n v="156"/>
    <n v="3"/>
    <n v="167"/>
    <x v="11"/>
    <x v="50"/>
    <x v="282"/>
    <x v="7"/>
    <x v="2"/>
    <s v=""/>
    <s v="Nao"/>
  </r>
  <r>
    <x v="605"/>
    <x v="2"/>
    <x v="2"/>
    <n v="2460"/>
    <x v="794"/>
    <n v="5.7299999999999997E-2"/>
    <n v="45.12"/>
    <n v="6"/>
    <n v="132"/>
    <n v="3"/>
    <n v="141"/>
    <x v="11"/>
    <x v="0"/>
    <x v="233"/>
    <x v="7"/>
    <x v="2"/>
    <s v=""/>
    <s v="Nao"/>
  </r>
  <r>
    <x v="605"/>
    <x v="7"/>
    <x v="7"/>
    <n v="2195"/>
    <x v="518"/>
    <n v="6.7000000000000004E-2"/>
    <n v="44.1"/>
    <n v="30"/>
    <n v="114"/>
    <n v="3"/>
    <n v="147"/>
    <x v="11"/>
    <x v="0"/>
    <x v="66"/>
    <x v="7"/>
    <x v="2"/>
    <s v=""/>
    <s v="Nao"/>
  </r>
  <r>
    <x v="606"/>
    <x v="11"/>
    <x v="0"/>
    <n v="3303"/>
    <x v="390"/>
    <n v="4.1500000000000002E-2"/>
    <n v="38.36"/>
    <n v="8"/>
    <n v="126"/>
    <n v="3"/>
    <n v="137"/>
    <x v="11"/>
    <x v="1"/>
    <x v="621"/>
    <x v="7"/>
    <x v="2"/>
    <s v=""/>
    <s v="Nao"/>
  </r>
  <r>
    <x v="606"/>
    <x v="4"/>
    <x v="4"/>
    <n v="3693"/>
    <x v="795"/>
    <n v="6.5000000000000002E-2"/>
    <n v="84"/>
    <n v="4"/>
    <n v="230"/>
    <n v="6"/>
    <n v="240"/>
    <x v="11"/>
    <x v="1"/>
    <x v="288"/>
    <x v="7"/>
    <x v="2"/>
    <s v=""/>
    <s v="Nao"/>
  </r>
  <r>
    <x v="607"/>
    <x v="11"/>
    <x v="0"/>
    <n v="4121"/>
    <x v="796"/>
    <n v="4.4900000000000002E-2"/>
    <n v="51.8"/>
    <n v="7"/>
    <n v="175"/>
    <n v="3"/>
    <n v="185"/>
    <x v="11"/>
    <x v="2"/>
    <x v="478"/>
    <x v="7"/>
    <x v="2"/>
    <s v=""/>
    <s v="Nao"/>
  </r>
  <r>
    <x v="608"/>
    <x v="14"/>
    <x v="12"/>
    <n v="2545"/>
    <x v="750"/>
    <n v="7.3099999999999998E-2"/>
    <n v="55.8"/>
    <n v="58"/>
    <n v="125"/>
    <n v="3"/>
    <n v="186"/>
    <x v="11"/>
    <x v="3"/>
    <x v="622"/>
    <x v="7"/>
    <x v="2"/>
    <s v=""/>
    <s v="Nao"/>
  </r>
  <r>
    <x v="608"/>
    <x v="1"/>
    <x v="1"/>
    <n v="4127"/>
    <x v="797"/>
    <n v="7.1999999999999995E-2"/>
    <n v="95.04"/>
    <n v="14"/>
    <n v="274"/>
    <n v="9"/>
    <n v="297"/>
    <x v="11"/>
    <x v="3"/>
    <x v="414"/>
    <x v="7"/>
    <x v="2"/>
    <s v=""/>
    <s v="Nao"/>
  </r>
  <r>
    <x v="609"/>
    <x v="1"/>
    <x v="1"/>
    <n v="2085"/>
    <x v="569"/>
    <n v="6.9099999999999995E-2"/>
    <n v="46.08"/>
    <n v="8"/>
    <n v="135"/>
    <n v="1"/>
    <n v="144"/>
    <x v="11"/>
    <x v="4"/>
    <x v="57"/>
    <x v="8"/>
    <x v="2"/>
    <s v=""/>
    <s v="Nao"/>
  </r>
  <r>
    <x v="610"/>
    <x v="6"/>
    <x v="6"/>
    <n v="3758"/>
    <x v="798"/>
    <n v="5.0599999999999999E-2"/>
    <n v="66.5"/>
    <n v="10"/>
    <n v="174"/>
    <n v="6"/>
    <n v="190"/>
    <x v="11"/>
    <x v="5"/>
    <x v="623"/>
    <x v="8"/>
    <x v="2"/>
    <s v=""/>
    <s v="Nao"/>
  </r>
  <r>
    <x v="610"/>
    <x v="1"/>
    <x v="1"/>
    <n v="3187"/>
    <x v="799"/>
    <n v="6.4000000000000001E-2"/>
    <n v="65.28"/>
    <n v="6"/>
    <n v="192"/>
    <n v="6"/>
    <n v="204"/>
    <x v="11"/>
    <x v="5"/>
    <x v="593"/>
    <x v="8"/>
    <x v="2"/>
    <s v=""/>
    <s v="Nao"/>
  </r>
  <r>
    <x v="611"/>
    <x v="13"/>
    <x v="9"/>
    <n v="2801"/>
    <x v="608"/>
    <n v="6.7500000000000004E-2"/>
    <n v="56.7"/>
    <n v="8"/>
    <n v="178"/>
    <n v="3"/>
    <n v="189"/>
    <x v="11"/>
    <x v="6"/>
    <x v="624"/>
    <x v="8"/>
    <x v="2"/>
    <s v=""/>
    <s v="Nao"/>
  </r>
  <r>
    <x v="611"/>
    <x v="1"/>
    <x v="1"/>
    <n v="3697"/>
    <x v="800"/>
    <n v="4.9200000000000001E-2"/>
    <n v="58.24"/>
    <n v="9"/>
    <n v="170"/>
    <n v="3"/>
    <n v="182"/>
    <x v="11"/>
    <x v="6"/>
    <x v="154"/>
    <x v="8"/>
    <x v="2"/>
    <s v=""/>
    <s v="Nao"/>
  </r>
  <r>
    <x v="612"/>
    <x v="5"/>
    <x v="5"/>
    <n v="2033"/>
    <x v="801"/>
    <n v="6.9800000000000001E-2"/>
    <n v="48.28"/>
    <n v="8"/>
    <n v="132"/>
    <n v="2"/>
    <n v="142"/>
    <x v="11"/>
    <x v="7"/>
    <x v="1"/>
    <x v="8"/>
    <x v="2"/>
    <s v=""/>
    <s v="Nao"/>
  </r>
  <r>
    <x v="613"/>
    <x v="7"/>
    <x v="7"/>
    <n v="3590"/>
    <x v="802"/>
    <n v="7.3499999999999996E-2"/>
    <n v="79.2"/>
    <n v="73"/>
    <n v="181"/>
    <n v="10"/>
    <n v="264"/>
    <x v="11"/>
    <x v="8"/>
    <x v="532"/>
    <x v="8"/>
    <x v="2"/>
    <s v=""/>
    <s v="Nao"/>
  </r>
  <r>
    <x v="614"/>
    <x v="7"/>
    <x v="7"/>
    <n v="3621"/>
    <x v="511"/>
    <n v="5.91E-2"/>
    <n v="64.2"/>
    <n v="66"/>
    <n v="146"/>
    <n v="2"/>
    <n v="214"/>
    <x v="11"/>
    <x v="9"/>
    <x v="440"/>
    <x v="8"/>
    <x v="2"/>
    <s v=""/>
    <s v="Nao"/>
  </r>
  <r>
    <x v="614"/>
    <x v="14"/>
    <x v="12"/>
    <n v="3759"/>
    <x v="803"/>
    <n v="7.3999999999999996E-2"/>
    <n v="83.4"/>
    <n v="87"/>
    <n v="183"/>
    <n v="8"/>
    <n v="278"/>
    <x v="11"/>
    <x v="9"/>
    <x v="625"/>
    <x v="8"/>
    <x v="2"/>
    <s v=""/>
    <s v="Nao"/>
  </r>
  <r>
    <x v="615"/>
    <x v="5"/>
    <x v="5"/>
    <n v="2024"/>
    <x v="720"/>
    <n v="6.8699999999999997E-2"/>
    <n v="47.26"/>
    <n v="4"/>
    <n v="132"/>
    <n v="3"/>
    <n v="139"/>
    <x v="11"/>
    <x v="10"/>
    <x v="596"/>
    <x v="8"/>
    <x v="2"/>
    <s v=""/>
    <s v="Nao"/>
  </r>
  <r>
    <x v="615"/>
    <x v="5"/>
    <x v="5"/>
    <n v="4002"/>
    <x v="711"/>
    <n v="7.5999999999999998E-2"/>
    <n v="103.36"/>
    <n v="16"/>
    <n v="282"/>
    <n v="6"/>
    <n v="304"/>
    <x v="11"/>
    <x v="10"/>
    <x v="626"/>
    <x v="8"/>
    <x v="2"/>
    <s v=""/>
    <s v="Nao"/>
  </r>
  <r>
    <x v="616"/>
    <x v="11"/>
    <x v="0"/>
    <n v="4145"/>
    <x v="804"/>
    <n v="4.5400000000000003E-2"/>
    <n v="52.64"/>
    <n v="5"/>
    <n v="180"/>
    <n v="3"/>
    <n v="188"/>
    <x v="11"/>
    <x v="11"/>
    <x v="233"/>
    <x v="8"/>
    <x v="2"/>
    <s v=""/>
    <s v="Nao"/>
  </r>
  <r>
    <x v="617"/>
    <x v="8"/>
    <x v="8"/>
    <n v="2563"/>
    <x v="805"/>
    <n v="9.6000000000000002E-2"/>
    <n v="78.72"/>
    <n v="32"/>
    <n v="210"/>
    <n v="4"/>
    <n v="246"/>
    <x v="11"/>
    <x v="12"/>
    <x v="130"/>
    <x v="8"/>
    <x v="2"/>
    <s v=""/>
    <s v="Nao"/>
  </r>
  <r>
    <x v="617"/>
    <x v="14"/>
    <x v="12"/>
    <n v="3511"/>
    <x v="806"/>
    <n v="6.8400000000000002E-2"/>
    <n v="72"/>
    <n v="56"/>
    <n v="178"/>
    <n v="6"/>
    <n v="240"/>
    <x v="11"/>
    <x v="12"/>
    <x v="307"/>
    <x v="8"/>
    <x v="2"/>
    <s v=""/>
    <s v="Nao"/>
  </r>
  <r>
    <x v="618"/>
    <x v="4"/>
    <x v="4"/>
    <n v="3369"/>
    <x v="807"/>
    <n v="3.7100000000000001E-2"/>
    <n v="43.75"/>
    <n v="4"/>
    <n v="119"/>
    <n v="2"/>
    <n v="125"/>
    <x v="11"/>
    <x v="13"/>
    <x v="5"/>
    <x v="8"/>
    <x v="2"/>
    <s v=""/>
    <s v="Nao"/>
  </r>
  <r>
    <x v="619"/>
    <x v="9"/>
    <x v="9"/>
    <n v="3197"/>
    <x v="309"/>
    <n v="6.7900000000000002E-2"/>
    <n v="56.42"/>
    <n v="7"/>
    <n v="205"/>
    <n v="5"/>
    <n v="217"/>
    <x v="11"/>
    <x v="14"/>
    <x v="453"/>
    <x v="8"/>
    <x v="2"/>
    <s v=""/>
    <s v="Nao"/>
  </r>
  <r>
    <x v="619"/>
    <x v="2"/>
    <x v="2"/>
    <n v="3020"/>
    <x v="435"/>
    <n v="6.4600000000000005E-2"/>
    <n v="62.4"/>
    <n v="69"/>
    <n v="28"/>
    <n v="98"/>
    <n v="195"/>
    <x v="11"/>
    <x v="14"/>
    <x v="294"/>
    <x v="8"/>
    <x v="2"/>
    <s v=""/>
    <s v="Sim"/>
  </r>
  <r>
    <x v="620"/>
    <x v="8"/>
    <x v="8"/>
    <n v="4086"/>
    <x v="576"/>
    <n v="9.8900000000000002E-2"/>
    <n v="129.28"/>
    <n v="34"/>
    <n v="366"/>
    <n v="4"/>
    <n v="404"/>
    <x v="11"/>
    <x v="15"/>
    <x v="627"/>
    <x v="8"/>
    <x v="2"/>
    <s v=""/>
    <s v="Nao"/>
  </r>
  <r>
    <x v="620"/>
    <x v="12"/>
    <x v="11"/>
    <n v="3269"/>
    <x v="808"/>
    <n v="9.5699999999999993E-2"/>
    <n v="100.16"/>
    <n v="36"/>
    <n v="272"/>
    <n v="5"/>
    <n v="313"/>
    <x v="11"/>
    <x v="15"/>
    <x v="583"/>
    <x v="8"/>
    <x v="2"/>
    <s v=""/>
    <s v="Nao"/>
  </r>
  <r>
    <x v="621"/>
    <x v="4"/>
    <x v="4"/>
    <n v="1855"/>
    <x v="448"/>
    <n v="7.1199999999999999E-2"/>
    <n v="46.2"/>
    <n v="8"/>
    <n v="121"/>
    <n v="3"/>
    <n v="132"/>
    <x v="11"/>
    <x v="16"/>
    <x v="628"/>
    <x v="8"/>
    <x v="2"/>
    <s v=""/>
    <s v="Nao"/>
  </r>
  <r>
    <x v="621"/>
    <x v="14"/>
    <x v="12"/>
    <n v="2507"/>
    <x v="413"/>
    <n v="8.1000000000000003E-2"/>
    <n v="60.9"/>
    <n v="61"/>
    <n v="137"/>
    <n v="5"/>
    <n v="203"/>
    <x v="11"/>
    <x v="16"/>
    <x v="222"/>
    <x v="8"/>
    <x v="2"/>
    <s v=""/>
    <s v="Nao"/>
  </r>
  <r>
    <x v="622"/>
    <x v="3"/>
    <x v="3"/>
    <n v="2916"/>
    <x v="352"/>
    <n v="7.6799999999999993E-2"/>
    <n v="62.72"/>
    <n v="3"/>
    <n v="215"/>
    <n v="6"/>
    <n v="224"/>
    <x v="11"/>
    <x v="17"/>
    <x v="154"/>
    <x v="8"/>
    <x v="2"/>
    <s v=""/>
    <s v="Nao"/>
  </r>
  <r>
    <x v="622"/>
    <x v="5"/>
    <x v="5"/>
    <n v="2238"/>
    <x v="809"/>
    <n v="8.3599999999999994E-2"/>
    <n v="63.58"/>
    <n v="4"/>
    <n v="178"/>
    <n v="5"/>
    <n v="187"/>
    <x v="11"/>
    <x v="17"/>
    <x v="224"/>
    <x v="8"/>
    <x v="2"/>
    <s v=""/>
    <s v="Nao"/>
  </r>
  <r>
    <x v="623"/>
    <x v="13"/>
    <x v="9"/>
    <n v="2916"/>
    <x v="810"/>
    <n v="9.5299999999999996E-2"/>
    <n v="83.4"/>
    <n v="15"/>
    <n v="260"/>
    <n v="3"/>
    <n v="278"/>
    <x v="11"/>
    <x v="18"/>
    <x v="629"/>
    <x v="8"/>
    <x v="2"/>
    <s v=""/>
    <s v="Nao"/>
  </r>
  <r>
    <x v="623"/>
    <x v="3"/>
    <x v="3"/>
    <n v="2963"/>
    <x v="811"/>
    <n v="7.4200000000000002E-2"/>
    <n v="61.6"/>
    <n v="13"/>
    <n v="202"/>
    <n v="5"/>
    <n v="220"/>
    <x v="11"/>
    <x v="18"/>
    <x v="70"/>
    <x v="8"/>
    <x v="2"/>
    <s v=""/>
    <s v="Nao"/>
  </r>
  <r>
    <x v="624"/>
    <x v="8"/>
    <x v="8"/>
    <n v="3156"/>
    <x v="812"/>
    <n v="0.10929999999999999"/>
    <n v="110.4"/>
    <n v="29"/>
    <n v="312"/>
    <n v="4"/>
    <n v="345"/>
    <x v="11"/>
    <x v="19"/>
    <x v="360"/>
    <x v="8"/>
    <x v="2"/>
    <s v=""/>
    <s v="Nao"/>
  </r>
  <r>
    <x v="624"/>
    <x v="5"/>
    <x v="5"/>
    <n v="2467"/>
    <x v="446"/>
    <n v="8.6699999999999999E-2"/>
    <n v="72.760000000000005"/>
    <n v="6"/>
    <n v="202"/>
    <n v="6"/>
    <n v="214"/>
    <x v="11"/>
    <x v="19"/>
    <x v="404"/>
    <x v="8"/>
    <x v="2"/>
    <s v=""/>
    <s v="Nao"/>
  </r>
  <r>
    <x v="625"/>
    <x v="7"/>
    <x v="7"/>
    <n v="1861"/>
    <x v="813"/>
    <n v="7.3599999999999999E-2"/>
    <n v="41.1"/>
    <n v="26"/>
    <n v="108"/>
    <n v="3"/>
    <n v="137"/>
    <x v="11"/>
    <x v="20"/>
    <x v="259"/>
    <x v="8"/>
    <x v="2"/>
    <s v=""/>
    <s v="Nao"/>
  </r>
  <r>
    <x v="625"/>
    <x v="12"/>
    <x v="11"/>
    <n v="3112"/>
    <x v="814"/>
    <n v="0.1038"/>
    <n v="103.36"/>
    <n v="48"/>
    <n v="270"/>
    <n v="5"/>
    <n v="323"/>
    <x v="11"/>
    <x v="20"/>
    <x v="626"/>
    <x v="8"/>
    <x v="2"/>
    <s v=""/>
    <s v="Nao"/>
  </r>
  <r>
    <x v="626"/>
    <x v="4"/>
    <x v="4"/>
    <n v="3331"/>
    <x v="815"/>
    <n v="7.6300000000000007E-2"/>
    <n v="88.9"/>
    <n v="13"/>
    <n v="234"/>
    <n v="7"/>
    <n v="254"/>
    <x v="11"/>
    <x v="21"/>
    <x v="630"/>
    <x v="8"/>
    <x v="2"/>
    <s v=""/>
    <s v="Nao"/>
  </r>
  <r>
    <x v="626"/>
    <x v="11"/>
    <x v="0"/>
    <n v="3031"/>
    <x v="816"/>
    <n v="7.3200000000000001E-2"/>
    <n v="62.16"/>
    <n v="12"/>
    <n v="206"/>
    <n v="4"/>
    <n v="222"/>
    <x v="11"/>
    <x v="21"/>
    <x v="568"/>
    <x v="8"/>
    <x v="2"/>
    <s v=""/>
    <s v="Nao"/>
  </r>
  <r>
    <x v="627"/>
    <x v="8"/>
    <x v="8"/>
    <n v="3425"/>
    <x v="817"/>
    <n v="9.9599999999999994E-2"/>
    <n v="109.12"/>
    <n v="30"/>
    <n v="305"/>
    <n v="6"/>
    <n v="341"/>
    <x v="11"/>
    <x v="22"/>
    <x v="631"/>
    <x v="8"/>
    <x v="2"/>
    <s v=""/>
    <s v="Nao"/>
  </r>
  <r>
    <x v="627"/>
    <x v="10"/>
    <x v="10"/>
    <n v="3431"/>
    <x v="818"/>
    <n v="8.9800000000000005E-2"/>
    <n v="98.56"/>
    <n v="41"/>
    <n v="261"/>
    <n v="6"/>
    <n v="308"/>
    <x v="11"/>
    <x v="22"/>
    <x v="182"/>
    <x v="8"/>
    <x v="2"/>
    <s v=""/>
    <s v="Nao"/>
  </r>
  <r>
    <x v="628"/>
    <x v="12"/>
    <x v="11"/>
    <n v="1915"/>
    <x v="77"/>
    <n v="8.5099999999999995E-2"/>
    <n v="52.16"/>
    <n v="21"/>
    <n v="139"/>
    <n v="3"/>
    <n v="163"/>
    <x v="11"/>
    <x v="23"/>
    <x v="632"/>
    <x v="8"/>
    <x v="2"/>
    <s v=""/>
    <s v="Nao"/>
  </r>
  <r>
    <x v="628"/>
    <x v="3"/>
    <x v="3"/>
    <n v="2909"/>
    <x v="819"/>
    <n v="8.2500000000000004E-2"/>
    <n v="67.2"/>
    <n v="14"/>
    <n v="221"/>
    <n v="5"/>
    <n v="240"/>
    <x v="11"/>
    <x v="23"/>
    <x v="294"/>
    <x v="8"/>
    <x v="2"/>
    <s v=""/>
    <s v="Nao"/>
  </r>
  <r>
    <x v="629"/>
    <x v="14"/>
    <x v="12"/>
    <n v="3842"/>
    <x v="204"/>
    <n v="7.4399999999999994E-2"/>
    <n v="85.8"/>
    <n v="86"/>
    <n v="191"/>
    <n v="9"/>
    <n v="286"/>
    <x v="11"/>
    <x v="24"/>
    <x v="633"/>
    <x v="8"/>
    <x v="2"/>
    <s v=""/>
    <s v="Nao"/>
  </r>
  <r>
    <x v="630"/>
    <x v="4"/>
    <x v="4"/>
    <n v="3157"/>
    <x v="820"/>
    <n v="9.06E-2"/>
    <n v="100.1"/>
    <n v="10"/>
    <n v="268"/>
    <n v="8"/>
    <n v="286"/>
    <x v="11"/>
    <x v="25"/>
    <x v="634"/>
    <x v="8"/>
    <x v="2"/>
    <s v=""/>
    <s v="Nao"/>
  </r>
  <r>
    <x v="630"/>
    <x v="4"/>
    <x v="4"/>
    <n v="4008"/>
    <x v="164"/>
    <n v="7.6100000000000001E-2"/>
    <n v="106.75"/>
    <n v="6"/>
    <n v="293"/>
    <n v="6"/>
    <n v="305"/>
    <x v="11"/>
    <x v="25"/>
    <x v="635"/>
    <x v="8"/>
    <x v="2"/>
    <s v=""/>
    <s v="Nao"/>
  </r>
  <r>
    <x v="631"/>
    <x v="0"/>
    <x v="0"/>
    <n v="3466"/>
    <x v="765"/>
    <n v="6.9000000000000006E-2"/>
    <n v="76.48"/>
    <n v="6"/>
    <n v="226"/>
    <n v="7"/>
    <n v="239"/>
    <x v="11"/>
    <x v="26"/>
    <x v="310"/>
    <x v="8"/>
    <x v="2"/>
    <s v=""/>
    <s v="Nao"/>
  </r>
  <r>
    <x v="632"/>
    <x v="0"/>
    <x v="0"/>
    <n v="2626"/>
    <x v="375"/>
    <n v="8.4900000000000003E-2"/>
    <n v="71.36"/>
    <n v="11"/>
    <n v="209"/>
    <n v="3"/>
    <n v="223"/>
    <x v="11"/>
    <x v="27"/>
    <x v="4"/>
    <x v="8"/>
    <x v="2"/>
    <s v=""/>
    <s v="Nao"/>
  </r>
  <r>
    <x v="632"/>
    <x v="12"/>
    <x v="11"/>
    <n v="4024"/>
    <x v="417"/>
    <n v="9.3899999999999997E-2"/>
    <n v="120.96"/>
    <n v="48"/>
    <n v="320"/>
    <n v="10"/>
    <n v="378"/>
    <x v="11"/>
    <x v="27"/>
    <x v="636"/>
    <x v="8"/>
    <x v="2"/>
    <s v=""/>
    <s v="Nao"/>
  </r>
  <r>
    <x v="633"/>
    <x v="12"/>
    <x v="11"/>
    <n v="2288"/>
    <x v="518"/>
    <n v="0.10489999999999999"/>
    <n v="76.8"/>
    <n v="21"/>
    <n v="214"/>
    <n v="5"/>
    <n v="240"/>
    <x v="11"/>
    <x v="28"/>
    <x v="219"/>
    <x v="8"/>
    <x v="2"/>
    <s v=""/>
    <s v="Nao"/>
  </r>
  <r>
    <x v="633"/>
    <x v="2"/>
    <x v="2"/>
    <n v="2351"/>
    <x v="821"/>
    <n v="8.7999999999999995E-2"/>
    <n v="66.239999999999995"/>
    <n v="9"/>
    <n v="193"/>
    <n v="5"/>
    <n v="207"/>
    <x v="11"/>
    <x v="28"/>
    <x v="180"/>
    <x v="8"/>
    <x v="2"/>
    <s v=""/>
    <s v="Nao"/>
  </r>
  <r>
    <x v="634"/>
    <x v="14"/>
    <x v="12"/>
    <n v="2583"/>
    <x v="822"/>
    <n v="9.6000000000000002E-2"/>
    <n v="74.400000000000006"/>
    <n v="59"/>
    <n v="181"/>
    <n v="8"/>
    <n v="248"/>
    <x v="11"/>
    <x v="29"/>
    <x v="637"/>
    <x v="8"/>
    <x v="2"/>
    <s v=""/>
    <s v="Nao"/>
  </r>
  <r>
    <x v="635"/>
    <x v="3"/>
    <x v="3"/>
    <n v="2638"/>
    <x v="642"/>
    <n v="9.0200000000000002E-2"/>
    <n v="66.64"/>
    <n v="12"/>
    <n v="219"/>
    <n v="7"/>
    <n v="238"/>
    <x v="11"/>
    <x v="30"/>
    <x v="168"/>
    <x v="8"/>
    <x v="2"/>
    <s v=""/>
    <s v="Nao"/>
  </r>
  <r>
    <x v="635"/>
    <x v="2"/>
    <x v="2"/>
    <n v="3451"/>
    <x v="823"/>
    <n v="8.4900000000000003E-2"/>
    <n v="93.76"/>
    <n v="11"/>
    <n v="278"/>
    <n v="4"/>
    <n v="293"/>
    <x v="11"/>
    <x v="30"/>
    <x v="601"/>
    <x v="8"/>
    <x v="2"/>
    <s v=""/>
    <s v="Nao"/>
  </r>
  <r>
    <x v="636"/>
    <x v="3"/>
    <x v="3"/>
    <n v="3858"/>
    <x v="824"/>
    <n v="9.0700000000000003E-2"/>
    <n v="98"/>
    <n v="108"/>
    <n v="62"/>
    <n v="180"/>
    <n v="350"/>
    <x v="11"/>
    <x v="31"/>
    <x v="638"/>
    <x v="8"/>
    <x v="2"/>
    <n v="46"/>
    <s v="Sim"/>
  </r>
  <r>
    <x v="637"/>
    <x v="5"/>
    <x v="5"/>
    <n v="3358"/>
    <x v="825"/>
    <n v="4.82E-2"/>
    <n v="55.08"/>
    <n v="5"/>
    <n v="155"/>
    <n v="2"/>
    <n v="162"/>
    <x v="12"/>
    <x v="36"/>
    <x v="352"/>
    <x v="8"/>
    <x v="2"/>
    <s v=""/>
    <s v="Nao"/>
  </r>
  <r>
    <x v="637"/>
    <x v="12"/>
    <x v="11"/>
    <n v="2951"/>
    <x v="505"/>
    <n v="6.2700000000000006E-2"/>
    <n v="59.2"/>
    <n v="24"/>
    <n v="158"/>
    <n v="3"/>
    <n v="185"/>
    <x v="12"/>
    <x v="36"/>
    <x v="333"/>
    <x v="8"/>
    <x v="2"/>
    <s v=""/>
    <s v="Nao"/>
  </r>
  <r>
    <x v="638"/>
    <x v="1"/>
    <x v="1"/>
    <n v="3694"/>
    <x v="91"/>
    <n v="4.5699999999999998E-2"/>
    <n v="54.08"/>
    <n v="4"/>
    <n v="160"/>
    <n v="5"/>
    <n v="169"/>
    <x v="12"/>
    <x v="37"/>
    <x v="396"/>
    <x v="8"/>
    <x v="2"/>
    <s v=""/>
    <s v="Nao"/>
  </r>
  <r>
    <x v="638"/>
    <x v="2"/>
    <x v="2"/>
    <n v="3459"/>
    <x v="615"/>
    <n v="7.3400000000000007E-2"/>
    <n v="81.28"/>
    <n v="11"/>
    <n v="236"/>
    <n v="7"/>
    <n v="254"/>
    <x v="12"/>
    <x v="37"/>
    <x v="486"/>
    <x v="8"/>
    <x v="2"/>
    <s v=""/>
    <s v="Nao"/>
  </r>
  <r>
    <x v="639"/>
    <x v="0"/>
    <x v="0"/>
    <n v="2372"/>
    <x v="826"/>
    <n v="4.3799999999999999E-2"/>
    <n v="33.28"/>
    <n v="4"/>
    <n v="98"/>
    <n v="2"/>
    <n v="104"/>
    <x v="12"/>
    <x v="38"/>
    <x v="496"/>
    <x v="9"/>
    <x v="2"/>
    <s v=""/>
    <s v="Nao"/>
  </r>
  <r>
    <x v="639"/>
    <x v="14"/>
    <x v="12"/>
    <n v="1964"/>
    <x v="827"/>
    <n v="6.5699999999999995E-2"/>
    <n v="38.700000000000003"/>
    <n v="33"/>
    <n v="91"/>
    <n v="5"/>
    <n v="129"/>
    <x v="12"/>
    <x v="38"/>
    <x v="620"/>
    <x v="9"/>
    <x v="2"/>
    <s v=""/>
    <s v="Nao"/>
  </r>
  <r>
    <x v="640"/>
    <x v="11"/>
    <x v="0"/>
    <n v="1891"/>
    <x v="828"/>
    <n v="2.9100000000000001E-2"/>
    <n v="15.4"/>
    <n v="3"/>
    <n v="51"/>
    <n v="1"/>
    <n v="55"/>
    <x v="12"/>
    <x v="39"/>
    <x v="639"/>
    <x v="9"/>
    <x v="2"/>
    <s v=""/>
    <s v="Nao"/>
  </r>
  <r>
    <x v="640"/>
    <x v="8"/>
    <x v="8"/>
    <n v="2598"/>
    <x v="398"/>
    <n v="8.8499999999999995E-2"/>
    <n v="73.599999999999994"/>
    <n v="19"/>
    <n v="205"/>
    <n v="6"/>
    <n v="230"/>
    <x v="12"/>
    <x v="39"/>
    <x v="532"/>
    <x v="9"/>
    <x v="2"/>
    <s v=""/>
    <s v="Nao"/>
  </r>
  <r>
    <x v="641"/>
    <x v="2"/>
    <x v="2"/>
    <n v="2397"/>
    <x v="829"/>
    <n v="3.8399999999999997E-2"/>
    <n v="29.44"/>
    <n v="5"/>
    <n v="85"/>
    <n v="2"/>
    <n v="92"/>
    <x v="12"/>
    <x v="40"/>
    <x v="640"/>
    <x v="9"/>
    <x v="2"/>
    <s v=""/>
    <s v="Nao"/>
  </r>
  <r>
    <x v="641"/>
    <x v="2"/>
    <x v="2"/>
    <n v="2516"/>
    <x v="132"/>
    <n v="7.0000000000000007E-2"/>
    <n v="56.32"/>
    <n v="9"/>
    <n v="163"/>
    <n v="4"/>
    <n v="176"/>
    <x v="12"/>
    <x v="40"/>
    <x v="641"/>
    <x v="9"/>
    <x v="2"/>
    <s v=""/>
    <s v="Nao"/>
  </r>
  <r>
    <x v="642"/>
    <x v="11"/>
    <x v="0"/>
    <n v="4117"/>
    <x v="830"/>
    <n v="4.3499999999999997E-2"/>
    <n v="50.12"/>
    <n v="7"/>
    <n v="170"/>
    <n v="2"/>
    <n v="179"/>
    <x v="12"/>
    <x v="41"/>
    <x v="392"/>
    <x v="9"/>
    <x v="2"/>
    <s v=""/>
    <s v="Nao"/>
  </r>
  <r>
    <x v="642"/>
    <x v="5"/>
    <x v="5"/>
    <n v="3555"/>
    <x v="831"/>
    <n v="3.5400000000000001E-2"/>
    <n v="42.84"/>
    <n v="5"/>
    <n v="118"/>
    <n v="3"/>
    <n v="126"/>
    <x v="12"/>
    <x v="41"/>
    <x v="459"/>
    <x v="9"/>
    <x v="2"/>
    <s v=""/>
    <s v="Nao"/>
  </r>
  <r>
    <x v="643"/>
    <x v="14"/>
    <x v="12"/>
    <n v="3459"/>
    <x v="832"/>
    <n v="2.92E-2"/>
    <n v="30.3"/>
    <n v="28"/>
    <n v="71"/>
    <n v="2"/>
    <n v="101"/>
    <x v="12"/>
    <x v="42"/>
    <x v="642"/>
    <x v="9"/>
    <x v="2"/>
    <s v=""/>
    <s v="Nao"/>
  </r>
  <r>
    <x v="643"/>
    <x v="5"/>
    <x v="5"/>
    <n v="2176"/>
    <x v="833"/>
    <n v="4.7800000000000002E-2"/>
    <n v="35.36"/>
    <n v="6"/>
    <n v="96"/>
    <n v="2"/>
    <n v="104"/>
    <x v="12"/>
    <x v="42"/>
    <x v="215"/>
    <x v="9"/>
    <x v="2"/>
    <s v=""/>
    <s v="Nao"/>
  </r>
  <r>
    <x v="644"/>
    <x v="0"/>
    <x v="0"/>
    <n v="2794"/>
    <x v="834"/>
    <n v="4.19E-2"/>
    <n v="37.44"/>
    <n v="2"/>
    <n v="112"/>
    <n v="3"/>
    <n v="117"/>
    <x v="12"/>
    <x v="43"/>
    <x v="161"/>
    <x v="9"/>
    <x v="2"/>
    <s v=""/>
    <s v="Nao"/>
  </r>
  <r>
    <x v="644"/>
    <x v="11"/>
    <x v="0"/>
    <n v="1856"/>
    <x v="835"/>
    <n v="3.7199999999999997E-2"/>
    <n v="19.32"/>
    <n v="4"/>
    <n v="64"/>
    <n v="1"/>
    <n v="69"/>
    <x v="12"/>
    <x v="43"/>
    <x v="643"/>
    <x v="9"/>
    <x v="2"/>
    <s v=""/>
    <s v="Nao"/>
  </r>
  <r>
    <x v="645"/>
    <x v="3"/>
    <x v="3"/>
    <n v="2691"/>
    <x v="836"/>
    <n v="6.6900000000000001E-2"/>
    <n v="50.4"/>
    <n v="3"/>
    <n v="172"/>
    <n v="5"/>
    <n v="180"/>
    <x v="12"/>
    <x v="44"/>
    <x v="450"/>
    <x v="9"/>
    <x v="2"/>
    <s v=""/>
    <s v="Nao"/>
  </r>
  <r>
    <x v="645"/>
    <x v="5"/>
    <x v="5"/>
    <n v="2604"/>
    <x v="837"/>
    <n v="4.9200000000000001E-2"/>
    <n v="43.52"/>
    <n v="51"/>
    <n v="29"/>
    <n v="48"/>
    <n v="128"/>
    <x v="12"/>
    <x v="44"/>
    <x v="83"/>
    <x v="9"/>
    <x v="2"/>
    <s v=""/>
    <s v="Sim"/>
  </r>
  <r>
    <x v="646"/>
    <x v="5"/>
    <x v="5"/>
    <n v="3898"/>
    <x v="838"/>
    <n v="5.1799999999999999E-2"/>
    <n v="68.680000000000007"/>
    <n v="5"/>
    <n v="192"/>
    <n v="5"/>
    <n v="202"/>
    <x v="12"/>
    <x v="45"/>
    <x v="644"/>
    <x v="9"/>
    <x v="2"/>
    <s v=""/>
    <s v="Nao"/>
  </r>
  <r>
    <x v="647"/>
    <x v="3"/>
    <x v="3"/>
    <n v="4115"/>
    <x v="839"/>
    <n v="4.2000000000000003E-2"/>
    <n v="48.44"/>
    <n v="7"/>
    <n v="163"/>
    <n v="3"/>
    <n v="173"/>
    <x v="12"/>
    <x v="46"/>
    <x v="336"/>
    <x v="9"/>
    <x v="2"/>
    <s v=""/>
    <s v="Nao"/>
  </r>
  <r>
    <x v="647"/>
    <x v="9"/>
    <x v="9"/>
    <n v="3622"/>
    <x v="668"/>
    <n v="6.4299999999999996E-2"/>
    <n v="60.58"/>
    <n v="10"/>
    <n v="216"/>
    <n v="7"/>
    <n v="233"/>
    <x v="12"/>
    <x v="46"/>
    <x v="472"/>
    <x v="9"/>
    <x v="2"/>
    <s v=""/>
    <s v="Nao"/>
  </r>
  <r>
    <x v="648"/>
    <x v="8"/>
    <x v="8"/>
    <n v="2070"/>
    <x v="840"/>
    <n v="0.1048"/>
    <n v="69.44"/>
    <n v="25"/>
    <n v="186"/>
    <n v="6"/>
    <n v="217"/>
    <x v="12"/>
    <x v="47"/>
    <x v="173"/>
    <x v="9"/>
    <x v="2"/>
    <s v=""/>
    <s v="Nao"/>
  </r>
  <r>
    <x v="648"/>
    <x v="13"/>
    <x v="9"/>
    <n v="3026"/>
    <x v="6"/>
    <n v="7.8E-2"/>
    <n v="70.8"/>
    <n v="7"/>
    <n v="223"/>
    <n v="6"/>
    <n v="236"/>
    <x v="12"/>
    <x v="47"/>
    <x v="645"/>
    <x v="9"/>
    <x v="2"/>
    <s v=""/>
    <s v="Nao"/>
  </r>
  <r>
    <x v="649"/>
    <x v="1"/>
    <x v="1"/>
    <n v="2393"/>
    <x v="841"/>
    <n v="5.8099999999999999E-2"/>
    <n v="44.48"/>
    <n v="9"/>
    <n v="128"/>
    <n v="2"/>
    <n v="139"/>
    <x v="12"/>
    <x v="48"/>
    <x v="364"/>
    <x v="9"/>
    <x v="2"/>
    <s v=""/>
    <s v="Nao"/>
  </r>
  <r>
    <x v="650"/>
    <x v="3"/>
    <x v="3"/>
    <n v="3757"/>
    <x v="107"/>
    <n v="6.4899999999999999E-2"/>
    <n v="68.319999999999993"/>
    <n v="12"/>
    <n v="226"/>
    <n v="6"/>
    <n v="244"/>
    <x v="12"/>
    <x v="49"/>
    <x v="646"/>
    <x v="9"/>
    <x v="2"/>
    <s v=""/>
    <s v="Nao"/>
  </r>
  <r>
    <x v="650"/>
    <x v="2"/>
    <x v="2"/>
    <n v="2270"/>
    <x v="189"/>
    <n v="5.8599999999999999E-2"/>
    <n v="42.56"/>
    <n v="7"/>
    <n v="122"/>
    <n v="4"/>
    <n v="133"/>
    <x v="12"/>
    <x v="49"/>
    <x v="555"/>
    <x v="9"/>
    <x v="2"/>
    <s v=""/>
    <s v="Nao"/>
  </r>
  <r>
    <x v="651"/>
    <x v="11"/>
    <x v="0"/>
    <n v="3109"/>
    <x v="842"/>
    <n v="5.5300000000000002E-2"/>
    <n v="48.16"/>
    <n v="10"/>
    <n v="157"/>
    <n v="5"/>
    <n v="172"/>
    <x v="12"/>
    <x v="50"/>
    <x v="82"/>
    <x v="9"/>
    <x v="2"/>
    <s v=""/>
    <s v="Nao"/>
  </r>
  <r>
    <x v="652"/>
    <x v="4"/>
    <x v="4"/>
    <n v="2505"/>
    <x v="843"/>
    <n v="4.1099999999999998E-2"/>
    <n v="36.049999999999997"/>
    <n v="4"/>
    <n v="97"/>
    <n v="2"/>
    <n v="103"/>
    <x v="12"/>
    <x v="0"/>
    <x v="557"/>
    <x v="9"/>
    <x v="2"/>
    <s v=""/>
    <s v="Nao"/>
  </r>
  <r>
    <x v="652"/>
    <x v="7"/>
    <x v="7"/>
    <n v="2986"/>
    <x v="50"/>
    <n v="7.6700000000000004E-2"/>
    <n v="68.7"/>
    <n v="74"/>
    <n v="54"/>
    <n v="101"/>
    <n v="229"/>
    <x v="12"/>
    <x v="0"/>
    <x v="199"/>
    <x v="9"/>
    <x v="2"/>
    <s v=""/>
    <s v="Sim"/>
  </r>
  <r>
    <x v="653"/>
    <x v="9"/>
    <x v="9"/>
    <n v="2961"/>
    <x v="844"/>
    <n v="5.5399999999999998E-2"/>
    <n v="42.64"/>
    <n v="9"/>
    <n v="151"/>
    <n v="4"/>
    <n v="164"/>
    <x v="12"/>
    <x v="1"/>
    <x v="460"/>
    <x v="9"/>
    <x v="2"/>
    <s v=""/>
    <s v="Nao"/>
  </r>
  <r>
    <x v="653"/>
    <x v="0"/>
    <x v="0"/>
    <n v="2225"/>
    <x v="845"/>
    <n v="6.3399999999999998E-2"/>
    <n v="45.12"/>
    <n v="5"/>
    <n v="134"/>
    <n v="2"/>
    <n v="141"/>
    <x v="12"/>
    <x v="1"/>
    <x v="395"/>
    <x v="9"/>
    <x v="2"/>
    <s v=""/>
    <s v="Nao"/>
  </r>
  <r>
    <x v="654"/>
    <x v="6"/>
    <x v="6"/>
    <n v="2766"/>
    <x v="503"/>
    <n v="6.83E-2"/>
    <n v="66.150000000000006"/>
    <n v="10"/>
    <n v="175"/>
    <n v="4"/>
    <n v="189"/>
    <x v="12"/>
    <x v="2"/>
    <x v="647"/>
    <x v="9"/>
    <x v="2"/>
    <s v=""/>
    <s v="Nao"/>
  </r>
  <r>
    <x v="654"/>
    <x v="11"/>
    <x v="0"/>
    <n v="3464"/>
    <x v="358"/>
    <n v="4.99E-2"/>
    <n v="48.44"/>
    <n v="6"/>
    <n v="165"/>
    <n v="2"/>
    <n v="173"/>
    <x v="12"/>
    <x v="2"/>
    <x v="620"/>
    <x v="9"/>
    <x v="2"/>
    <s v=""/>
    <s v="Nao"/>
  </r>
  <r>
    <x v="655"/>
    <x v="14"/>
    <x v="12"/>
    <n v="1945"/>
    <x v="846"/>
    <n v="7.5600000000000001E-2"/>
    <n v="44.1"/>
    <n v="44"/>
    <n v="100"/>
    <n v="3"/>
    <n v="147"/>
    <x v="12"/>
    <x v="3"/>
    <x v="596"/>
    <x v="9"/>
    <x v="2"/>
    <s v=""/>
    <s v="Nao"/>
  </r>
  <r>
    <x v="656"/>
    <x v="0"/>
    <x v="0"/>
    <n v="4086"/>
    <x v="847"/>
    <n v="5.0200000000000002E-2"/>
    <n v="65.599999999999994"/>
    <n v="13"/>
    <n v="187"/>
    <n v="5"/>
    <n v="205"/>
    <x v="12"/>
    <x v="4"/>
    <x v="296"/>
    <x v="9"/>
    <x v="2"/>
    <s v=""/>
    <s v="Nao"/>
  </r>
  <r>
    <x v="657"/>
    <x v="11"/>
    <x v="0"/>
    <n v="1991"/>
    <x v="44"/>
    <n v="4.1700000000000001E-2"/>
    <n v="23.24"/>
    <n v="5"/>
    <n v="77"/>
    <n v="1"/>
    <n v="83"/>
    <x v="12"/>
    <x v="5"/>
    <x v="648"/>
    <x v="9"/>
    <x v="2"/>
    <s v=""/>
    <s v="Nao"/>
  </r>
  <r>
    <x v="657"/>
    <x v="11"/>
    <x v="0"/>
    <n v="2597"/>
    <x v="86"/>
    <n v="5.0099999999999999E-2"/>
    <n v="36.4"/>
    <n v="37"/>
    <n v="34"/>
    <n v="59"/>
    <n v="130"/>
    <x v="12"/>
    <x v="5"/>
    <x v="554"/>
    <x v="9"/>
    <x v="2"/>
    <s v=""/>
    <s v="Sim"/>
  </r>
  <r>
    <x v="658"/>
    <x v="5"/>
    <x v="5"/>
    <n v="3796"/>
    <x v="848"/>
    <n v="5.9499999999999997E-2"/>
    <n v="76.84"/>
    <n v="98"/>
    <n v="35"/>
    <n v="93"/>
    <n v="226"/>
    <x v="12"/>
    <x v="6"/>
    <x v="649"/>
    <x v="9"/>
    <x v="2"/>
    <s v=""/>
    <s v="Sim"/>
  </r>
  <r>
    <x v="658"/>
    <x v="11"/>
    <x v="0"/>
    <n v="3290"/>
    <x v="849"/>
    <n v="5.8400000000000001E-2"/>
    <n v="53.76"/>
    <n v="5"/>
    <n v="182"/>
    <n v="5"/>
    <n v="192"/>
    <x v="12"/>
    <x v="6"/>
    <x v="57"/>
    <x v="9"/>
    <x v="2"/>
    <s v=""/>
    <s v="Nao"/>
  </r>
  <r>
    <x v="659"/>
    <x v="13"/>
    <x v="9"/>
    <n v="3818"/>
    <x v="850"/>
    <n v="9.0399999999999994E-2"/>
    <n v="103.5"/>
    <n v="19"/>
    <n v="319"/>
    <n v="7"/>
    <n v="345"/>
    <x v="12"/>
    <x v="7"/>
    <x v="397"/>
    <x v="9"/>
    <x v="2"/>
    <s v=""/>
    <s v="Nao"/>
  </r>
  <r>
    <x v="659"/>
    <x v="8"/>
    <x v="8"/>
    <n v="2894"/>
    <x v="851"/>
    <n v="8.9099999999999999E-2"/>
    <n v="82.56"/>
    <n v="29"/>
    <n v="226"/>
    <n v="3"/>
    <n v="258"/>
    <x v="12"/>
    <x v="7"/>
    <x v="362"/>
    <x v="9"/>
    <x v="2"/>
    <s v=""/>
    <s v="Nao"/>
  </r>
  <r>
    <x v="660"/>
    <x v="10"/>
    <x v="10"/>
    <n v="2381"/>
    <x v="852"/>
    <n v="7.9799999999999996E-2"/>
    <n v="60.8"/>
    <n v="28"/>
    <n v="158"/>
    <n v="4"/>
    <n v="190"/>
    <x v="12"/>
    <x v="8"/>
    <x v="549"/>
    <x v="9"/>
    <x v="2"/>
    <s v=""/>
    <s v="Nao"/>
  </r>
  <r>
    <x v="660"/>
    <x v="3"/>
    <x v="3"/>
    <n v="1813"/>
    <x v="853"/>
    <n v="9.6000000000000002E-2"/>
    <n v="48.72"/>
    <n v="9"/>
    <n v="161"/>
    <n v="4"/>
    <n v="174"/>
    <x v="12"/>
    <x v="8"/>
    <x v="61"/>
    <x v="9"/>
    <x v="2"/>
    <s v=""/>
    <s v="Nao"/>
  </r>
  <r>
    <x v="661"/>
    <x v="14"/>
    <x v="12"/>
    <n v="2515"/>
    <x v="854"/>
    <n v="7.7499999999999999E-2"/>
    <n v="58.5"/>
    <n v="43"/>
    <n v="146"/>
    <n v="6"/>
    <n v="195"/>
    <x v="12"/>
    <x v="9"/>
    <x v="569"/>
    <x v="9"/>
    <x v="2"/>
    <s v=""/>
    <s v="Nao"/>
  </r>
  <r>
    <x v="661"/>
    <x v="5"/>
    <x v="5"/>
    <n v="2649"/>
    <x v="298"/>
    <n v="5.1299999999999998E-2"/>
    <n v="46.24"/>
    <n v="5"/>
    <n v="128"/>
    <n v="3"/>
    <n v="136"/>
    <x v="12"/>
    <x v="9"/>
    <x v="69"/>
    <x v="9"/>
    <x v="2"/>
    <s v=""/>
    <s v="Nao"/>
  </r>
  <r>
    <x v="662"/>
    <x v="9"/>
    <x v="9"/>
    <n v="3952"/>
    <x v="778"/>
    <n v="7.6399999999999996E-2"/>
    <n v="78.52"/>
    <n v="8"/>
    <n v="288"/>
    <n v="6"/>
    <n v="302"/>
    <x v="12"/>
    <x v="10"/>
    <x v="650"/>
    <x v="9"/>
    <x v="2"/>
    <s v=""/>
    <s v="Nao"/>
  </r>
  <r>
    <x v="663"/>
    <x v="3"/>
    <x v="3"/>
    <n v="3675"/>
    <x v="855"/>
    <n v="5.8200000000000002E-2"/>
    <n v="59.92"/>
    <n v="10"/>
    <n v="198"/>
    <n v="6"/>
    <n v="214"/>
    <x v="12"/>
    <x v="11"/>
    <x v="176"/>
    <x v="9"/>
    <x v="2"/>
    <s v=""/>
    <s v="Nao"/>
  </r>
  <r>
    <x v="663"/>
    <x v="5"/>
    <x v="5"/>
    <n v="2418"/>
    <x v="856"/>
    <n v="5.4600000000000003E-2"/>
    <n v="44.88"/>
    <n v="8"/>
    <n v="121"/>
    <n v="3"/>
    <n v="132"/>
    <x v="12"/>
    <x v="11"/>
    <x v="600"/>
    <x v="9"/>
    <x v="2"/>
    <s v=""/>
    <s v="Nao"/>
  </r>
  <r>
    <x v="664"/>
    <x v="7"/>
    <x v="7"/>
    <n v="4164"/>
    <x v="857"/>
    <n v="8.9099999999999999E-2"/>
    <n v="111.3"/>
    <n v="89"/>
    <n v="275"/>
    <n v="7"/>
    <n v="371"/>
    <x v="12"/>
    <x v="12"/>
    <x v="626"/>
    <x v="9"/>
    <x v="2"/>
    <s v=""/>
    <s v="Nao"/>
  </r>
  <r>
    <x v="664"/>
    <x v="12"/>
    <x v="11"/>
    <n v="3736"/>
    <x v="858"/>
    <n v="8.4599999999999995E-2"/>
    <n v="101.12"/>
    <n v="44"/>
    <n v="266"/>
    <n v="6"/>
    <n v="316"/>
    <x v="12"/>
    <x v="12"/>
    <x v="419"/>
    <x v="9"/>
    <x v="2"/>
    <s v=""/>
    <s v="Nao"/>
  </r>
  <r>
    <x v="665"/>
    <x v="9"/>
    <x v="9"/>
    <n v="2877"/>
    <x v="787"/>
    <n v="7.7899999999999997E-2"/>
    <n v="58.24"/>
    <n v="5"/>
    <n v="213"/>
    <n v="6"/>
    <n v="224"/>
    <x v="12"/>
    <x v="13"/>
    <x v="103"/>
    <x v="9"/>
    <x v="2"/>
    <s v=""/>
    <s v="Nao"/>
  </r>
  <r>
    <x v="666"/>
    <x v="14"/>
    <x v="12"/>
    <n v="3577"/>
    <x v="36"/>
    <n v="8.3599999999999994E-2"/>
    <n v="89.7"/>
    <n v="62"/>
    <n v="232"/>
    <n v="5"/>
    <n v="299"/>
    <x v="12"/>
    <x v="14"/>
    <x v="651"/>
    <x v="9"/>
    <x v="2"/>
    <s v=""/>
    <s v="Nao"/>
  </r>
  <r>
    <x v="666"/>
    <x v="10"/>
    <x v="10"/>
    <n v="3848"/>
    <x v="620"/>
    <n v="9.6199999999999994E-2"/>
    <n v="118.4"/>
    <n v="43"/>
    <n v="317"/>
    <n v="10"/>
    <n v="370"/>
    <x v="12"/>
    <x v="14"/>
    <x v="320"/>
    <x v="9"/>
    <x v="2"/>
    <s v=""/>
    <s v="Nao"/>
  </r>
  <r>
    <x v="667"/>
    <x v="1"/>
    <x v="1"/>
    <n v="3994"/>
    <x v="859"/>
    <n v="7.3599999999999999E-2"/>
    <n v="94.08"/>
    <n v="13"/>
    <n v="277"/>
    <n v="4"/>
    <n v="294"/>
    <x v="12"/>
    <x v="15"/>
    <x v="652"/>
    <x v="9"/>
    <x v="2"/>
    <s v=""/>
    <s v="Nao"/>
  </r>
  <r>
    <x v="667"/>
    <x v="9"/>
    <x v="9"/>
    <n v="3739"/>
    <x v="860"/>
    <n v="6.4699999999999994E-2"/>
    <n v="62.92"/>
    <n v="17"/>
    <n v="221"/>
    <n v="4"/>
    <n v="242"/>
    <x v="12"/>
    <x v="15"/>
    <x v="402"/>
    <x v="9"/>
    <x v="2"/>
    <s v=""/>
    <s v="Nao"/>
  </r>
  <r>
    <x v="668"/>
    <x v="11"/>
    <x v="0"/>
    <n v="4122"/>
    <x v="861"/>
    <n v="3.9100000000000003E-2"/>
    <n v="45.08"/>
    <n v="11"/>
    <n v="147"/>
    <n v="3"/>
    <n v="161"/>
    <x v="12"/>
    <x v="16"/>
    <x v="343"/>
    <x v="9"/>
    <x v="2"/>
    <s v=""/>
    <s v="Nao"/>
  </r>
  <r>
    <x v="668"/>
    <x v="12"/>
    <x v="11"/>
    <n v="2898"/>
    <x v="787"/>
    <n v="8.4500000000000006E-2"/>
    <n v="78.400000000000006"/>
    <n v="36"/>
    <n v="206"/>
    <n v="3"/>
    <n v="245"/>
    <x v="12"/>
    <x v="16"/>
    <x v="198"/>
    <x v="9"/>
    <x v="2"/>
    <s v=""/>
    <s v="Nao"/>
  </r>
  <r>
    <x v="669"/>
    <x v="6"/>
    <x v="6"/>
    <n v="2870"/>
    <x v="862"/>
    <n v="7.0699999999999999E-2"/>
    <n v="71.05"/>
    <n v="12"/>
    <n v="187"/>
    <n v="4"/>
    <n v="203"/>
    <x v="12"/>
    <x v="17"/>
    <x v="107"/>
    <x v="9"/>
    <x v="2"/>
    <s v=""/>
    <s v="Nao"/>
  </r>
  <r>
    <x v="669"/>
    <x v="10"/>
    <x v="10"/>
    <n v="3412"/>
    <x v="863"/>
    <n v="8.3199999999999996E-2"/>
    <n v="90.88"/>
    <n v="29"/>
    <n v="247"/>
    <n v="8"/>
    <n v="284"/>
    <x v="12"/>
    <x v="17"/>
    <x v="19"/>
    <x v="9"/>
    <x v="2"/>
    <s v=""/>
    <s v="Nao"/>
  </r>
  <r>
    <x v="670"/>
    <x v="1"/>
    <x v="1"/>
    <n v="3053"/>
    <x v="864"/>
    <n v="7.7600000000000002E-2"/>
    <n v="75.84"/>
    <n v="8"/>
    <n v="225"/>
    <n v="4"/>
    <n v="237"/>
    <x v="12"/>
    <x v="18"/>
    <x v="523"/>
    <x v="10"/>
    <x v="2"/>
    <s v=""/>
    <s v="Nao"/>
  </r>
  <r>
    <x v="670"/>
    <x v="8"/>
    <x v="8"/>
    <n v="3528"/>
    <x v="865"/>
    <n v="9.6100000000000005E-2"/>
    <n v="108.48"/>
    <n v="49"/>
    <n v="280"/>
    <n v="10"/>
    <n v="339"/>
    <x v="12"/>
    <x v="18"/>
    <x v="327"/>
    <x v="10"/>
    <x v="2"/>
    <s v=""/>
    <s v="Nao"/>
  </r>
  <r>
    <x v="671"/>
    <x v="5"/>
    <x v="5"/>
    <n v="2249"/>
    <x v="866"/>
    <n v="0.06"/>
    <n v="45.9"/>
    <n v="6"/>
    <n v="126"/>
    <n v="3"/>
    <n v="135"/>
    <x v="12"/>
    <x v="19"/>
    <x v="542"/>
    <x v="10"/>
    <x v="2"/>
    <s v=""/>
    <s v="Nao"/>
  </r>
  <r>
    <x v="672"/>
    <x v="0"/>
    <x v="0"/>
    <n v="3649"/>
    <x v="66"/>
    <n v="7.2900000000000006E-2"/>
    <n v="85.12"/>
    <n v="12"/>
    <n v="248"/>
    <n v="6"/>
    <n v="266"/>
    <x v="12"/>
    <x v="20"/>
    <x v="136"/>
    <x v="10"/>
    <x v="2"/>
    <s v=""/>
    <s v="Nao"/>
  </r>
  <r>
    <x v="672"/>
    <x v="4"/>
    <x v="4"/>
    <n v="2959"/>
    <x v="867"/>
    <n v="6.8900000000000003E-2"/>
    <n v="71.400000000000006"/>
    <n v="14"/>
    <n v="188"/>
    <n v="2"/>
    <n v="204"/>
    <x v="12"/>
    <x v="20"/>
    <x v="348"/>
    <x v="10"/>
    <x v="2"/>
    <s v=""/>
    <s v="Nao"/>
  </r>
  <r>
    <x v="673"/>
    <x v="11"/>
    <x v="0"/>
    <n v="3477"/>
    <x v="447"/>
    <n v="6.4399999999999999E-2"/>
    <n v="62.72"/>
    <n v="6"/>
    <n v="215"/>
    <n v="3"/>
    <n v="224"/>
    <x v="12"/>
    <x v="21"/>
    <x v="63"/>
    <x v="10"/>
    <x v="2"/>
    <s v=""/>
    <s v="Nao"/>
  </r>
  <r>
    <x v="674"/>
    <x v="13"/>
    <x v="9"/>
    <n v="2514"/>
    <x v="868"/>
    <n v="0.1026"/>
    <n v="77.400000000000006"/>
    <n v="10"/>
    <n v="243"/>
    <n v="5"/>
    <n v="258"/>
    <x v="12"/>
    <x v="22"/>
    <x v="562"/>
    <x v="10"/>
    <x v="2"/>
    <s v=""/>
    <s v="Nao"/>
  </r>
  <r>
    <x v="675"/>
    <x v="0"/>
    <x v="0"/>
    <n v="2359"/>
    <x v="869"/>
    <n v="9.3700000000000006E-2"/>
    <n v="70.72"/>
    <n v="84"/>
    <n v="37"/>
    <n v="100"/>
    <n v="221"/>
    <x v="12"/>
    <x v="23"/>
    <x v="653"/>
    <x v="10"/>
    <x v="2"/>
    <s v=""/>
    <s v="Sim"/>
  </r>
  <r>
    <x v="676"/>
    <x v="3"/>
    <x v="3"/>
    <n v="1905"/>
    <x v="870"/>
    <n v="9.7100000000000006E-2"/>
    <n v="51.8"/>
    <n v="11"/>
    <n v="172"/>
    <n v="2"/>
    <n v="185"/>
    <x v="12"/>
    <x v="24"/>
    <x v="654"/>
    <x v="10"/>
    <x v="2"/>
    <s v=""/>
    <s v="Nao"/>
  </r>
  <r>
    <x v="676"/>
    <x v="7"/>
    <x v="7"/>
    <n v="3265"/>
    <x v="871"/>
    <n v="6.5799999999999997E-2"/>
    <n v="64.5"/>
    <n v="48"/>
    <n v="161"/>
    <n v="6"/>
    <n v="215"/>
    <x v="12"/>
    <x v="24"/>
    <x v="20"/>
    <x v="10"/>
    <x v="2"/>
    <s v=""/>
    <s v="Nao"/>
  </r>
  <r>
    <x v="677"/>
    <x v="9"/>
    <x v="9"/>
    <n v="4199"/>
    <x v="872"/>
    <n v="9.7900000000000001E-2"/>
    <n v="106.86"/>
    <n v="14"/>
    <n v="392"/>
    <n v="5"/>
    <n v="411"/>
    <x v="12"/>
    <x v="25"/>
    <x v="655"/>
    <x v="10"/>
    <x v="2"/>
    <s v=""/>
    <s v="Nao"/>
  </r>
  <r>
    <x v="677"/>
    <x v="0"/>
    <x v="0"/>
    <n v="2562"/>
    <x v="873"/>
    <n v="7.85E-2"/>
    <n v="64.319999999999993"/>
    <n v="7"/>
    <n v="188"/>
    <n v="6"/>
    <n v="201"/>
    <x v="12"/>
    <x v="25"/>
    <x v="656"/>
    <x v="10"/>
    <x v="2"/>
    <s v=""/>
    <s v="Nao"/>
  </r>
  <r>
    <x v="678"/>
    <x v="12"/>
    <x v="11"/>
    <n v="2812"/>
    <x v="874"/>
    <n v="9.7100000000000006E-2"/>
    <n v="87.36"/>
    <n v="29"/>
    <n v="238"/>
    <n v="6"/>
    <n v="273"/>
    <x v="12"/>
    <x v="26"/>
    <x v="657"/>
    <x v="10"/>
    <x v="2"/>
    <s v=""/>
    <s v="Nao"/>
  </r>
  <r>
    <x v="678"/>
    <x v="14"/>
    <x v="12"/>
    <n v="3112"/>
    <x v="875"/>
    <n v="8.48E-2"/>
    <n v="79.2"/>
    <n v="81"/>
    <n v="174"/>
    <n v="9"/>
    <n v="264"/>
    <x v="12"/>
    <x v="26"/>
    <x v="658"/>
    <x v="10"/>
    <x v="2"/>
    <s v=""/>
    <s v="Nao"/>
  </r>
  <r>
    <x v="679"/>
    <x v="13"/>
    <x v="9"/>
    <n v="2545"/>
    <x v="249"/>
    <n v="0.1053"/>
    <n v="80.400000000000006"/>
    <n v="18"/>
    <n v="245"/>
    <n v="5"/>
    <n v="268"/>
    <x v="12"/>
    <x v="27"/>
    <x v="659"/>
    <x v="10"/>
    <x v="2"/>
    <s v=""/>
    <s v="Nao"/>
  </r>
  <r>
    <x v="679"/>
    <x v="14"/>
    <x v="12"/>
    <n v="2739"/>
    <x v="876"/>
    <n v="0.1037"/>
    <n v="85.2"/>
    <n v="82"/>
    <n v="199"/>
    <n v="3"/>
    <n v="284"/>
    <x v="12"/>
    <x v="27"/>
    <x v="660"/>
    <x v="10"/>
    <x v="2"/>
    <s v=""/>
    <s v="Nao"/>
  </r>
  <r>
    <x v="680"/>
    <x v="9"/>
    <x v="9"/>
    <n v="1832"/>
    <x v="877"/>
    <n v="8.4599999999999995E-2"/>
    <n v="40.299999999999997"/>
    <n v="3"/>
    <n v="148"/>
    <n v="4"/>
    <n v="155"/>
    <x v="12"/>
    <x v="28"/>
    <x v="661"/>
    <x v="10"/>
    <x v="2"/>
    <s v=""/>
    <s v="Nao"/>
  </r>
  <r>
    <x v="681"/>
    <x v="6"/>
    <x v="6"/>
    <n v="1860"/>
    <x v="878"/>
    <n v="6.6699999999999995E-2"/>
    <n v="43.4"/>
    <n v="37"/>
    <n v="14"/>
    <n v="73"/>
    <n v="124"/>
    <x v="12"/>
    <x v="29"/>
    <x v="662"/>
    <x v="10"/>
    <x v="2"/>
    <s v=""/>
    <s v="Sim"/>
  </r>
  <r>
    <x v="682"/>
    <x v="14"/>
    <x v="12"/>
    <n v="2109"/>
    <x v="144"/>
    <n v="8.9599999999999999E-2"/>
    <n v="56.7"/>
    <n v="49"/>
    <n v="134"/>
    <n v="6"/>
    <n v="189"/>
    <x v="12"/>
    <x v="30"/>
    <x v="549"/>
    <x v="10"/>
    <x v="2"/>
    <n v="45"/>
    <s v="Nao"/>
  </r>
  <r>
    <x v="683"/>
    <x v="11"/>
    <x v="0"/>
    <n v="3310"/>
    <x v="879"/>
    <n v="3.0800000000000001E-2"/>
    <n v="28.56"/>
    <n v="2"/>
    <n v="97"/>
    <n v="3"/>
    <n v="102"/>
    <x v="13"/>
    <x v="36"/>
    <x v="55"/>
    <x v="10"/>
    <x v="2"/>
    <s v=""/>
    <s v="Nao"/>
  </r>
  <r>
    <x v="683"/>
    <x v="8"/>
    <x v="8"/>
    <n v="2175"/>
    <x v="880"/>
    <n v="7.6300000000000007E-2"/>
    <n v="53.12"/>
    <n v="19"/>
    <n v="145"/>
    <n v="2"/>
    <n v="166"/>
    <x v="13"/>
    <x v="36"/>
    <x v="663"/>
    <x v="10"/>
    <x v="2"/>
    <s v=""/>
    <s v="Nao"/>
  </r>
  <r>
    <x v="684"/>
    <x v="9"/>
    <x v="9"/>
    <n v="3756"/>
    <x v="881"/>
    <n v="6.1199999999999997E-2"/>
    <n v="59.8"/>
    <n v="13"/>
    <n v="212"/>
    <n v="5"/>
    <n v="230"/>
    <x v="13"/>
    <x v="37"/>
    <x v="664"/>
    <x v="10"/>
    <x v="2"/>
    <s v=""/>
    <s v="Nao"/>
  </r>
  <r>
    <x v="685"/>
    <x v="8"/>
    <x v="8"/>
    <n v="1812"/>
    <x v="882"/>
    <n v="7.0599999999999996E-2"/>
    <n v="40.96"/>
    <n v="14"/>
    <n v="111"/>
    <n v="3"/>
    <n v="128"/>
    <x v="13"/>
    <x v="38"/>
    <x v="66"/>
    <x v="10"/>
    <x v="2"/>
    <s v=""/>
    <s v="Nao"/>
  </r>
  <r>
    <x v="685"/>
    <x v="14"/>
    <x v="12"/>
    <n v="3014"/>
    <x v="883"/>
    <n v="5.91E-2"/>
    <n v="53.4"/>
    <n v="34"/>
    <n v="138"/>
    <n v="6"/>
    <n v="178"/>
    <x v="13"/>
    <x v="38"/>
    <x v="70"/>
    <x v="10"/>
    <x v="2"/>
    <s v=""/>
    <s v="Nao"/>
  </r>
  <r>
    <x v="686"/>
    <x v="4"/>
    <x v="4"/>
    <n v="3578"/>
    <x v="884"/>
    <n v="5.2299999999999999E-2"/>
    <n v="65.45"/>
    <n v="10"/>
    <n v="173"/>
    <n v="4"/>
    <n v="187"/>
    <x v="13"/>
    <x v="39"/>
    <x v="39"/>
    <x v="10"/>
    <x v="2"/>
    <s v=""/>
    <s v="Nao"/>
  </r>
  <r>
    <x v="686"/>
    <x v="8"/>
    <x v="8"/>
    <n v="3188"/>
    <x v="885"/>
    <n v="8.9700000000000002E-2"/>
    <n v="91.52"/>
    <n v="32"/>
    <n v="248"/>
    <n v="6"/>
    <n v="286"/>
    <x v="13"/>
    <x v="39"/>
    <x v="665"/>
    <x v="10"/>
    <x v="2"/>
    <s v=""/>
    <s v="Nao"/>
  </r>
  <r>
    <x v="687"/>
    <x v="10"/>
    <x v="10"/>
    <n v="3228"/>
    <x v="886"/>
    <n v="6.6299999999999998E-2"/>
    <n v="68.48"/>
    <n v="27"/>
    <n v="184"/>
    <n v="3"/>
    <n v="214"/>
    <x v="13"/>
    <x v="40"/>
    <x v="235"/>
    <x v="10"/>
    <x v="2"/>
    <s v=""/>
    <s v="Nao"/>
  </r>
  <r>
    <x v="687"/>
    <x v="0"/>
    <x v="0"/>
    <n v="2912"/>
    <x v="589"/>
    <n v="5.5599999999999997E-2"/>
    <n v="51.84"/>
    <n v="10"/>
    <n v="149"/>
    <n v="3"/>
    <n v="162"/>
    <x v="13"/>
    <x v="40"/>
    <x v="666"/>
    <x v="10"/>
    <x v="2"/>
    <s v=""/>
    <s v="Nao"/>
  </r>
  <r>
    <x v="688"/>
    <x v="8"/>
    <x v="8"/>
    <n v="1946"/>
    <x v="887"/>
    <n v="8.5800000000000001E-2"/>
    <n v="53.44"/>
    <n v="19"/>
    <n v="146"/>
    <n v="2"/>
    <n v="167"/>
    <x v="13"/>
    <x v="41"/>
    <x v="91"/>
    <x v="10"/>
    <x v="2"/>
    <s v=""/>
    <s v="Nao"/>
  </r>
  <r>
    <x v="688"/>
    <x v="11"/>
    <x v="0"/>
    <n v="3209"/>
    <x v="888"/>
    <n v="4.2999999999999997E-2"/>
    <n v="38.64"/>
    <n v="3"/>
    <n v="132"/>
    <n v="3"/>
    <n v="138"/>
    <x v="13"/>
    <x v="41"/>
    <x v="230"/>
    <x v="10"/>
    <x v="2"/>
    <s v=""/>
    <s v="Nao"/>
  </r>
  <r>
    <x v="689"/>
    <x v="0"/>
    <x v="0"/>
    <n v="3044"/>
    <x v="889"/>
    <n v="4.4299999999999999E-2"/>
    <n v="43.2"/>
    <n v="7"/>
    <n v="127"/>
    <n v="1"/>
    <n v="135"/>
    <x v="13"/>
    <x v="42"/>
    <x v="447"/>
    <x v="10"/>
    <x v="2"/>
    <s v=""/>
    <s v="Nao"/>
  </r>
  <r>
    <x v="689"/>
    <x v="1"/>
    <x v="1"/>
    <n v="3106"/>
    <x v="890"/>
    <n v="5.5399999999999998E-2"/>
    <n v="55.04"/>
    <n v="77"/>
    <n v="34"/>
    <n v="61"/>
    <n v="172"/>
    <x v="13"/>
    <x v="42"/>
    <x v="352"/>
    <x v="10"/>
    <x v="2"/>
    <s v=""/>
    <s v="Sim"/>
  </r>
  <r>
    <x v="690"/>
    <x v="5"/>
    <x v="5"/>
    <n v="3144"/>
    <x v="360"/>
    <n v="5.6000000000000001E-2"/>
    <n v="59.84"/>
    <n v="3"/>
    <n v="168"/>
    <n v="5"/>
    <n v="176"/>
    <x v="13"/>
    <x v="43"/>
    <x v="20"/>
    <x v="10"/>
    <x v="2"/>
    <s v=""/>
    <s v="Nao"/>
  </r>
  <r>
    <x v="691"/>
    <x v="6"/>
    <x v="6"/>
    <n v="3015"/>
    <x v="670"/>
    <n v="4.48E-2"/>
    <n v="47.25"/>
    <n v="7"/>
    <n v="127"/>
    <n v="1"/>
    <n v="135"/>
    <x v="13"/>
    <x v="44"/>
    <x v="211"/>
    <x v="10"/>
    <x v="2"/>
    <s v=""/>
    <s v="Nao"/>
  </r>
  <r>
    <x v="691"/>
    <x v="4"/>
    <x v="4"/>
    <n v="1810"/>
    <x v="526"/>
    <n v="6.3500000000000001E-2"/>
    <n v="40.25"/>
    <n v="8"/>
    <n v="106"/>
    <n v="1"/>
    <n v="115"/>
    <x v="13"/>
    <x v="44"/>
    <x v="667"/>
    <x v="10"/>
    <x v="2"/>
    <s v=""/>
    <s v="Nao"/>
  </r>
  <r>
    <x v="692"/>
    <x v="9"/>
    <x v="9"/>
    <n v="3174"/>
    <x v="891"/>
    <n v="7.1800000000000003E-2"/>
    <n v="59.28"/>
    <n v="17"/>
    <n v="208"/>
    <n v="3"/>
    <n v="228"/>
    <x v="13"/>
    <x v="45"/>
    <x v="227"/>
    <x v="10"/>
    <x v="2"/>
    <s v=""/>
    <s v="Nao"/>
  </r>
  <r>
    <x v="693"/>
    <x v="4"/>
    <x v="4"/>
    <n v="2003"/>
    <x v="235"/>
    <n v="3.3000000000000002E-2"/>
    <n v="23.1"/>
    <n v="2"/>
    <n v="63"/>
    <n v="1"/>
    <n v="66"/>
    <x v="13"/>
    <x v="46"/>
    <x v="446"/>
    <x v="10"/>
    <x v="2"/>
    <s v=""/>
    <s v="Nao"/>
  </r>
  <r>
    <x v="693"/>
    <x v="9"/>
    <x v="9"/>
    <n v="2854"/>
    <x v="892"/>
    <n v="8.2299999999999998E-2"/>
    <n v="61.1"/>
    <n v="4"/>
    <n v="225"/>
    <n v="6"/>
    <n v="235"/>
    <x v="13"/>
    <x v="46"/>
    <x v="3"/>
    <x v="10"/>
    <x v="2"/>
    <s v=""/>
    <s v="Nao"/>
  </r>
  <r>
    <x v="694"/>
    <x v="7"/>
    <x v="7"/>
    <n v="3577"/>
    <x v="893"/>
    <n v="6.0400000000000002E-2"/>
    <n v="64.8"/>
    <n v="44"/>
    <n v="165"/>
    <n v="7"/>
    <n v="216"/>
    <x v="13"/>
    <x v="47"/>
    <x v="482"/>
    <x v="10"/>
    <x v="2"/>
    <s v=""/>
    <s v="Nao"/>
  </r>
  <r>
    <x v="695"/>
    <x v="13"/>
    <x v="9"/>
    <n v="2673"/>
    <x v="894"/>
    <n v="6.3600000000000004E-2"/>
    <n v="51"/>
    <n v="7"/>
    <n v="159"/>
    <n v="4"/>
    <n v="170"/>
    <x v="13"/>
    <x v="48"/>
    <x v="299"/>
    <x v="10"/>
    <x v="2"/>
    <s v=""/>
    <s v="Nao"/>
  </r>
  <r>
    <x v="696"/>
    <x v="3"/>
    <x v="3"/>
    <n v="3045"/>
    <x v="129"/>
    <n v="6.7299999999999999E-2"/>
    <n v="57.4"/>
    <n v="14"/>
    <n v="187"/>
    <n v="4"/>
    <n v="205"/>
    <x v="13"/>
    <x v="49"/>
    <x v="568"/>
    <x v="10"/>
    <x v="2"/>
    <s v=""/>
    <s v="Nao"/>
  </r>
  <r>
    <x v="696"/>
    <x v="1"/>
    <x v="1"/>
    <n v="2638"/>
    <x v="895"/>
    <n v="6.1800000000000001E-2"/>
    <n v="52.16"/>
    <n v="6"/>
    <n v="155"/>
    <n v="2"/>
    <n v="163"/>
    <x v="13"/>
    <x v="49"/>
    <x v="632"/>
    <x v="10"/>
    <x v="2"/>
    <s v=""/>
    <s v="Nao"/>
  </r>
  <r>
    <x v="697"/>
    <x v="5"/>
    <x v="5"/>
    <n v="3600"/>
    <x v="311"/>
    <n v="6.2199999999999998E-2"/>
    <n v="76.16"/>
    <n v="6"/>
    <n v="212"/>
    <n v="6"/>
    <n v="224"/>
    <x v="13"/>
    <x v="50"/>
    <x v="107"/>
    <x v="10"/>
    <x v="2"/>
    <s v=""/>
    <s v="Nao"/>
  </r>
  <r>
    <x v="697"/>
    <x v="7"/>
    <x v="7"/>
    <n v="3655"/>
    <x v="168"/>
    <n v="5.8799999999999998E-2"/>
    <n v="64.5"/>
    <n v="57"/>
    <n v="150"/>
    <n v="8"/>
    <n v="215"/>
    <x v="13"/>
    <x v="50"/>
    <x v="20"/>
    <x v="10"/>
    <x v="2"/>
    <s v=""/>
    <s v="Nao"/>
  </r>
  <r>
    <x v="698"/>
    <x v="2"/>
    <x v="2"/>
    <n v="2152"/>
    <x v="896"/>
    <n v="6.3200000000000006E-2"/>
    <n v="43.52"/>
    <n v="6"/>
    <n v="128"/>
    <n v="2"/>
    <n v="136"/>
    <x v="13"/>
    <x v="0"/>
    <x v="83"/>
    <x v="10"/>
    <x v="2"/>
    <s v=""/>
    <s v="Nao"/>
  </r>
  <r>
    <x v="698"/>
    <x v="2"/>
    <x v="2"/>
    <n v="1917"/>
    <x v="644"/>
    <n v="6.5699999999999995E-2"/>
    <n v="40.32"/>
    <n v="6"/>
    <n v="117"/>
    <n v="3"/>
    <n v="126"/>
    <x v="13"/>
    <x v="0"/>
    <x v="668"/>
    <x v="10"/>
    <x v="2"/>
    <s v=""/>
    <s v="Nao"/>
  </r>
  <r>
    <x v="699"/>
    <x v="9"/>
    <x v="9"/>
    <n v="2665"/>
    <x v="876"/>
    <n v="7.8799999999999995E-2"/>
    <n v="54.6"/>
    <n v="6"/>
    <n v="200"/>
    <n v="4"/>
    <n v="210"/>
    <x v="13"/>
    <x v="1"/>
    <x v="392"/>
    <x v="10"/>
    <x v="2"/>
    <s v=""/>
    <s v="Nao"/>
  </r>
  <r>
    <x v="700"/>
    <x v="12"/>
    <x v="11"/>
    <n v="3533"/>
    <x v="280"/>
    <n v="7.0999999999999994E-2"/>
    <n v="80.319999999999993"/>
    <n v="35"/>
    <n v="212"/>
    <n v="4"/>
    <n v="251"/>
    <x v="13"/>
    <x v="2"/>
    <x v="669"/>
    <x v="10"/>
    <x v="2"/>
    <s v=""/>
    <s v="Nao"/>
  </r>
  <r>
    <x v="700"/>
    <x v="2"/>
    <x v="2"/>
    <n v="3554"/>
    <x v="897"/>
    <n v="7.3400000000000007E-2"/>
    <n v="83.52"/>
    <n v="14"/>
    <n v="239"/>
    <n v="8"/>
    <n v="261"/>
    <x v="13"/>
    <x v="2"/>
    <x v="505"/>
    <x v="10"/>
    <x v="2"/>
    <s v=""/>
    <s v="Nao"/>
  </r>
  <r>
    <x v="701"/>
    <x v="1"/>
    <x v="1"/>
    <n v="2291"/>
    <x v="898"/>
    <n v="4.8500000000000001E-2"/>
    <n v="35.520000000000003"/>
    <n v="7"/>
    <n v="102"/>
    <n v="2"/>
    <n v="111"/>
    <x v="13"/>
    <x v="3"/>
    <x v="87"/>
    <x v="11"/>
    <x v="2"/>
    <s v=""/>
    <s v="Nao"/>
  </r>
  <r>
    <x v="701"/>
    <x v="9"/>
    <x v="9"/>
    <n v="4177"/>
    <x v="899"/>
    <n v="5.8400000000000001E-2"/>
    <n v="63.44"/>
    <n v="13"/>
    <n v="228"/>
    <n v="3"/>
    <n v="244"/>
    <x v="13"/>
    <x v="3"/>
    <x v="363"/>
    <x v="11"/>
    <x v="2"/>
    <s v=""/>
    <s v="Nao"/>
  </r>
  <r>
    <x v="702"/>
    <x v="14"/>
    <x v="12"/>
    <n v="2593"/>
    <x v="900"/>
    <n v="7.6700000000000004E-2"/>
    <n v="59.7"/>
    <n v="60"/>
    <n v="135"/>
    <n v="4"/>
    <n v="199"/>
    <x v="13"/>
    <x v="4"/>
    <x v="44"/>
    <x v="11"/>
    <x v="2"/>
    <s v=""/>
    <s v="Nao"/>
  </r>
  <r>
    <x v="703"/>
    <x v="13"/>
    <x v="9"/>
    <n v="3343"/>
    <x v="901"/>
    <n v="8.4699999999999998E-2"/>
    <n v="84.9"/>
    <n v="9"/>
    <n v="268"/>
    <n v="6"/>
    <n v="283"/>
    <x v="13"/>
    <x v="5"/>
    <x v="404"/>
    <x v="11"/>
    <x v="2"/>
    <s v=""/>
    <s v="Nao"/>
  </r>
  <r>
    <x v="704"/>
    <x v="14"/>
    <x v="12"/>
    <n v="3157"/>
    <x v="706"/>
    <n v="6.8099999999999994E-2"/>
    <n v="64.5"/>
    <n v="52"/>
    <n v="156"/>
    <n v="7"/>
    <n v="215"/>
    <x v="13"/>
    <x v="6"/>
    <x v="9"/>
    <x v="11"/>
    <x v="2"/>
    <s v=""/>
    <s v="Nao"/>
  </r>
  <r>
    <x v="704"/>
    <x v="9"/>
    <x v="9"/>
    <n v="3585"/>
    <x v="902"/>
    <n v="7.5300000000000006E-2"/>
    <n v="70.2"/>
    <n v="5"/>
    <n v="258"/>
    <n v="7"/>
    <n v="270"/>
    <x v="13"/>
    <x v="6"/>
    <x v="206"/>
    <x v="11"/>
    <x v="2"/>
    <s v=""/>
    <s v="Nao"/>
  </r>
  <r>
    <x v="705"/>
    <x v="14"/>
    <x v="12"/>
    <n v="2480"/>
    <x v="903"/>
    <n v="8.3099999999999993E-2"/>
    <n v="61.8"/>
    <n v="64"/>
    <n v="134"/>
    <n v="8"/>
    <n v="206"/>
    <x v="13"/>
    <x v="7"/>
    <x v="180"/>
    <x v="11"/>
    <x v="2"/>
    <s v=""/>
    <s v="Nao"/>
  </r>
  <r>
    <x v="706"/>
    <x v="0"/>
    <x v="0"/>
    <n v="2836"/>
    <x v="643"/>
    <n v="8.1100000000000005E-2"/>
    <n v="73.599999999999994"/>
    <n v="11"/>
    <n v="213"/>
    <n v="6"/>
    <n v="230"/>
    <x v="13"/>
    <x v="8"/>
    <x v="670"/>
    <x v="11"/>
    <x v="2"/>
    <s v=""/>
    <s v="Nao"/>
  </r>
  <r>
    <x v="706"/>
    <x v="4"/>
    <x v="4"/>
    <n v="3044"/>
    <x v="415"/>
    <n v="6.0100000000000001E-2"/>
    <n v="64.05"/>
    <n v="48"/>
    <n v="51"/>
    <n v="84"/>
    <n v="183"/>
    <x v="13"/>
    <x v="8"/>
    <x v="671"/>
    <x v="11"/>
    <x v="2"/>
    <s v=""/>
    <s v="Sim"/>
  </r>
  <r>
    <x v="707"/>
    <x v="13"/>
    <x v="9"/>
    <n v="3491"/>
    <x v="675"/>
    <n v="8.6199999999999999E-2"/>
    <n v="90.3"/>
    <n v="10"/>
    <n v="283"/>
    <n v="8"/>
    <n v="301"/>
    <x v="13"/>
    <x v="9"/>
    <x v="566"/>
    <x v="11"/>
    <x v="2"/>
    <s v=""/>
    <s v="Nao"/>
  </r>
  <r>
    <x v="707"/>
    <x v="3"/>
    <x v="3"/>
    <n v="3040"/>
    <x v="49"/>
    <n v="8.5900000000000004E-2"/>
    <n v="73.08"/>
    <n v="17"/>
    <n v="239"/>
    <n v="5"/>
    <n v="261"/>
    <x v="13"/>
    <x v="9"/>
    <x v="530"/>
    <x v="11"/>
    <x v="2"/>
    <s v=""/>
    <s v="Nao"/>
  </r>
  <r>
    <x v="708"/>
    <x v="14"/>
    <x v="12"/>
    <n v="1890"/>
    <x v="112"/>
    <n v="7.1400000000000005E-2"/>
    <n v="40.5"/>
    <n v="34"/>
    <n v="99"/>
    <n v="2"/>
    <n v="135"/>
    <x v="13"/>
    <x v="10"/>
    <x v="581"/>
    <x v="11"/>
    <x v="2"/>
    <s v=""/>
    <s v="Nao"/>
  </r>
  <r>
    <x v="709"/>
    <x v="8"/>
    <x v="8"/>
    <n v="3592"/>
    <x v="897"/>
    <n v="8.3199999999999996E-2"/>
    <n v="95.68"/>
    <n v="44"/>
    <n v="246"/>
    <n v="9"/>
    <n v="299"/>
    <x v="13"/>
    <x v="11"/>
    <x v="590"/>
    <x v="11"/>
    <x v="2"/>
    <s v=""/>
    <s v="Nao"/>
  </r>
  <r>
    <x v="710"/>
    <x v="8"/>
    <x v="8"/>
    <n v="1938"/>
    <x v="904"/>
    <n v="0.1135"/>
    <n v="70.400000000000006"/>
    <n v="30"/>
    <n v="186"/>
    <n v="4"/>
    <n v="220"/>
    <x v="13"/>
    <x v="12"/>
    <x v="406"/>
    <x v="11"/>
    <x v="2"/>
    <s v=""/>
    <s v="Nao"/>
  </r>
  <r>
    <x v="710"/>
    <x v="14"/>
    <x v="12"/>
    <n v="2367"/>
    <x v="905"/>
    <n v="7.2700000000000001E-2"/>
    <n v="51.6"/>
    <n v="42"/>
    <n v="126"/>
    <n v="4"/>
    <n v="172"/>
    <x v="13"/>
    <x v="12"/>
    <x v="672"/>
    <x v="11"/>
    <x v="2"/>
    <s v=""/>
    <s v="Nao"/>
  </r>
  <r>
    <x v="711"/>
    <x v="3"/>
    <x v="3"/>
    <n v="2603"/>
    <x v="642"/>
    <n v="7.8E-2"/>
    <n v="56.84"/>
    <n v="15"/>
    <n v="186"/>
    <n v="2"/>
    <n v="203"/>
    <x v="13"/>
    <x v="13"/>
    <x v="628"/>
    <x v="11"/>
    <x v="2"/>
    <s v=""/>
    <s v="Nao"/>
  </r>
  <r>
    <x v="711"/>
    <x v="3"/>
    <x v="3"/>
    <n v="2297"/>
    <x v="906"/>
    <n v="6.8400000000000002E-2"/>
    <n v="43.96"/>
    <n v="2"/>
    <n v="151"/>
    <n v="4"/>
    <n v="157"/>
    <x v="13"/>
    <x v="13"/>
    <x v="415"/>
    <x v="11"/>
    <x v="2"/>
    <s v=""/>
    <s v="Nao"/>
  </r>
  <r>
    <x v="712"/>
    <x v="5"/>
    <x v="5"/>
    <n v="3240"/>
    <x v="907"/>
    <n v="8.5199999999999998E-2"/>
    <n v="93.84"/>
    <n v="6"/>
    <n v="263"/>
    <n v="7"/>
    <n v="276"/>
    <x v="13"/>
    <x v="14"/>
    <x v="673"/>
    <x v="11"/>
    <x v="2"/>
    <s v=""/>
    <s v="Nao"/>
  </r>
  <r>
    <x v="713"/>
    <x v="11"/>
    <x v="0"/>
    <n v="1855"/>
    <x v="20"/>
    <n v="6.4699999999999994E-2"/>
    <n v="33.6"/>
    <n v="8"/>
    <n v="110"/>
    <n v="2"/>
    <n v="120"/>
    <x v="13"/>
    <x v="15"/>
    <x v="674"/>
    <x v="11"/>
    <x v="2"/>
    <s v=""/>
    <s v="Nao"/>
  </r>
  <r>
    <x v="713"/>
    <x v="3"/>
    <x v="3"/>
    <n v="3896"/>
    <x v="211"/>
    <n v="8.5500000000000007E-2"/>
    <n v="93.24"/>
    <n v="14"/>
    <n v="309"/>
    <n v="10"/>
    <n v="333"/>
    <x v="13"/>
    <x v="15"/>
    <x v="480"/>
    <x v="11"/>
    <x v="2"/>
    <s v=""/>
    <s v="Nao"/>
  </r>
  <r>
    <x v="714"/>
    <x v="11"/>
    <x v="0"/>
    <n v="3779"/>
    <x v="908"/>
    <n v="5.1900000000000002E-2"/>
    <n v="54.88"/>
    <n v="14"/>
    <n v="179"/>
    <n v="3"/>
    <n v="196"/>
    <x v="13"/>
    <x v="16"/>
    <x v="258"/>
    <x v="11"/>
    <x v="2"/>
    <s v=""/>
    <s v="Nao"/>
  </r>
  <r>
    <x v="714"/>
    <x v="12"/>
    <x v="11"/>
    <n v="3904"/>
    <x v="909"/>
    <n v="7.6300000000000007E-2"/>
    <n v="95.36"/>
    <n v="32"/>
    <n v="262"/>
    <n v="4"/>
    <n v="298"/>
    <x v="13"/>
    <x v="16"/>
    <x v="191"/>
    <x v="11"/>
    <x v="2"/>
    <s v=""/>
    <s v="Nao"/>
  </r>
  <r>
    <x v="715"/>
    <x v="11"/>
    <x v="0"/>
    <n v="2647"/>
    <x v="910"/>
    <n v="5.21E-2"/>
    <n v="38.64"/>
    <n v="4"/>
    <n v="132"/>
    <n v="2"/>
    <n v="138"/>
    <x v="13"/>
    <x v="17"/>
    <x v="230"/>
    <x v="11"/>
    <x v="2"/>
    <s v=""/>
    <s v="Nao"/>
  </r>
  <r>
    <x v="715"/>
    <x v="0"/>
    <x v="0"/>
    <n v="2400"/>
    <x v="911"/>
    <n v="7.1199999999999999E-2"/>
    <n v="54.72"/>
    <n v="10"/>
    <n v="157"/>
    <n v="4"/>
    <n v="171"/>
    <x v="13"/>
    <x v="17"/>
    <x v="675"/>
    <x v="11"/>
    <x v="2"/>
    <s v=""/>
    <s v="Nao"/>
  </r>
  <r>
    <x v="716"/>
    <x v="5"/>
    <x v="5"/>
    <n v="2497"/>
    <x v="912"/>
    <n v="6.6100000000000006E-2"/>
    <n v="56.1"/>
    <n v="8"/>
    <n v="155"/>
    <n v="2"/>
    <n v="165"/>
    <x v="13"/>
    <x v="18"/>
    <x v="42"/>
    <x v="11"/>
    <x v="2"/>
    <s v=""/>
    <s v="Nao"/>
  </r>
  <r>
    <x v="716"/>
    <x v="7"/>
    <x v="7"/>
    <n v="3004"/>
    <x v="913"/>
    <n v="7.8200000000000006E-2"/>
    <n v="70.5"/>
    <n v="75"/>
    <n v="152"/>
    <n v="8"/>
    <n v="235"/>
    <x v="13"/>
    <x v="18"/>
    <x v="436"/>
    <x v="11"/>
    <x v="2"/>
    <s v=""/>
    <s v="Nao"/>
  </r>
  <r>
    <x v="717"/>
    <x v="9"/>
    <x v="9"/>
    <n v="2272"/>
    <x v="833"/>
    <n v="8.7999999999999995E-2"/>
    <n v="52"/>
    <n v="7"/>
    <n v="189"/>
    <n v="4"/>
    <n v="200"/>
    <x v="13"/>
    <x v="19"/>
    <x v="158"/>
    <x v="11"/>
    <x v="2"/>
    <s v=""/>
    <s v="Nao"/>
  </r>
  <r>
    <x v="717"/>
    <x v="5"/>
    <x v="5"/>
    <n v="3696"/>
    <x v="914"/>
    <n v="7.0900000000000005E-2"/>
    <n v="89.08"/>
    <n v="8"/>
    <n v="247"/>
    <n v="7"/>
    <n v="262"/>
    <x v="13"/>
    <x v="19"/>
    <x v="676"/>
    <x v="11"/>
    <x v="2"/>
    <s v=""/>
    <s v="Nao"/>
  </r>
  <r>
    <x v="718"/>
    <x v="0"/>
    <x v="0"/>
    <n v="3448"/>
    <x v="915"/>
    <n v="6.1499999999999999E-2"/>
    <n v="67.84"/>
    <n v="9"/>
    <n v="200"/>
    <n v="3"/>
    <n v="212"/>
    <x v="13"/>
    <x v="20"/>
    <x v="301"/>
    <x v="11"/>
    <x v="2"/>
    <s v=""/>
    <s v="Nao"/>
  </r>
  <r>
    <x v="718"/>
    <x v="10"/>
    <x v="10"/>
    <n v="3244"/>
    <x v="666"/>
    <n v="9.9599999999999994E-2"/>
    <n v="103.36"/>
    <n v="43"/>
    <n v="276"/>
    <n v="4"/>
    <n v="323"/>
    <x v="13"/>
    <x v="20"/>
    <x v="626"/>
    <x v="11"/>
    <x v="2"/>
    <s v=""/>
    <s v="Nao"/>
  </r>
  <r>
    <x v="719"/>
    <x v="12"/>
    <x v="11"/>
    <n v="3012"/>
    <x v="640"/>
    <n v="9.8299999999999998E-2"/>
    <n v="94.72"/>
    <n v="30"/>
    <n v="261"/>
    <n v="5"/>
    <n v="296"/>
    <x v="13"/>
    <x v="21"/>
    <x v="677"/>
    <x v="11"/>
    <x v="2"/>
    <s v=""/>
    <s v="Nao"/>
  </r>
  <r>
    <x v="719"/>
    <x v="5"/>
    <x v="5"/>
    <n v="3648"/>
    <x v="916"/>
    <n v="6.5500000000000003E-2"/>
    <n v="81.260000000000005"/>
    <n v="16"/>
    <n v="219"/>
    <n v="4"/>
    <n v="239"/>
    <x v="13"/>
    <x v="21"/>
    <x v="486"/>
    <x v="11"/>
    <x v="2"/>
    <s v=""/>
    <s v="Nao"/>
  </r>
  <r>
    <x v="720"/>
    <x v="6"/>
    <x v="6"/>
    <n v="2704"/>
    <x v="917"/>
    <n v="7.2900000000000006E-2"/>
    <n v="68.95"/>
    <n v="5"/>
    <n v="188"/>
    <n v="4"/>
    <n v="197"/>
    <x v="13"/>
    <x v="22"/>
    <x v="273"/>
    <x v="11"/>
    <x v="2"/>
    <s v=""/>
    <s v="Nao"/>
  </r>
  <r>
    <x v="721"/>
    <x v="13"/>
    <x v="9"/>
    <n v="3285"/>
    <x v="918"/>
    <n v="0.11169999999999999"/>
    <n v="110.1"/>
    <n v="21"/>
    <n v="339"/>
    <n v="7"/>
    <n v="367"/>
    <x v="13"/>
    <x v="23"/>
    <x v="678"/>
    <x v="11"/>
    <x v="2"/>
    <s v=""/>
    <s v="Nao"/>
  </r>
  <r>
    <x v="721"/>
    <x v="13"/>
    <x v="9"/>
    <n v="2487"/>
    <x v="98"/>
    <n v="9.3299999999999994E-2"/>
    <n v="69.599999999999994"/>
    <n v="17"/>
    <n v="212"/>
    <n v="3"/>
    <n v="232"/>
    <x v="13"/>
    <x v="23"/>
    <x v="440"/>
    <x v="11"/>
    <x v="2"/>
    <s v=""/>
    <s v="Nao"/>
  </r>
  <r>
    <x v="722"/>
    <x v="14"/>
    <x v="12"/>
    <n v="3442"/>
    <x v="919"/>
    <n v="9.9099999999999994E-2"/>
    <n v="102.3"/>
    <n v="65"/>
    <n v="266"/>
    <n v="10"/>
    <n v="341"/>
    <x v="13"/>
    <x v="24"/>
    <x v="118"/>
    <x v="11"/>
    <x v="2"/>
    <s v=""/>
    <s v="Nao"/>
  </r>
  <r>
    <x v="722"/>
    <x v="6"/>
    <x v="6"/>
    <n v="2365"/>
    <x v="911"/>
    <n v="5.7500000000000002E-2"/>
    <n v="47.6"/>
    <n v="4"/>
    <n v="128"/>
    <n v="4"/>
    <n v="136"/>
    <x v="13"/>
    <x v="24"/>
    <x v="679"/>
    <x v="11"/>
    <x v="2"/>
    <s v=""/>
    <s v="Nao"/>
  </r>
  <r>
    <x v="723"/>
    <x v="11"/>
    <x v="0"/>
    <n v="2913"/>
    <x v="770"/>
    <n v="5.6300000000000003E-2"/>
    <n v="45.92"/>
    <n v="9"/>
    <n v="152"/>
    <n v="3"/>
    <n v="164"/>
    <x v="13"/>
    <x v="25"/>
    <x v="290"/>
    <x v="11"/>
    <x v="2"/>
    <s v=""/>
    <s v="Nao"/>
  </r>
  <r>
    <x v="724"/>
    <x v="9"/>
    <x v="9"/>
    <n v="3161"/>
    <x v="920"/>
    <n v="8.2900000000000001E-2"/>
    <n v="68.12"/>
    <n v="16"/>
    <n v="240"/>
    <n v="6"/>
    <n v="262"/>
    <x v="13"/>
    <x v="26"/>
    <x v="680"/>
    <x v="11"/>
    <x v="2"/>
    <s v=""/>
    <s v="Nao"/>
  </r>
  <r>
    <x v="725"/>
    <x v="9"/>
    <x v="9"/>
    <n v="3329"/>
    <x v="751"/>
    <n v="9.5500000000000002E-2"/>
    <n v="82.68"/>
    <n v="19"/>
    <n v="292"/>
    <n v="7"/>
    <n v="318"/>
    <x v="13"/>
    <x v="27"/>
    <x v="113"/>
    <x v="11"/>
    <x v="2"/>
    <s v=""/>
    <s v="Nao"/>
  </r>
  <r>
    <x v="725"/>
    <x v="13"/>
    <x v="9"/>
    <n v="3786"/>
    <x v="921"/>
    <n v="8.5300000000000001E-2"/>
    <n v="96.9"/>
    <n v="13"/>
    <n v="301"/>
    <n v="9"/>
    <n v="323"/>
    <x v="13"/>
    <x v="27"/>
    <x v="681"/>
    <x v="11"/>
    <x v="2"/>
    <s v=""/>
    <s v="Nao"/>
  </r>
  <r>
    <x v="726"/>
    <x v="7"/>
    <x v="7"/>
    <n v="4132"/>
    <x v="922"/>
    <n v="9.5799999999999996E-2"/>
    <n v="118.8"/>
    <n v="171"/>
    <n v="83"/>
    <n v="142"/>
    <n v="396"/>
    <x v="13"/>
    <x v="28"/>
    <x v="682"/>
    <x v="11"/>
    <x v="2"/>
    <s v=""/>
    <s v="Sim"/>
  </r>
  <r>
    <x v="726"/>
    <x v="3"/>
    <x v="3"/>
    <n v="2187"/>
    <x v="392"/>
    <n v="0.1047"/>
    <n v="64.12"/>
    <n v="6"/>
    <n v="217"/>
    <n v="6"/>
    <n v="229"/>
    <x v="13"/>
    <x v="28"/>
    <x v="683"/>
    <x v="11"/>
    <x v="2"/>
    <s v=""/>
    <s v="Nao"/>
  </r>
  <r>
    <x v="727"/>
    <x v="9"/>
    <x v="9"/>
    <n v="4124"/>
    <x v="923"/>
    <n v="8.6599999999999996E-2"/>
    <n v="92.82"/>
    <n v="19"/>
    <n v="328"/>
    <n v="10"/>
    <n v="357"/>
    <x v="13"/>
    <x v="29"/>
    <x v="481"/>
    <x v="11"/>
    <x v="2"/>
    <s v=""/>
    <s v="Nao"/>
  </r>
  <r>
    <x v="727"/>
    <x v="3"/>
    <x v="3"/>
    <n v="4141"/>
    <x v="924"/>
    <n v="9.9500000000000005E-2"/>
    <n v="115.36"/>
    <n v="18"/>
    <n v="387"/>
    <n v="7"/>
    <n v="412"/>
    <x v="13"/>
    <x v="29"/>
    <x v="684"/>
    <x v="11"/>
    <x v="2"/>
    <s v=""/>
    <s v="Nao"/>
  </r>
  <r>
    <x v="728"/>
    <x v="7"/>
    <x v="7"/>
    <n v="4181"/>
    <x v="925"/>
    <n v="9.3299999999999994E-2"/>
    <n v="117"/>
    <n v="73"/>
    <n v="303"/>
    <n v="14"/>
    <n v="390"/>
    <x v="13"/>
    <x v="30"/>
    <x v="685"/>
    <x v="11"/>
    <x v="2"/>
    <s v=""/>
    <s v="Nao"/>
  </r>
  <r>
    <x v="729"/>
    <x v="14"/>
    <x v="12"/>
    <n v="3219"/>
    <x v="926"/>
    <n v="0.1031"/>
    <n v="99.6"/>
    <n v="97"/>
    <n v="231"/>
    <n v="4"/>
    <n v="332"/>
    <x v="13"/>
    <x v="31"/>
    <x v="686"/>
    <x v="11"/>
    <x v="2"/>
    <s v=""/>
    <s v="Nao"/>
  </r>
  <r>
    <x v="729"/>
    <x v="13"/>
    <x v="9"/>
    <n v="2784"/>
    <x v="927"/>
    <n v="0.1142"/>
    <n v="95.4"/>
    <n v="9"/>
    <n v="300"/>
    <n v="9"/>
    <n v="318"/>
    <x v="13"/>
    <x v="31"/>
    <x v="687"/>
    <x v="11"/>
    <x v="2"/>
    <s v=""/>
    <s v="Nao"/>
  </r>
  <r>
    <x v="730"/>
    <x v="8"/>
    <x v="8"/>
    <n v="3302"/>
    <x v="928"/>
    <n v="0.1145"/>
    <n v="120.96"/>
    <n v="49"/>
    <n v="323"/>
    <n v="6"/>
    <n v="378"/>
    <x v="13"/>
    <x v="32"/>
    <x v="636"/>
    <x v="11"/>
    <x v="2"/>
    <s v=""/>
    <s v="Nao"/>
  </r>
  <r>
    <x v="731"/>
    <x v="4"/>
    <x v="4"/>
    <n v="3404"/>
    <x v="424"/>
    <n v="8.14E-2"/>
    <n v="96.95"/>
    <n v="5"/>
    <n v="264"/>
    <n v="8"/>
    <n v="277"/>
    <x v="13"/>
    <x v="33"/>
    <x v="688"/>
    <x v="0"/>
    <x v="2"/>
    <s v=""/>
    <s v="Nao"/>
  </r>
  <r>
    <x v="731"/>
    <x v="13"/>
    <x v="9"/>
    <n v="2269"/>
    <x v="295"/>
    <n v="9.1200000000000003E-2"/>
    <n v="62.1"/>
    <n v="11"/>
    <n v="191"/>
    <n v="5"/>
    <n v="207"/>
    <x v="13"/>
    <x v="33"/>
    <x v="356"/>
    <x v="0"/>
    <x v="2"/>
    <s v=""/>
    <s v="Nao"/>
  </r>
  <r>
    <x v="732"/>
    <x v="11"/>
    <x v="0"/>
    <n v="3811"/>
    <x v="700"/>
    <n v="8.1100000000000005E-2"/>
    <n v="86.52"/>
    <n v="16"/>
    <n v="287"/>
    <n v="6"/>
    <n v="309"/>
    <x v="13"/>
    <x v="34"/>
    <x v="689"/>
    <x v="0"/>
    <x v="2"/>
    <s v=""/>
    <s v="Nao"/>
  </r>
  <r>
    <x v="732"/>
    <x v="2"/>
    <x v="2"/>
    <n v="2728"/>
    <x v="929"/>
    <n v="9.9699999999999997E-2"/>
    <n v="87.04"/>
    <n v="11"/>
    <n v="257"/>
    <n v="4"/>
    <n v="272"/>
    <x v="13"/>
    <x v="34"/>
    <x v="690"/>
    <x v="0"/>
    <x v="2"/>
    <s v=""/>
    <s v="Nao"/>
  </r>
  <r>
    <x v="733"/>
    <x v="11"/>
    <x v="0"/>
    <n v="2088"/>
    <x v="160"/>
    <n v="6.9900000000000004E-2"/>
    <n v="40.880000000000003"/>
    <n v="9"/>
    <n v="134"/>
    <n v="3"/>
    <n v="146"/>
    <x v="13"/>
    <x v="35"/>
    <x v="691"/>
    <x v="0"/>
    <x v="2"/>
    <s v=""/>
    <s v="Nao"/>
  </r>
  <r>
    <x v="733"/>
    <x v="4"/>
    <x v="4"/>
    <n v="3206"/>
    <x v="930"/>
    <n v="8.3000000000000004E-2"/>
    <n v="93.1"/>
    <n v="10"/>
    <n v="249"/>
    <n v="7"/>
    <n v="266"/>
    <x v="13"/>
    <x v="35"/>
    <x v="692"/>
    <x v="0"/>
    <x v="2"/>
    <s v=""/>
    <s v="Nao"/>
  </r>
  <r>
    <x v="734"/>
    <x v="10"/>
    <x v="10"/>
    <n v="3041"/>
    <x v="931"/>
    <n v="0.12330000000000001"/>
    <n v="120"/>
    <n v="45"/>
    <n v="321"/>
    <n v="9"/>
    <n v="375"/>
    <x v="13"/>
    <x v="51"/>
    <x v="693"/>
    <x v="0"/>
    <x v="2"/>
    <s v=""/>
    <s v="Nao"/>
  </r>
  <r>
    <x v="734"/>
    <x v="0"/>
    <x v="0"/>
    <n v="2692"/>
    <x v="932"/>
    <n v="9.8100000000000007E-2"/>
    <n v="84.48"/>
    <n v="11"/>
    <n v="249"/>
    <n v="4"/>
    <n v="264"/>
    <x v="13"/>
    <x v="51"/>
    <x v="198"/>
    <x v="0"/>
    <x v="2"/>
    <s v=""/>
    <s v="Nao"/>
  </r>
  <r>
    <x v="735"/>
    <x v="7"/>
    <x v="7"/>
    <n v="2717"/>
    <x v="131"/>
    <n v="0.11409999999999999"/>
    <n v="93"/>
    <n v="92"/>
    <n v="208"/>
    <n v="10"/>
    <n v="310"/>
    <x v="13"/>
    <x v="52"/>
    <x v="694"/>
    <x v="0"/>
    <x v="2"/>
    <s v=""/>
    <s v="Nao"/>
  </r>
  <r>
    <x v="736"/>
    <x v="9"/>
    <x v="9"/>
    <n v="2895"/>
    <x v="933"/>
    <n v="8.0500000000000002E-2"/>
    <n v="60.58"/>
    <n v="15"/>
    <n v="213"/>
    <n v="5"/>
    <n v="233"/>
    <x v="13"/>
    <x v="53"/>
    <x v="472"/>
    <x v="0"/>
    <x v="2"/>
    <s v=""/>
    <s v="Nao"/>
  </r>
  <r>
    <x v="736"/>
    <x v="3"/>
    <x v="3"/>
    <n v="3556"/>
    <x v="934"/>
    <n v="8.2100000000000006E-2"/>
    <n v="81.760000000000005"/>
    <n v="11"/>
    <n v="277"/>
    <n v="4"/>
    <n v="292"/>
    <x v="13"/>
    <x v="53"/>
    <x v="560"/>
    <x v="0"/>
    <x v="2"/>
    <s v=""/>
    <s v="Nao"/>
  </r>
  <r>
    <x v="737"/>
    <x v="7"/>
    <x v="7"/>
    <n v="3934"/>
    <x v="935"/>
    <n v="9.6799999999999997E-2"/>
    <n v="114.3"/>
    <n v="93"/>
    <n v="277"/>
    <n v="11"/>
    <n v="381"/>
    <x v="13"/>
    <x v="54"/>
    <x v="695"/>
    <x v="0"/>
    <x v="2"/>
    <s v=""/>
    <s v="Nao"/>
  </r>
  <r>
    <x v="737"/>
    <x v="5"/>
    <x v="5"/>
    <n v="2432"/>
    <x v="936"/>
    <n v="9.2899999999999996E-2"/>
    <n v="76.84"/>
    <n v="10"/>
    <n v="211"/>
    <n v="5"/>
    <n v="226"/>
    <x v="13"/>
    <x v="54"/>
    <x v="649"/>
    <x v="0"/>
    <x v="2"/>
    <s v=""/>
    <s v="Nao"/>
  </r>
  <r>
    <x v="738"/>
    <x v="4"/>
    <x v="4"/>
    <n v="2860"/>
    <x v="394"/>
    <n v="9.1300000000000006E-2"/>
    <n v="91.35"/>
    <n v="5"/>
    <n v="249"/>
    <n v="7"/>
    <n v="261"/>
    <x v="13"/>
    <x v="55"/>
    <x v="126"/>
    <x v="0"/>
    <x v="2"/>
    <s v=""/>
    <s v="Nao"/>
  </r>
  <r>
    <x v="738"/>
    <x v="8"/>
    <x v="8"/>
    <n v="1965"/>
    <x v="937"/>
    <n v="0.115"/>
    <n v="72.319999999999993"/>
    <n v="19"/>
    <n v="200"/>
    <n v="7"/>
    <n v="226"/>
    <x v="13"/>
    <x v="55"/>
    <x v="135"/>
    <x v="0"/>
    <x v="2"/>
    <n v="55"/>
    <s v="Nao"/>
  </r>
  <r>
    <x v="739"/>
    <x v="11"/>
    <x v="0"/>
    <n v="4039"/>
    <x v="830"/>
    <n v="2.5000000000000001E-2"/>
    <n v="28.28"/>
    <n v="5"/>
    <n v="94"/>
    <n v="2"/>
    <n v="101"/>
    <x v="14"/>
    <x v="36"/>
    <x v="159"/>
    <x v="0"/>
    <x v="2"/>
    <s v=""/>
    <s v="Nao"/>
  </r>
  <r>
    <x v="739"/>
    <x v="11"/>
    <x v="0"/>
    <n v="3101"/>
    <x v="153"/>
    <n v="3.0599999999999999E-2"/>
    <n v="26.6"/>
    <n v="34"/>
    <n v="25"/>
    <n v="36"/>
    <n v="95"/>
    <x v="14"/>
    <x v="36"/>
    <x v="151"/>
    <x v="0"/>
    <x v="2"/>
    <s v=""/>
    <s v="Sim"/>
  </r>
  <r>
    <x v="740"/>
    <x v="4"/>
    <x v="4"/>
    <n v="2007"/>
    <x v="149"/>
    <n v="4.4299999999999999E-2"/>
    <n v="31.15"/>
    <n v="5"/>
    <n v="82"/>
    <n v="2"/>
    <n v="89"/>
    <x v="14"/>
    <x v="37"/>
    <x v="696"/>
    <x v="0"/>
    <x v="2"/>
    <s v=""/>
    <s v="Nao"/>
  </r>
  <r>
    <x v="740"/>
    <x v="12"/>
    <x v="11"/>
    <n v="2488"/>
    <x v="126"/>
    <n v="8.3199999999999996E-2"/>
    <n v="66.239999999999995"/>
    <n v="31"/>
    <n v="173"/>
    <n v="3"/>
    <n v="207"/>
    <x v="14"/>
    <x v="37"/>
    <x v="180"/>
    <x v="0"/>
    <x v="2"/>
    <s v=""/>
    <s v="Nao"/>
  </r>
  <r>
    <x v="741"/>
    <x v="8"/>
    <x v="8"/>
    <n v="3148"/>
    <x v="938"/>
    <n v="6.7699999999999996E-2"/>
    <n v="68.16"/>
    <n v="22"/>
    <n v="185"/>
    <n v="6"/>
    <n v="213"/>
    <x v="14"/>
    <x v="38"/>
    <x v="284"/>
    <x v="0"/>
    <x v="2"/>
    <s v=""/>
    <s v="Nao"/>
  </r>
  <r>
    <x v="742"/>
    <x v="6"/>
    <x v="6"/>
    <n v="2583"/>
    <x v="128"/>
    <n v="3.9100000000000003E-2"/>
    <n v="35.35"/>
    <n v="2"/>
    <n v="96"/>
    <n v="3"/>
    <n v="101"/>
    <x v="14"/>
    <x v="39"/>
    <x v="697"/>
    <x v="0"/>
    <x v="2"/>
    <s v=""/>
    <s v="Nao"/>
  </r>
  <r>
    <x v="742"/>
    <x v="0"/>
    <x v="0"/>
    <n v="2546"/>
    <x v="386"/>
    <n v="5.11E-2"/>
    <n v="41.6"/>
    <n v="8"/>
    <n v="121"/>
    <n v="1"/>
    <n v="130"/>
    <x v="14"/>
    <x v="39"/>
    <x v="343"/>
    <x v="0"/>
    <x v="2"/>
    <s v=""/>
    <s v="Nao"/>
  </r>
  <r>
    <x v="743"/>
    <x v="10"/>
    <x v="10"/>
    <n v="2456"/>
    <x v="939"/>
    <n v="6.5100000000000005E-2"/>
    <n v="51.2"/>
    <n v="24"/>
    <n v="134"/>
    <n v="2"/>
    <n v="160"/>
    <x v="14"/>
    <x v="40"/>
    <x v="305"/>
    <x v="0"/>
    <x v="2"/>
    <s v=""/>
    <s v="Nao"/>
  </r>
  <r>
    <x v="743"/>
    <x v="4"/>
    <x v="4"/>
    <n v="3596"/>
    <x v="940"/>
    <n v="4.7800000000000002E-2"/>
    <n v="60.2"/>
    <n v="7"/>
    <n v="162"/>
    <n v="3"/>
    <n v="172"/>
    <x v="14"/>
    <x v="40"/>
    <x v="289"/>
    <x v="0"/>
    <x v="2"/>
    <s v=""/>
    <s v="Nao"/>
  </r>
  <r>
    <x v="744"/>
    <x v="1"/>
    <x v="1"/>
    <n v="2745"/>
    <x v="941"/>
    <n v="4.9500000000000002E-2"/>
    <n v="43.52"/>
    <n v="7"/>
    <n v="128"/>
    <n v="1"/>
    <n v="136"/>
    <x v="14"/>
    <x v="41"/>
    <x v="83"/>
    <x v="0"/>
    <x v="2"/>
    <s v=""/>
    <s v="Nao"/>
  </r>
  <r>
    <x v="745"/>
    <x v="0"/>
    <x v="0"/>
    <n v="3914"/>
    <x v="399"/>
    <n v="4.8500000000000001E-2"/>
    <n v="60.8"/>
    <n v="6"/>
    <n v="182"/>
    <n v="2"/>
    <n v="190"/>
    <x v="14"/>
    <x v="42"/>
    <x v="255"/>
    <x v="0"/>
    <x v="2"/>
    <s v=""/>
    <s v="Nao"/>
  </r>
  <r>
    <x v="745"/>
    <x v="6"/>
    <x v="6"/>
    <n v="2116"/>
    <x v="537"/>
    <n v="3.6400000000000002E-2"/>
    <n v="26.95"/>
    <n v="3"/>
    <n v="73"/>
    <n v="1"/>
    <n v="77"/>
    <x v="14"/>
    <x v="42"/>
    <x v="698"/>
    <x v="0"/>
    <x v="2"/>
    <s v=""/>
    <s v="Nao"/>
  </r>
  <r>
    <x v="746"/>
    <x v="9"/>
    <x v="9"/>
    <n v="4105"/>
    <x v="942"/>
    <n v="6.0400000000000002E-2"/>
    <n v="64.48"/>
    <n v="9"/>
    <n v="236"/>
    <n v="3"/>
    <n v="248"/>
    <x v="14"/>
    <x v="43"/>
    <x v="211"/>
    <x v="0"/>
    <x v="2"/>
    <s v=""/>
    <s v="Nao"/>
  </r>
  <r>
    <x v="746"/>
    <x v="2"/>
    <x v="2"/>
    <n v="3796"/>
    <x v="943"/>
    <n v="6.5299999999999997E-2"/>
    <n v="79.36"/>
    <n v="13"/>
    <n v="228"/>
    <n v="7"/>
    <n v="248"/>
    <x v="14"/>
    <x v="43"/>
    <x v="48"/>
    <x v="0"/>
    <x v="2"/>
    <s v=""/>
    <s v="Nao"/>
  </r>
  <r>
    <x v="747"/>
    <x v="13"/>
    <x v="9"/>
    <n v="3916"/>
    <x v="263"/>
    <n v="4.4200000000000003E-2"/>
    <n v="51.9"/>
    <n v="6"/>
    <n v="163"/>
    <n v="4"/>
    <n v="173"/>
    <x v="14"/>
    <x v="44"/>
    <x v="364"/>
    <x v="0"/>
    <x v="2"/>
    <s v=""/>
    <s v="Nao"/>
  </r>
  <r>
    <x v="747"/>
    <x v="2"/>
    <x v="2"/>
    <n v="3030"/>
    <x v="944"/>
    <n v="5.6800000000000003E-2"/>
    <n v="55.04"/>
    <n v="11"/>
    <n v="158"/>
    <n v="3"/>
    <n v="172"/>
    <x v="14"/>
    <x v="44"/>
    <x v="352"/>
    <x v="0"/>
    <x v="2"/>
    <s v=""/>
    <s v="Nao"/>
  </r>
  <r>
    <x v="748"/>
    <x v="1"/>
    <x v="1"/>
    <n v="2687"/>
    <x v="945"/>
    <n v="6.5100000000000005E-2"/>
    <n v="56"/>
    <n v="10"/>
    <n v="162"/>
    <n v="3"/>
    <n v="175"/>
    <x v="14"/>
    <x v="45"/>
    <x v="561"/>
    <x v="0"/>
    <x v="2"/>
    <s v=""/>
    <s v="Nao"/>
  </r>
  <r>
    <x v="748"/>
    <x v="4"/>
    <x v="4"/>
    <n v="2378"/>
    <x v="946"/>
    <n v="4.9599999999999998E-2"/>
    <n v="41.3"/>
    <n v="5"/>
    <n v="111"/>
    <n v="2"/>
    <n v="118"/>
    <x v="14"/>
    <x v="45"/>
    <x v="521"/>
    <x v="0"/>
    <x v="2"/>
    <s v=""/>
    <s v="Nao"/>
  </r>
  <r>
    <x v="749"/>
    <x v="6"/>
    <x v="6"/>
    <n v="2649"/>
    <x v="947"/>
    <n v="4.19E-2"/>
    <n v="38.85"/>
    <n v="4"/>
    <n v="106"/>
    <n v="1"/>
    <n v="111"/>
    <x v="14"/>
    <x v="46"/>
    <x v="94"/>
    <x v="0"/>
    <x v="2"/>
    <s v=""/>
    <s v="Nao"/>
  </r>
  <r>
    <x v="750"/>
    <x v="7"/>
    <x v="7"/>
    <n v="2058"/>
    <x v="134"/>
    <n v="7.3400000000000007E-2"/>
    <n v="45.3"/>
    <n v="47"/>
    <n v="99"/>
    <n v="5"/>
    <n v="151"/>
    <x v="14"/>
    <x v="47"/>
    <x v="223"/>
    <x v="0"/>
    <x v="2"/>
    <s v=""/>
    <s v="Nao"/>
  </r>
  <r>
    <x v="750"/>
    <x v="7"/>
    <x v="7"/>
    <n v="3188"/>
    <x v="948"/>
    <n v="5.1400000000000001E-2"/>
    <n v="49.2"/>
    <n v="53"/>
    <n v="106"/>
    <n v="5"/>
    <n v="164"/>
    <x v="14"/>
    <x v="47"/>
    <x v="699"/>
    <x v="0"/>
    <x v="2"/>
    <s v=""/>
    <s v="Nao"/>
  </r>
  <r>
    <x v="751"/>
    <x v="0"/>
    <x v="0"/>
    <n v="3951"/>
    <x v="949"/>
    <n v="6.5000000000000002E-2"/>
    <n v="82.24"/>
    <n v="18"/>
    <n v="234"/>
    <n v="5"/>
    <n v="257"/>
    <x v="14"/>
    <x v="48"/>
    <x v="528"/>
    <x v="0"/>
    <x v="2"/>
    <s v=""/>
    <s v="Nao"/>
  </r>
  <r>
    <x v="751"/>
    <x v="9"/>
    <x v="9"/>
    <n v="3301"/>
    <x v="950"/>
    <n v="7.51E-2"/>
    <n v="64.48"/>
    <n v="73"/>
    <n v="65"/>
    <n v="110"/>
    <n v="248"/>
    <x v="14"/>
    <x v="48"/>
    <x v="211"/>
    <x v="0"/>
    <x v="2"/>
    <s v=""/>
    <s v="Sim"/>
  </r>
  <r>
    <x v="752"/>
    <x v="13"/>
    <x v="9"/>
    <n v="4012"/>
    <x v="951"/>
    <n v="7.2300000000000003E-2"/>
    <n v="87"/>
    <n v="12"/>
    <n v="274"/>
    <n v="4"/>
    <n v="290"/>
    <x v="14"/>
    <x v="49"/>
    <x v="285"/>
    <x v="0"/>
    <x v="2"/>
    <s v=""/>
    <s v="Nao"/>
  </r>
  <r>
    <x v="752"/>
    <x v="5"/>
    <x v="5"/>
    <n v="3129"/>
    <x v="952"/>
    <n v="4.0599999999999997E-2"/>
    <n v="43.18"/>
    <n v="4"/>
    <n v="119"/>
    <n v="4"/>
    <n v="127"/>
    <x v="14"/>
    <x v="49"/>
    <x v="394"/>
    <x v="0"/>
    <x v="2"/>
    <s v=""/>
    <s v="Nao"/>
  </r>
  <r>
    <x v="753"/>
    <x v="6"/>
    <x v="6"/>
    <n v="3006"/>
    <x v="477"/>
    <n v="5.0200000000000002E-2"/>
    <n v="52.85"/>
    <n v="6"/>
    <n v="143"/>
    <n v="2"/>
    <n v="151"/>
    <x v="14"/>
    <x v="50"/>
    <x v="210"/>
    <x v="0"/>
    <x v="2"/>
    <s v=""/>
    <s v="Nao"/>
  </r>
  <r>
    <x v="754"/>
    <x v="8"/>
    <x v="8"/>
    <n v="3681"/>
    <x v="369"/>
    <n v="9.5899999999999999E-2"/>
    <n v="112.96"/>
    <n v="41"/>
    <n v="303"/>
    <n v="9"/>
    <n v="353"/>
    <x v="14"/>
    <x v="0"/>
    <x v="59"/>
    <x v="0"/>
    <x v="2"/>
    <s v=""/>
    <s v="Nao"/>
  </r>
  <r>
    <x v="754"/>
    <x v="4"/>
    <x v="4"/>
    <n v="3605"/>
    <x v="953"/>
    <n v="5.0999999999999997E-2"/>
    <n v="64.400000000000006"/>
    <n v="8"/>
    <n v="174"/>
    <n v="2"/>
    <n v="184"/>
    <x v="14"/>
    <x v="0"/>
    <x v="532"/>
    <x v="0"/>
    <x v="2"/>
    <s v=""/>
    <s v="Nao"/>
  </r>
  <r>
    <x v="755"/>
    <x v="7"/>
    <x v="7"/>
    <n v="3760"/>
    <x v="954"/>
    <n v="6.0400000000000002E-2"/>
    <n v="68.099999999999994"/>
    <n v="62"/>
    <n v="33"/>
    <n v="132"/>
    <n v="227"/>
    <x v="14"/>
    <x v="1"/>
    <x v="68"/>
    <x v="0"/>
    <x v="2"/>
    <s v=""/>
    <s v="Sim"/>
  </r>
  <r>
    <x v="755"/>
    <x v="10"/>
    <x v="10"/>
    <n v="2987"/>
    <x v="867"/>
    <n v="7.7700000000000005E-2"/>
    <n v="74.239999999999995"/>
    <n v="26"/>
    <n v="203"/>
    <n v="3"/>
    <n v="232"/>
    <x v="14"/>
    <x v="1"/>
    <x v="591"/>
    <x v="0"/>
    <x v="2"/>
    <s v=""/>
    <s v="Nao"/>
  </r>
  <r>
    <x v="756"/>
    <x v="14"/>
    <x v="12"/>
    <n v="4192"/>
    <x v="955"/>
    <n v="7.1800000000000003E-2"/>
    <n v="90.3"/>
    <n v="71"/>
    <n v="221"/>
    <n v="9"/>
    <n v="301"/>
    <x v="14"/>
    <x v="2"/>
    <x v="477"/>
    <x v="0"/>
    <x v="2"/>
    <s v=""/>
    <s v="Nao"/>
  </r>
  <r>
    <x v="756"/>
    <x v="8"/>
    <x v="8"/>
    <n v="2328"/>
    <x v="956"/>
    <n v="7.6899999999999996E-2"/>
    <n v="57.28"/>
    <n v="24"/>
    <n v="150"/>
    <n v="5"/>
    <n v="179"/>
    <x v="14"/>
    <x v="2"/>
    <x v="218"/>
    <x v="0"/>
    <x v="2"/>
    <s v=""/>
    <s v="Nao"/>
  </r>
  <r>
    <x v="757"/>
    <x v="6"/>
    <x v="6"/>
    <n v="2237"/>
    <x v="957"/>
    <n v="4.6899999999999997E-2"/>
    <n v="36.75"/>
    <n v="7"/>
    <n v="97"/>
    <n v="1"/>
    <n v="105"/>
    <x v="14"/>
    <x v="3"/>
    <x v="290"/>
    <x v="0"/>
    <x v="2"/>
    <s v=""/>
    <s v="Nao"/>
  </r>
  <r>
    <x v="757"/>
    <x v="7"/>
    <x v="7"/>
    <n v="2924"/>
    <x v="958"/>
    <n v="7.6300000000000007E-2"/>
    <n v="66.900000000000006"/>
    <n v="68"/>
    <n v="149"/>
    <n v="6"/>
    <n v="223"/>
    <x v="14"/>
    <x v="3"/>
    <x v="123"/>
    <x v="0"/>
    <x v="2"/>
    <s v=""/>
    <s v="Nao"/>
  </r>
  <r>
    <x v="758"/>
    <x v="4"/>
    <x v="4"/>
    <n v="2027"/>
    <x v="959"/>
    <n v="5.7700000000000001E-2"/>
    <n v="40.950000000000003"/>
    <n v="4"/>
    <n v="112"/>
    <n v="1"/>
    <n v="117"/>
    <x v="14"/>
    <x v="4"/>
    <x v="450"/>
    <x v="0"/>
    <x v="2"/>
    <s v=""/>
    <s v="Nao"/>
  </r>
  <r>
    <x v="758"/>
    <x v="11"/>
    <x v="0"/>
    <n v="3738"/>
    <x v="960"/>
    <n v="5.7799999999999997E-2"/>
    <n v="60.48"/>
    <n v="4"/>
    <n v="207"/>
    <n v="5"/>
    <n v="216"/>
    <x v="14"/>
    <x v="4"/>
    <x v="455"/>
    <x v="0"/>
    <x v="2"/>
    <s v=""/>
    <s v="Nao"/>
  </r>
  <r>
    <x v="759"/>
    <x v="8"/>
    <x v="8"/>
    <n v="1869"/>
    <x v="201"/>
    <n v="9.5799999999999996E-2"/>
    <n v="57.28"/>
    <n v="17"/>
    <n v="157"/>
    <n v="5"/>
    <n v="179"/>
    <x v="14"/>
    <x v="5"/>
    <x v="218"/>
    <x v="0"/>
    <x v="2"/>
    <s v=""/>
    <s v="Nao"/>
  </r>
  <r>
    <x v="759"/>
    <x v="2"/>
    <x v="2"/>
    <n v="2998"/>
    <x v="961"/>
    <n v="7.51E-2"/>
    <n v="72"/>
    <n v="14"/>
    <n v="206"/>
    <n v="5"/>
    <n v="225"/>
    <x v="14"/>
    <x v="5"/>
    <x v="2"/>
    <x v="0"/>
    <x v="2"/>
    <s v=""/>
    <s v="Nao"/>
  </r>
  <r>
    <x v="760"/>
    <x v="10"/>
    <x v="10"/>
    <n v="1954"/>
    <x v="580"/>
    <n v="6.7599999999999993E-2"/>
    <n v="42.24"/>
    <n v="13"/>
    <n v="115"/>
    <n v="4"/>
    <n v="132"/>
    <x v="14"/>
    <x v="6"/>
    <x v="214"/>
    <x v="0"/>
    <x v="2"/>
    <s v=""/>
    <s v="Nao"/>
  </r>
  <r>
    <x v="760"/>
    <x v="5"/>
    <x v="5"/>
    <n v="3058"/>
    <x v="536"/>
    <n v="5.5599999999999997E-2"/>
    <n v="57.8"/>
    <n v="9"/>
    <n v="158"/>
    <n v="3"/>
    <n v="170"/>
    <x v="14"/>
    <x v="6"/>
    <x v="700"/>
    <x v="0"/>
    <x v="2"/>
    <s v=""/>
    <s v="Nao"/>
  </r>
  <r>
    <x v="761"/>
    <x v="3"/>
    <x v="3"/>
    <n v="2365"/>
    <x v="755"/>
    <n v="8.2900000000000001E-2"/>
    <n v="54.88"/>
    <n v="10"/>
    <n v="182"/>
    <n v="4"/>
    <n v="196"/>
    <x v="14"/>
    <x v="7"/>
    <x v="701"/>
    <x v="0"/>
    <x v="2"/>
    <s v=""/>
    <s v="Nao"/>
  </r>
  <r>
    <x v="761"/>
    <x v="8"/>
    <x v="8"/>
    <n v="1959"/>
    <x v="887"/>
    <n v="9.1899999999999996E-2"/>
    <n v="57.6"/>
    <n v="25"/>
    <n v="153"/>
    <n v="2"/>
    <n v="180"/>
    <x v="14"/>
    <x v="7"/>
    <x v="502"/>
    <x v="0"/>
    <x v="2"/>
    <s v=""/>
    <s v="Nao"/>
  </r>
  <r>
    <x v="762"/>
    <x v="13"/>
    <x v="9"/>
    <n v="1800"/>
    <x v="119"/>
    <n v="7.8299999999999995E-2"/>
    <n v="42.3"/>
    <n v="8"/>
    <n v="130"/>
    <n v="3"/>
    <n v="141"/>
    <x v="14"/>
    <x v="8"/>
    <x v="702"/>
    <x v="1"/>
    <x v="2"/>
    <s v=""/>
    <s v="Nao"/>
  </r>
  <r>
    <x v="762"/>
    <x v="12"/>
    <x v="11"/>
    <n v="2697"/>
    <x v="962"/>
    <n v="9.64E-2"/>
    <n v="83.2"/>
    <n v="36"/>
    <n v="220"/>
    <n v="4"/>
    <n v="260"/>
    <x v="14"/>
    <x v="8"/>
    <x v="60"/>
    <x v="1"/>
    <x v="2"/>
    <s v=""/>
    <s v="Nao"/>
  </r>
  <r>
    <x v="763"/>
    <x v="1"/>
    <x v="1"/>
    <n v="2190"/>
    <x v="141"/>
    <n v="5.7099999999999998E-2"/>
    <n v="40"/>
    <n v="6"/>
    <n v="117"/>
    <n v="2"/>
    <n v="125"/>
    <x v="14"/>
    <x v="9"/>
    <x v="703"/>
    <x v="1"/>
    <x v="2"/>
    <s v=""/>
    <s v="Nao"/>
  </r>
  <r>
    <x v="763"/>
    <x v="3"/>
    <x v="3"/>
    <n v="3191"/>
    <x v="890"/>
    <n v="8.0500000000000002E-2"/>
    <n v="71.959999999999994"/>
    <n v="8"/>
    <n v="242"/>
    <n v="7"/>
    <n v="257"/>
    <x v="14"/>
    <x v="9"/>
    <x v="704"/>
    <x v="1"/>
    <x v="2"/>
    <s v=""/>
    <s v="Nao"/>
  </r>
  <r>
    <x v="764"/>
    <x v="13"/>
    <x v="9"/>
    <n v="2391"/>
    <x v="963"/>
    <n v="8.1100000000000005E-2"/>
    <n v="58.2"/>
    <n v="11"/>
    <n v="180"/>
    <n v="3"/>
    <n v="194"/>
    <x v="14"/>
    <x v="10"/>
    <x v="363"/>
    <x v="1"/>
    <x v="2"/>
    <s v=""/>
    <s v="Nao"/>
  </r>
  <r>
    <x v="764"/>
    <x v="1"/>
    <x v="1"/>
    <n v="3993"/>
    <x v="234"/>
    <n v="6.8099999999999994E-2"/>
    <n v="87.04"/>
    <n v="14"/>
    <n v="252"/>
    <n v="6"/>
    <n v="272"/>
    <x v="14"/>
    <x v="10"/>
    <x v="690"/>
    <x v="1"/>
    <x v="2"/>
    <s v=""/>
    <s v="Nao"/>
  </r>
  <r>
    <x v="765"/>
    <x v="6"/>
    <x v="6"/>
    <n v="1840"/>
    <x v="964"/>
    <n v="7.3899999999999993E-2"/>
    <n v="47.6"/>
    <n v="9"/>
    <n v="124"/>
    <n v="3"/>
    <n v="136"/>
    <x v="14"/>
    <x v="11"/>
    <x v="679"/>
    <x v="1"/>
    <x v="2"/>
    <s v=""/>
    <s v="Nao"/>
  </r>
  <r>
    <x v="765"/>
    <x v="14"/>
    <x v="12"/>
    <n v="3840"/>
    <x v="71"/>
    <n v="5.8900000000000001E-2"/>
    <n v="67.8"/>
    <n v="43"/>
    <n v="178"/>
    <n v="5"/>
    <n v="226"/>
    <x v="14"/>
    <x v="11"/>
    <x v="165"/>
    <x v="1"/>
    <x v="2"/>
    <s v=""/>
    <s v="Nao"/>
  </r>
  <r>
    <x v="766"/>
    <x v="10"/>
    <x v="10"/>
    <n v="2282"/>
    <x v="965"/>
    <n v="8.2799999999999999E-2"/>
    <n v="60.48"/>
    <n v="21"/>
    <n v="166"/>
    <n v="2"/>
    <n v="189"/>
    <x v="14"/>
    <x v="12"/>
    <x v="22"/>
    <x v="1"/>
    <x v="2"/>
    <s v=""/>
    <s v="Nao"/>
  </r>
  <r>
    <x v="766"/>
    <x v="8"/>
    <x v="8"/>
    <n v="2558"/>
    <x v="704"/>
    <n v="8.4400000000000003E-2"/>
    <n v="69.12"/>
    <n v="28"/>
    <n v="184"/>
    <n v="4"/>
    <n v="216"/>
    <x v="14"/>
    <x v="12"/>
    <x v="200"/>
    <x v="1"/>
    <x v="2"/>
    <s v=""/>
    <s v="Nao"/>
  </r>
  <r>
    <x v="767"/>
    <x v="14"/>
    <x v="12"/>
    <n v="3795"/>
    <x v="966"/>
    <n v="8.14E-2"/>
    <n v="92.7"/>
    <n v="65"/>
    <n v="238"/>
    <n v="6"/>
    <n v="309"/>
    <x v="14"/>
    <x v="13"/>
    <x v="489"/>
    <x v="1"/>
    <x v="2"/>
    <s v=""/>
    <s v="Nao"/>
  </r>
  <r>
    <x v="767"/>
    <x v="5"/>
    <x v="5"/>
    <n v="3974"/>
    <x v="967"/>
    <n v="6.2199999999999998E-2"/>
    <n v="83.98"/>
    <n v="7"/>
    <n v="237"/>
    <n v="3"/>
    <n v="247"/>
    <x v="14"/>
    <x v="13"/>
    <x v="377"/>
    <x v="1"/>
    <x v="2"/>
    <s v=""/>
    <s v="Nao"/>
  </r>
  <r>
    <x v="768"/>
    <x v="6"/>
    <x v="6"/>
    <n v="2102"/>
    <x v="968"/>
    <n v="7.1800000000000003E-2"/>
    <n v="52.85"/>
    <n v="6"/>
    <n v="141"/>
    <n v="4"/>
    <n v="151"/>
    <x v="14"/>
    <x v="14"/>
    <x v="210"/>
    <x v="1"/>
    <x v="2"/>
    <s v=""/>
    <s v="Nao"/>
  </r>
  <r>
    <x v="768"/>
    <x v="11"/>
    <x v="0"/>
    <n v="2919"/>
    <x v="640"/>
    <n v="6.9500000000000006E-2"/>
    <n v="56.84"/>
    <n v="10"/>
    <n v="189"/>
    <n v="4"/>
    <n v="203"/>
    <x v="14"/>
    <x v="14"/>
    <x v="152"/>
    <x v="1"/>
    <x v="2"/>
    <s v=""/>
    <s v="Nao"/>
  </r>
  <r>
    <x v="769"/>
    <x v="14"/>
    <x v="12"/>
    <n v="3304"/>
    <x v="61"/>
    <n v="8.2299999999999998E-2"/>
    <n v="81.599999999999994"/>
    <n v="85"/>
    <n v="70"/>
    <n v="117"/>
    <n v="272"/>
    <x v="14"/>
    <x v="15"/>
    <x v="388"/>
    <x v="1"/>
    <x v="2"/>
    <s v=""/>
    <s v="Sim"/>
  </r>
  <r>
    <x v="769"/>
    <x v="7"/>
    <x v="7"/>
    <n v="3490"/>
    <x v="969"/>
    <n v="7.7399999999999997E-2"/>
    <n v="81"/>
    <n v="53"/>
    <n v="214"/>
    <n v="3"/>
    <n v="270"/>
    <x v="14"/>
    <x v="15"/>
    <x v="110"/>
    <x v="1"/>
    <x v="2"/>
    <s v=""/>
    <s v="Nao"/>
  </r>
  <r>
    <x v="770"/>
    <x v="6"/>
    <x v="6"/>
    <n v="3444"/>
    <x v="807"/>
    <n v="5.8099999999999999E-2"/>
    <n v="70"/>
    <n v="2"/>
    <n v="192"/>
    <n v="6"/>
    <n v="200"/>
    <x v="14"/>
    <x v="16"/>
    <x v="262"/>
    <x v="1"/>
    <x v="2"/>
    <s v=""/>
    <s v="Nao"/>
  </r>
  <r>
    <x v="770"/>
    <x v="4"/>
    <x v="4"/>
    <n v="3998"/>
    <x v="970"/>
    <n v="6.6500000000000004E-2"/>
    <n v="93.1"/>
    <n v="11"/>
    <n v="251"/>
    <n v="4"/>
    <n v="266"/>
    <x v="14"/>
    <x v="16"/>
    <x v="692"/>
    <x v="1"/>
    <x v="2"/>
    <s v=""/>
    <s v="Nao"/>
  </r>
  <r>
    <x v="771"/>
    <x v="4"/>
    <x v="4"/>
    <n v="3571"/>
    <x v="971"/>
    <n v="7.4999999999999997E-2"/>
    <n v="93.8"/>
    <n v="19"/>
    <n v="246"/>
    <n v="3"/>
    <n v="268"/>
    <x v="14"/>
    <x v="17"/>
    <x v="361"/>
    <x v="1"/>
    <x v="2"/>
    <s v=""/>
    <s v="Nao"/>
  </r>
  <r>
    <x v="772"/>
    <x v="14"/>
    <x v="12"/>
    <n v="2442"/>
    <x v="972"/>
    <n v="9.1700000000000004E-2"/>
    <n v="67.2"/>
    <n v="69"/>
    <n v="147"/>
    <n v="8"/>
    <n v="224"/>
    <x v="14"/>
    <x v="18"/>
    <x v="2"/>
    <x v="1"/>
    <x v="2"/>
    <s v=""/>
    <s v="Nao"/>
  </r>
  <r>
    <x v="772"/>
    <x v="6"/>
    <x v="6"/>
    <n v="2277"/>
    <x v="973"/>
    <n v="7.7299999999999994E-2"/>
    <n v="61.6"/>
    <n v="9"/>
    <n v="162"/>
    <n v="5"/>
    <n v="176"/>
    <x v="14"/>
    <x v="18"/>
    <x v="18"/>
    <x v="1"/>
    <x v="2"/>
    <s v=""/>
    <s v="Nao"/>
  </r>
  <r>
    <x v="773"/>
    <x v="10"/>
    <x v="10"/>
    <n v="1932"/>
    <x v="974"/>
    <n v="8.5400000000000004E-2"/>
    <n v="52.8"/>
    <n v="61"/>
    <n v="18"/>
    <n v="86"/>
    <n v="165"/>
    <x v="14"/>
    <x v="19"/>
    <x v="628"/>
    <x v="1"/>
    <x v="2"/>
    <s v=""/>
    <s v="Sim"/>
  </r>
  <r>
    <x v="773"/>
    <x v="7"/>
    <x v="7"/>
    <n v="3489"/>
    <x v="975"/>
    <n v="7.9399999999999998E-2"/>
    <n v="83.1"/>
    <n v="51"/>
    <n v="223"/>
    <n v="3"/>
    <n v="277"/>
    <x v="14"/>
    <x v="19"/>
    <x v="307"/>
    <x v="1"/>
    <x v="2"/>
    <s v=""/>
    <s v="Nao"/>
  </r>
  <r>
    <x v="774"/>
    <x v="11"/>
    <x v="0"/>
    <n v="3712"/>
    <x v="620"/>
    <n v="6.3E-2"/>
    <n v="65.52"/>
    <n v="17"/>
    <n v="213"/>
    <n v="4"/>
    <n v="234"/>
    <x v="14"/>
    <x v="20"/>
    <x v="435"/>
    <x v="1"/>
    <x v="2"/>
    <s v=""/>
    <s v="Nao"/>
  </r>
  <r>
    <x v="774"/>
    <x v="14"/>
    <x v="12"/>
    <n v="3974"/>
    <x v="202"/>
    <n v="9.6100000000000005E-2"/>
    <n v="114.6"/>
    <n v="86"/>
    <n v="287"/>
    <n v="9"/>
    <n v="382"/>
    <x v="14"/>
    <x v="20"/>
    <x v="705"/>
    <x v="1"/>
    <x v="2"/>
    <s v=""/>
    <s v="Nao"/>
  </r>
  <r>
    <x v="775"/>
    <x v="5"/>
    <x v="5"/>
    <n v="3498"/>
    <x v="479"/>
    <n v="7.8299999999999995E-2"/>
    <n v="93.16"/>
    <n v="13"/>
    <n v="258"/>
    <n v="3"/>
    <n v="274"/>
    <x v="14"/>
    <x v="21"/>
    <x v="706"/>
    <x v="1"/>
    <x v="2"/>
    <s v=""/>
    <s v="Nao"/>
  </r>
  <r>
    <x v="776"/>
    <x v="2"/>
    <x v="2"/>
    <n v="2515"/>
    <x v="976"/>
    <n v="9.2200000000000004E-2"/>
    <n v="74.239999999999995"/>
    <n v="10"/>
    <n v="218"/>
    <n v="4"/>
    <n v="232"/>
    <x v="14"/>
    <x v="22"/>
    <x v="591"/>
    <x v="1"/>
    <x v="2"/>
    <s v=""/>
    <s v="Nao"/>
  </r>
  <r>
    <x v="776"/>
    <x v="6"/>
    <x v="6"/>
    <n v="4059"/>
    <x v="977"/>
    <n v="9.3600000000000003E-2"/>
    <n v="133"/>
    <n v="22"/>
    <n v="352"/>
    <n v="6"/>
    <n v="380"/>
    <x v="14"/>
    <x v="22"/>
    <x v="707"/>
    <x v="1"/>
    <x v="2"/>
    <s v=""/>
    <s v="Nao"/>
  </r>
  <r>
    <x v="777"/>
    <x v="4"/>
    <x v="4"/>
    <n v="3072"/>
    <x v="393"/>
    <n v="6.7100000000000007E-2"/>
    <n v="72.099999999999994"/>
    <n v="13"/>
    <n v="188"/>
    <n v="5"/>
    <n v="206"/>
    <x v="14"/>
    <x v="23"/>
    <x v="212"/>
    <x v="1"/>
    <x v="2"/>
    <s v=""/>
    <s v="Nao"/>
  </r>
  <r>
    <x v="777"/>
    <x v="1"/>
    <x v="1"/>
    <n v="2304"/>
    <x v="978"/>
    <n v="8.0299999999999996E-2"/>
    <n v="59.2"/>
    <n v="6"/>
    <n v="176"/>
    <n v="3"/>
    <n v="185"/>
    <x v="14"/>
    <x v="23"/>
    <x v="333"/>
    <x v="1"/>
    <x v="2"/>
    <s v=""/>
    <s v="Nao"/>
  </r>
  <r>
    <x v="778"/>
    <x v="6"/>
    <x v="6"/>
    <n v="3023"/>
    <x v="414"/>
    <n v="9.7600000000000006E-2"/>
    <n v="103.25"/>
    <n v="7"/>
    <n v="282"/>
    <n v="6"/>
    <n v="295"/>
    <x v="14"/>
    <x v="24"/>
    <x v="708"/>
    <x v="1"/>
    <x v="2"/>
    <s v=""/>
    <s v="Nao"/>
  </r>
  <r>
    <x v="778"/>
    <x v="7"/>
    <x v="7"/>
    <n v="2215"/>
    <x v="532"/>
    <n v="8.0399999999999999E-2"/>
    <n v="53.4"/>
    <n v="42"/>
    <n v="133"/>
    <n v="3"/>
    <n v="178"/>
    <x v="14"/>
    <x v="24"/>
    <x v="330"/>
    <x v="1"/>
    <x v="2"/>
    <s v=""/>
    <s v="Nao"/>
  </r>
  <r>
    <x v="779"/>
    <x v="2"/>
    <x v="2"/>
    <n v="1860"/>
    <x v="979"/>
    <n v="8.9200000000000002E-2"/>
    <n v="53.12"/>
    <n v="7"/>
    <n v="156"/>
    <n v="3"/>
    <n v="166"/>
    <x v="14"/>
    <x v="25"/>
    <x v="663"/>
    <x v="1"/>
    <x v="2"/>
    <s v=""/>
    <s v="Nao"/>
  </r>
  <r>
    <x v="779"/>
    <x v="8"/>
    <x v="8"/>
    <n v="2272"/>
    <x v="980"/>
    <n v="0.11360000000000001"/>
    <n v="82.56"/>
    <n v="22"/>
    <n v="232"/>
    <n v="4"/>
    <n v="258"/>
    <x v="14"/>
    <x v="25"/>
    <x v="362"/>
    <x v="1"/>
    <x v="2"/>
    <s v=""/>
    <s v="Nao"/>
  </r>
  <r>
    <x v="780"/>
    <x v="3"/>
    <x v="3"/>
    <n v="1811"/>
    <x v="981"/>
    <n v="8.6699999999999999E-2"/>
    <n v="43.96"/>
    <n v="5"/>
    <n v="150"/>
    <n v="2"/>
    <n v="157"/>
    <x v="14"/>
    <x v="26"/>
    <x v="415"/>
    <x v="1"/>
    <x v="2"/>
    <s v=""/>
    <s v="Nao"/>
  </r>
  <r>
    <x v="780"/>
    <x v="11"/>
    <x v="0"/>
    <n v="1861"/>
    <x v="159"/>
    <n v="6.2899999999999998E-2"/>
    <n v="32.76"/>
    <n v="7"/>
    <n v="108"/>
    <n v="2"/>
    <n v="117"/>
    <x v="14"/>
    <x v="26"/>
    <x v="295"/>
    <x v="1"/>
    <x v="2"/>
    <s v=""/>
    <s v="Nao"/>
  </r>
  <r>
    <x v="781"/>
    <x v="14"/>
    <x v="12"/>
    <n v="2560"/>
    <x v="259"/>
    <n v="9.1399999999999995E-2"/>
    <n v="70.2"/>
    <n v="63"/>
    <n v="163"/>
    <n v="8"/>
    <n v="234"/>
    <x v="14"/>
    <x v="27"/>
    <x v="110"/>
    <x v="1"/>
    <x v="2"/>
    <s v=""/>
    <s v="Nao"/>
  </r>
  <r>
    <x v="781"/>
    <x v="7"/>
    <x v="7"/>
    <n v="3661"/>
    <x v="982"/>
    <n v="8.1699999999999995E-2"/>
    <n v="89.7"/>
    <n v="81"/>
    <n v="212"/>
    <n v="6"/>
    <n v="299"/>
    <x v="14"/>
    <x v="27"/>
    <x v="709"/>
    <x v="1"/>
    <x v="2"/>
    <s v=""/>
    <s v="Nao"/>
  </r>
  <r>
    <x v="782"/>
    <x v="9"/>
    <x v="9"/>
    <n v="3003"/>
    <x v="983"/>
    <n v="6.8900000000000003E-2"/>
    <n v="53.82"/>
    <n v="15"/>
    <n v="190"/>
    <n v="2"/>
    <n v="207"/>
    <x v="14"/>
    <x v="28"/>
    <x v="710"/>
    <x v="1"/>
    <x v="2"/>
    <s v=""/>
    <s v="Nao"/>
  </r>
  <r>
    <x v="782"/>
    <x v="6"/>
    <x v="6"/>
    <n v="3896"/>
    <x v="984"/>
    <n v="6.4899999999999999E-2"/>
    <n v="88.55"/>
    <n v="16"/>
    <n v="233"/>
    <n v="4"/>
    <n v="253"/>
    <x v="14"/>
    <x v="28"/>
    <x v="711"/>
    <x v="1"/>
    <x v="2"/>
    <s v=""/>
    <s v="Nao"/>
  </r>
  <r>
    <x v="783"/>
    <x v="11"/>
    <x v="0"/>
    <n v="2593"/>
    <x v="397"/>
    <n v="6.9800000000000001E-2"/>
    <n v="50.68"/>
    <n v="7"/>
    <n v="170"/>
    <n v="4"/>
    <n v="181"/>
    <x v="14"/>
    <x v="29"/>
    <x v="581"/>
    <x v="1"/>
    <x v="2"/>
    <s v=""/>
    <s v="Nao"/>
  </r>
  <r>
    <x v="784"/>
    <x v="3"/>
    <x v="3"/>
    <n v="2916"/>
    <x v="862"/>
    <n v="8.5400000000000004E-2"/>
    <n v="69.72"/>
    <n v="12"/>
    <n v="231"/>
    <n v="6"/>
    <n v="249"/>
    <x v="14"/>
    <x v="30"/>
    <x v="712"/>
    <x v="1"/>
    <x v="2"/>
    <s v=""/>
    <s v="Nao"/>
  </r>
  <r>
    <x v="784"/>
    <x v="1"/>
    <x v="1"/>
    <n v="2091"/>
    <x v="985"/>
    <n v="8.6099999999999996E-2"/>
    <n v="57.6"/>
    <n v="7"/>
    <n v="168"/>
    <n v="5"/>
    <n v="180"/>
    <x v="14"/>
    <x v="30"/>
    <x v="502"/>
    <x v="1"/>
    <x v="2"/>
    <s v=""/>
    <s v="Nao"/>
  </r>
  <r>
    <x v="785"/>
    <x v="14"/>
    <x v="12"/>
    <n v="3741"/>
    <x v="986"/>
    <n v="0.1008"/>
    <n v="113.1"/>
    <n v="80"/>
    <n v="287"/>
    <n v="10"/>
    <n v="377"/>
    <x v="14"/>
    <x v="31"/>
    <x v="713"/>
    <x v="1"/>
    <x v="2"/>
    <s v=""/>
    <s v="Nao"/>
  </r>
  <r>
    <x v="786"/>
    <x v="4"/>
    <x v="4"/>
    <n v="2570"/>
    <x v="587"/>
    <n v="0.1016"/>
    <n v="91.35"/>
    <n v="6"/>
    <n v="250"/>
    <n v="5"/>
    <n v="261"/>
    <x v="14"/>
    <x v="32"/>
    <x v="126"/>
    <x v="1"/>
    <x v="2"/>
    <s v=""/>
    <s v="Nao"/>
  </r>
  <r>
    <x v="787"/>
    <x v="9"/>
    <x v="9"/>
    <n v="3491"/>
    <x v="987"/>
    <n v="7.85E-2"/>
    <n v="71.239999999999995"/>
    <n v="17"/>
    <n v="252"/>
    <n v="5"/>
    <n v="274"/>
    <x v="14"/>
    <x v="33"/>
    <x v="561"/>
    <x v="1"/>
    <x v="2"/>
    <s v=""/>
    <s v="Nao"/>
  </r>
  <r>
    <x v="788"/>
    <x v="2"/>
    <x v="2"/>
    <n v="2817"/>
    <x v="988"/>
    <n v="8.1299999999999997E-2"/>
    <n v="73.28"/>
    <n v="9"/>
    <n v="217"/>
    <n v="3"/>
    <n v="229"/>
    <x v="14"/>
    <x v="34"/>
    <x v="714"/>
    <x v="1"/>
    <x v="2"/>
    <s v=""/>
    <s v="Nao"/>
  </r>
  <r>
    <x v="788"/>
    <x v="14"/>
    <x v="12"/>
    <n v="2208"/>
    <x v="989"/>
    <n v="0.111"/>
    <n v="73.5"/>
    <n v="78"/>
    <n v="160"/>
    <n v="7"/>
    <n v="245"/>
    <x v="14"/>
    <x v="34"/>
    <x v="715"/>
    <x v="1"/>
    <x v="2"/>
    <n v="49"/>
    <s v="Nao"/>
  </r>
  <r>
    <x v="789"/>
    <x v="9"/>
    <x v="9"/>
    <n v="3782"/>
    <x v="990"/>
    <n v="6.0299999999999999E-2"/>
    <n v="59.28"/>
    <n v="5"/>
    <n v="219"/>
    <n v="4"/>
    <n v="228"/>
    <x v="15"/>
    <x v="36"/>
    <x v="227"/>
    <x v="1"/>
    <x v="2"/>
    <s v=""/>
    <s v="Nao"/>
  </r>
  <r>
    <x v="789"/>
    <x v="14"/>
    <x v="12"/>
    <n v="1932"/>
    <x v="991"/>
    <n v="4.6100000000000002E-2"/>
    <n v="26.7"/>
    <n v="23"/>
    <n v="63"/>
    <n v="3"/>
    <n v="89"/>
    <x v="15"/>
    <x v="36"/>
    <x v="716"/>
    <x v="1"/>
    <x v="2"/>
    <s v=""/>
    <s v="Nao"/>
  </r>
  <r>
    <x v="790"/>
    <x v="3"/>
    <x v="3"/>
    <n v="3460"/>
    <x v="992"/>
    <n v="6.3600000000000004E-2"/>
    <n v="61.6"/>
    <n v="7"/>
    <n v="211"/>
    <n v="2"/>
    <n v="220"/>
    <x v="15"/>
    <x v="37"/>
    <x v="70"/>
    <x v="1"/>
    <x v="2"/>
    <s v=""/>
    <s v="Nao"/>
  </r>
  <r>
    <x v="790"/>
    <x v="13"/>
    <x v="9"/>
    <n v="3714"/>
    <x v="993"/>
    <n v="7.4300000000000005E-2"/>
    <n v="82.8"/>
    <n v="16"/>
    <n v="256"/>
    <n v="4"/>
    <n v="276"/>
    <x v="15"/>
    <x v="37"/>
    <x v="310"/>
    <x v="1"/>
    <x v="2"/>
    <s v=""/>
    <s v="Nao"/>
  </r>
  <r>
    <x v="791"/>
    <x v="5"/>
    <x v="5"/>
    <n v="3979"/>
    <x v="994"/>
    <n v="3.8199999999999998E-2"/>
    <n v="51.68"/>
    <n v="8"/>
    <n v="141"/>
    <n v="3"/>
    <n v="152"/>
    <x v="15"/>
    <x v="38"/>
    <x v="115"/>
    <x v="1"/>
    <x v="2"/>
    <s v=""/>
    <s v="Nao"/>
  </r>
  <r>
    <x v="791"/>
    <x v="12"/>
    <x v="11"/>
    <n v="1980"/>
    <x v="296"/>
    <n v="7.17E-2"/>
    <n v="45.44"/>
    <n v="17"/>
    <n v="122"/>
    <n v="3"/>
    <n v="142"/>
    <x v="15"/>
    <x v="38"/>
    <x v="401"/>
    <x v="1"/>
    <x v="2"/>
    <s v=""/>
    <s v="Nao"/>
  </r>
  <r>
    <x v="792"/>
    <x v="0"/>
    <x v="0"/>
    <n v="3438"/>
    <x v="995"/>
    <n v="5.9900000000000002E-2"/>
    <n v="65.92"/>
    <n v="11"/>
    <n v="190"/>
    <n v="5"/>
    <n v="206"/>
    <x v="15"/>
    <x v="39"/>
    <x v="717"/>
    <x v="2"/>
    <x v="2"/>
    <s v=""/>
    <s v="Nao"/>
  </r>
  <r>
    <x v="792"/>
    <x v="8"/>
    <x v="8"/>
    <n v="3469"/>
    <x v="823"/>
    <n v="8.9700000000000002E-2"/>
    <n v="99.52"/>
    <n v="29"/>
    <n v="278"/>
    <n v="4"/>
    <n v="311"/>
    <x v="15"/>
    <x v="39"/>
    <x v="432"/>
    <x v="2"/>
    <x v="2"/>
    <s v=""/>
    <s v="Nao"/>
  </r>
  <r>
    <x v="793"/>
    <x v="13"/>
    <x v="9"/>
    <n v="4096"/>
    <x v="996"/>
    <n v="4.8800000000000003E-2"/>
    <n v="60"/>
    <n v="13"/>
    <n v="185"/>
    <n v="2"/>
    <n v="200"/>
    <x v="15"/>
    <x v="40"/>
    <x v="512"/>
    <x v="2"/>
    <x v="2"/>
    <s v=""/>
    <s v="Nao"/>
  </r>
  <r>
    <x v="794"/>
    <x v="1"/>
    <x v="1"/>
    <n v="3033"/>
    <x v="997"/>
    <n v="5.5399999999999998E-2"/>
    <n v="53.76"/>
    <n v="9"/>
    <n v="156"/>
    <n v="3"/>
    <n v="168"/>
    <x v="15"/>
    <x v="41"/>
    <x v="63"/>
    <x v="2"/>
    <x v="2"/>
    <s v=""/>
    <s v="Nao"/>
  </r>
  <r>
    <x v="795"/>
    <x v="5"/>
    <x v="5"/>
    <n v="3927"/>
    <x v="731"/>
    <n v="5.3499999999999999E-2"/>
    <n v="71.400000000000006"/>
    <n v="9"/>
    <n v="198"/>
    <n v="3"/>
    <n v="210"/>
    <x v="15"/>
    <x v="42"/>
    <x v="718"/>
    <x v="2"/>
    <x v="2"/>
    <s v=""/>
    <s v="Nao"/>
  </r>
  <r>
    <x v="795"/>
    <x v="11"/>
    <x v="0"/>
    <n v="2118"/>
    <x v="998"/>
    <n v="3.8699999999999998E-2"/>
    <n v="22.96"/>
    <n v="2"/>
    <n v="78"/>
    <n v="2"/>
    <n v="82"/>
    <x v="15"/>
    <x v="42"/>
    <x v="719"/>
    <x v="2"/>
    <x v="2"/>
    <s v=""/>
    <s v="Nao"/>
  </r>
  <r>
    <x v="796"/>
    <x v="2"/>
    <x v="2"/>
    <n v="2212"/>
    <x v="47"/>
    <n v="3.5299999999999998E-2"/>
    <n v="24.96"/>
    <n v="4"/>
    <n v="73"/>
    <n v="1"/>
    <n v="78"/>
    <x v="15"/>
    <x v="43"/>
    <x v="720"/>
    <x v="2"/>
    <x v="2"/>
    <s v=""/>
    <s v="Nao"/>
  </r>
  <r>
    <x v="796"/>
    <x v="10"/>
    <x v="10"/>
    <n v="4145"/>
    <x v="999"/>
    <n v="8.0799999999999997E-2"/>
    <n v="107.2"/>
    <n v="46"/>
    <n v="285"/>
    <n v="4"/>
    <n v="335"/>
    <x v="15"/>
    <x v="43"/>
    <x v="361"/>
    <x v="2"/>
    <x v="2"/>
    <s v=""/>
    <s v="Nao"/>
  </r>
  <r>
    <x v="797"/>
    <x v="13"/>
    <x v="9"/>
    <n v="2538"/>
    <x v="750"/>
    <n v="7.0499999999999993E-2"/>
    <n v="53.7"/>
    <n v="10"/>
    <n v="167"/>
    <n v="2"/>
    <n v="179"/>
    <x v="15"/>
    <x v="44"/>
    <x v="667"/>
    <x v="2"/>
    <x v="2"/>
    <s v=""/>
    <s v="Nao"/>
  </r>
  <r>
    <x v="798"/>
    <x v="6"/>
    <x v="6"/>
    <n v="1920"/>
    <x v="1000"/>
    <n v="0.05"/>
    <n v="33.6"/>
    <n v="6"/>
    <n v="88"/>
    <n v="2"/>
    <n v="96"/>
    <x v="15"/>
    <x v="45"/>
    <x v="721"/>
    <x v="2"/>
    <x v="2"/>
    <s v=""/>
    <s v="Nao"/>
  </r>
  <r>
    <x v="799"/>
    <x v="0"/>
    <x v="0"/>
    <n v="3269"/>
    <x v="1001"/>
    <n v="4.0099999999999997E-2"/>
    <n v="41.92"/>
    <n v="6"/>
    <n v="124"/>
    <n v="1"/>
    <n v="131"/>
    <x v="15"/>
    <x v="46"/>
    <x v="522"/>
    <x v="2"/>
    <x v="2"/>
    <s v=""/>
    <s v="Nao"/>
  </r>
  <r>
    <x v="800"/>
    <x v="14"/>
    <x v="12"/>
    <n v="3532"/>
    <x v="676"/>
    <n v="6.6000000000000003E-2"/>
    <n v="69.900000000000006"/>
    <n v="63"/>
    <n v="167"/>
    <n v="3"/>
    <n v="233"/>
    <x v="15"/>
    <x v="47"/>
    <x v="722"/>
    <x v="2"/>
    <x v="2"/>
    <s v=""/>
    <s v="Nao"/>
  </r>
  <r>
    <x v="800"/>
    <x v="7"/>
    <x v="7"/>
    <n v="3515"/>
    <x v="1002"/>
    <n v="6.83E-2"/>
    <n v="72"/>
    <n v="50"/>
    <n v="186"/>
    <n v="4"/>
    <n v="240"/>
    <x v="15"/>
    <x v="47"/>
    <x v="193"/>
    <x v="2"/>
    <x v="2"/>
    <s v=""/>
    <s v="Nao"/>
  </r>
  <r>
    <x v="801"/>
    <x v="4"/>
    <x v="4"/>
    <n v="4120"/>
    <x v="1003"/>
    <n v="5.7799999999999997E-2"/>
    <n v="83.3"/>
    <n v="8"/>
    <n v="224"/>
    <n v="6"/>
    <n v="238"/>
    <x v="15"/>
    <x v="48"/>
    <x v="304"/>
    <x v="2"/>
    <x v="2"/>
    <s v=""/>
    <s v="Nao"/>
  </r>
  <r>
    <x v="801"/>
    <x v="4"/>
    <x v="4"/>
    <n v="4006"/>
    <x v="1004"/>
    <n v="6.1400000000000003E-2"/>
    <n v="86.1"/>
    <n v="91"/>
    <n v="49"/>
    <n v="106"/>
    <n v="246"/>
    <x v="15"/>
    <x v="48"/>
    <x v="244"/>
    <x v="2"/>
    <x v="2"/>
    <s v=""/>
    <s v="Sim"/>
  </r>
  <r>
    <x v="802"/>
    <x v="2"/>
    <x v="2"/>
    <n v="3056"/>
    <x v="1005"/>
    <n v="6.0199999999999997E-2"/>
    <n v="58.88"/>
    <n v="11"/>
    <n v="171"/>
    <n v="2"/>
    <n v="184"/>
    <x v="15"/>
    <x v="49"/>
    <x v="589"/>
    <x v="2"/>
    <x v="2"/>
    <s v=""/>
    <s v="Nao"/>
  </r>
  <r>
    <x v="802"/>
    <x v="6"/>
    <x v="6"/>
    <n v="2852"/>
    <x v="200"/>
    <n v="5.8900000000000001E-2"/>
    <n v="58.8"/>
    <n v="8"/>
    <n v="157"/>
    <n v="3"/>
    <n v="168"/>
    <x v="15"/>
    <x v="49"/>
    <x v="301"/>
    <x v="2"/>
    <x v="2"/>
    <s v=""/>
    <s v="Nao"/>
  </r>
  <r>
    <x v="803"/>
    <x v="11"/>
    <x v="0"/>
    <n v="2740"/>
    <x v="1006"/>
    <n v="7.1900000000000006E-2"/>
    <n v="55.16"/>
    <n v="12"/>
    <n v="180"/>
    <n v="5"/>
    <n v="197"/>
    <x v="15"/>
    <x v="50"/>
    <x v="596"/>
    <x v="2"/>
    <x v="2"/>
    <s v=""/>
    <s v="Nao"/>
  </r>
  <r>
    <x v="804"/>
    <x v="7"/>
    <x v="7"/>
    <n v="1938"/>
    <x v="846"/>
    <n v="7.22E-2"/>
    <n v="42"/>
    <n v="33"/>
    <n v="102"/>
    <n v="5"/>
    <n v="140"/>
    <x v="15"/>
    <x v="0"/>
    <x v="723"/>
    <x v="2"/>
    <x v="2"/>
    <s v=""/>
    <s v="Nao"/>
  </r>
  <r>
    <x v="804"/>
    <x v="4"/>
    <x v="4"/>
    <n v="2892"/>
    <x v="1007"/>
    <n v="5.74E-2"/>
    <n v="58.1"/>
    <n v="4"/>
    <n v="158"/>
    <n v="4"/>
    <n v="166"/>
    <x v="15"/>
    <x v="0"/>
    <x v="724"/>
    <x v="2"/>
    <x v="2"/>
    <s v=""/>
    <s v="Nao"/>
  </r>
  <r>
    <x v="805"/>
    <x v="14"/>
    <x v="12"/>
    <n v="3001"/>
    <x v="1008"/>
    <n v="7.1300000000000002E-2"/>
    <n v="64.2"/>
    <n v="59"/>
    <n v="151"/>
    <n v="4"/>
    <n v="214"/>
    <x v="15"/>
    <x v="1"/>
    <x v="289"/>
    <x v="2"/>
    <x v="2"/>
    <s v=""/>
    <s v="Nao"/>
  </r>
  <r>
    <x v="805"/>
    <x v="10"/>
    <x v="10"/>
    <n v="2461"/>
    <x v="98"/>
    <n v="8.3699999999999997E-2"/>
    <n v="65.92"/>
    <n v="21"/>
    <n v="181"/>
    <n v="4"/>
    <n v="206"/>
    <x v="15"/>
    <x v="1"/>
    <x v="538"/>
    <x v="2"/>
    <x v="2"/>
    <s v=""/>
    <s v="Nao"/>
  </r>
  <r>
    <x v="806"/>
    <x v="3"/>
    <x v="3"/>
    <n v="1945"/>
    <x v="10"/>
    <n v="6.0199999999999997E-2"/>
    <n v="32.76"/>
    <n v="9"/>
    <n v="107"/>
    <n v="1"/>
    <n v="117"/>
    <x v="15"/>
    <x v="2"/>
    <x v="725"/>
    <x v="2"/>
    <x v="2"/>
    <s v=""/>
    <s v="Nao"/>
  </r>
  <r>
    <x v="806"/>
    <x v="8"/>
    <x v="8"/>
    <n v="2181"/>
    <x v="1009"/>
    <n v="8.7099999999999997E-2"/>
    <n v="60.8"/>
    <n v="22"/>
    <n v="163"/>
    <n v="5"/>
    <n v="190"/>
    <x v="15"/>
    <x v="2"/>
    <x v="549"/>
    <x v="2"/>
    <x v="2"/>
    <s v=""/>
    <s v="Nao"/>
  </r>
  <r>
    <x v="807"/>
    <x v="2"/>
    <x v="2"/>
    <n v="3159"/>
    <x v="2"/>
    <n v="7.0000000000000007E-2"/>
    <n v="70.72"/>
    <n v="16"/>
    <n v="202"/>
    <n v="3"/>
    <n v="221"/>
    <x v="15"/>
    <x v="3"/>
    <x v="28"/>
    <x v="2"/>
    <x v="2"/>
    <s v=""/>
    <s v="Nao"/>
  </r>
  <r>
    <x v="808"/>
    <x v="2"/>
    <x v="2"/>
    <n v="3700"/>
    <x v="884"/>
    <n v="8.3500000000000005E-2"/>
    <n v="98.88"/>
    <n v="17"/>
    <n v="287"/>
    <n v="5"/>
    <n v="309"/>
    <x v="15"/>
    <x v="4"/>
    <x v="46"/>
    <x v="2"/>
    <x v="2"/>
    <s v=""/>
    <s v="Nao"/>
  </r>
  <r>
    <x v="808"/>
    <x v="4"/>
    <x v="4"/>
    <n v="2258"/>
    <x v="1010"/>
    <n v="6.8199999999999997E-2"/>
    <n v="53.9"/>
    <n v="11"/>
    <n v="141"/>
    <n v="2"/>
    <n v="154"/>
    <x v="15"/>
    <x v="4"/>
    <x v="237"/>
    <x v="2"/>
    <x v="2"/>
    <s v=""/>
    <s v="Nao"/>
  </r>
  <r>
    <x v="809"/>
    <x v="3"/>
    <x v="3"/>
    <n v="2216"/>
    <x v="1011"/>
    <n v="5.3699999999999998E-2"/>
    <n v="33.32"/>
    <n v="5"/>
    <n v="113"/>
    <n v="1"/>
    <n v="119"/>
    <x v="15"/>
    <x v="5"/>
    <x v="496"/>
    <x v="2"/>
    <x v="2"/>
    <s v=""/>
    <s v="Nao"/>
  </r>
  <r>
    <x v="810"/>
    <x v="10"/>
    <x v="10"/>
    <n v="2620"/>
    <x v="642"/>
    <n v="8.4000000000000005E-2"/>
    <n v="70.400000000000006"/>
    <n v="23"/>
    <n v="194"/>
    <n v="3"/>
    <n v="220"/>
    <x v="15"/>
    <x v="6"/>
    <x v="406"/>
    <x v="2"/>
    <x v="2"/>
    <s v=""/>
    <s v="Nao"/>
  </r>
  <r>
    <x v="810"/>
    <x v="2"/>
    <x v="2"/>
    <n v="1956"/>
    <x v="598"/>
    <n v="7.9200000000000007E-2"/>
    <n v="49.6"/>
    <n v="9"/>
    <n v="142"/>
    <n v="4"/>
    <n v="155"/>
    <x v="15"/>
    <x v="6"/>
    <x v="330"/>
    <x v="2"/>
    <x v="2"/>
    <s v=""/>
    <s v="Nao"/>
  </r>
  <r>
    <x v="811"/>
    <x v="9"/>
    <x v="9"/>
    <n v="2391"/>
    <x v="905"/>
    <n v="8.2000000000000003E-2"/>
    <n v="50.96"/>
    <n v="8"/>
    <n v="183"/>
    <n v="5"/>
    <n v="196"/>
    <x v="15"/>
    <x v="7"/>
    <x v="73"/>
    <x v="2"/>
    <x v="2"/>
    <s v=""/>
    <s v="Nao"/>
  </r>
  <r>
    <x v="812"/>
    <x v="14"/>
    <x v="12"/>
    <n v="3400"/>
    <x v="1012"/>
    <n v="4.3499999999999997E-2"/>
    <n v="44.4"/>
    <n v="41"/>
    <n v="103"/>
    <n v="4"/>
    <n v="148"/>
    <x v="15"/>
    <x v="8"/>
    <x v="472"/>
    <x v="2"/>
    <x v="2"/>
    <s v=""/>
    <s v="Nao"/>
  </r>
  <r>
    <x v="812"/>
    <x v="1"/>
    <x v="1"/>
    <n v="1898"/>
    <x v="774"/>
    <n v="5.0599999999999999E-2"/>
    <n v="30.72"/>
    <n v="5"/>
    <n v="90"/>
    <n v="1"/>
    <n v="96"/>
    <x v="15"/>
    <x v="8"/>
    <x v="726"/>
    <x v="2"/>
    <x v="2"/>
    <s v=""/>
    <s v="Nao"/>
  </r>
  <r>
    <x v="813"/>
    <x v="5"/>
    <x v="5"/>
    <n v="2868"/>
    <x v="1013"/>
    <n v="5.9299999999999999E-2"/>
    <n v="57.8"/>
    <n v="10"/>
    <n v="155"/>
    <n v="5"/>
    <n v="170"/>
    <x v="15"/>
    <x v="9"/>
    <x v="700"/>
    <x v="2"/>
    <x v="2"/>
    <s v=""/>
    <s v="Nao"/>
  </r>
  <r>
    <x v="814"/>
    <x v="14"/>
    <x v="12"/>
    <n v="4019"/>
    <x v="683"/>
    <n v="6.3200000000000006E-2"/>
    <n v="76.2"/>
    <n v="80"/>
    <n v="166"/>
    <n v="8"/>
    <n v="254"/>
    <x v="15"/>
    <x v="10"/>
    <x v="727"/>
    <x v="2"/>
    <x v="2"/>
    <s v=""/>
    <s v="Nao"/>
  </r>
  <r>
    <x v="814"/>
    <x v="4"/>
    <x v="4"/>
    <n v="2842"/>
    <x v="1014"/>
    <n v="7.3200000000000001E-2"/>
    <n v="72.8"/>
    <n v="15"/>
    <n v="191"/>
    <n v="2"/>
    <n v="208"/>
    <x v="15"/>
    <x v="10"/>
    <x v="60"/>
    <x v="2"/>
    <x v="2"/>
    <s v=""/>
    <s v="Nao"/>
  </r>
  <r>
    <x v="815"/>
    <x v="4"/>
    <x v="4"/>
    <n v="4068"/>
    <x v="1015"/>
    <n v="7.1300000000000002E-2"/>
    <n v="101.5"/>
    <n v="12"/>
    <n v="272"/>
    <n v="6"/>
    <n v="290"/>
    <x v="15"/>
    <x v="11"/>
    <x v="728"/>
    <x v="2"/>
    <x v="2"/>
    <s v=""/>
    <s v="Nao"/>
  </r>
  <r>
    <x v="815"/>
    <x v="9"/>
    <x v="9"/>
    <n v="3214"/>
    <x v="1016"/>
    <n v="7.4700000000000003E-2"/>
    <n v="62.4"/>
    <n v="19"/>
    <n v="219"/>
    <n v="2"/>
    <n v="240"/>
    <x v="15"/>
    <x v="11"/>
    <x v="729"/>
    <x v="2"/>
    <x v="2"/>
    <s v=""/>
    <s v="Nao"/>
  </r>
  <r>
    <x v="816"/>
    <x v="9"/>
    <x v="9"/>
    <n v="2554"/>
    <x v="606"/>
    <n v="7.1999999999999995E-2"/>
    <n v="47.84"/>
    <n v="7"/>
    <n v="174"/>
    <n v="3"/>
    <n v="184"/>
    <x v="15"/>
    <x v="12"/>
    <x v="293"/>
    <x v="2"/>
    <x v="2"/>
    <s v=""/>
    <s v="Nao"/>
  </r>
  <r>
    <x v="816"/>
    <x v="9"/>
    <x v="9"/>
    <n v="3477"/>
    <x v="675"/>
    <n v="8.2500000000000004E-2"/>
    <n v="74.62"/>
    <n v="8"/>
    <n v="274"/>
    <n v="5"/>
    <n v="287"/>
    <x v="15"/>
    <x v="12"/>
    <x v="342"/>
    <x v="2"/>
    <x v="2"/>
    <s v=""/>
    <s v="Nao"/>
  </r>
  <r>
    <x v="817"/>
    <x v="4"/>
    <x v="4"/>
    <n v="2874"/>
    <x v="1017"/>
    <n v="6.5100000000000005E-2"/>
    <n v="65.45"/>
    <n v="12"/>
    <n v="172"/>
    <n v="3"/>
    <n v="187"/>
    <x v="15"/>
    <x v="13"/>
    <x v="39"/>
    <x v="2"/>
    <x v="2"/>
    <s v=""/>
    <s v="Nao"/>
  </r>
  <r>
    <x v="817"/>
    <x v="13"/>
    <x v="9"/>
    <n v="3298"/>
    <x v="1018"/>
    <n v="6.5799999999999997E-2"/>
    <n v="65.099999999999994"/>
    <n v="14"/>
    <n v="198"/>
    <n v="5"/>
    <n v="217"/>
    <x v="15"/>
    <x v="13"/>
    <x v="403"/>
    <x v="2"/>
    <x v="2"/>
    <s v=""/>
    <s v="Nao"/>
  </r>
  <r>
    <x v="818"/>
    <x v="10"/>
    <x v="10"/>
    <n v="2592"/>
    <x v="1019"/>
    <n v="9.4899999999999998E-2"/>
    <n v="78.72"/>
    <n v="37"/>
    <n v="205"/>
    <n v="4"/>
    <n v="246"/>
    <x v="15"/>
    <x v="14"/>
    <x v="130"/>
    <x v="2"/>
    <x v="2"/>
    <s v=""/>
    <s v="Nao"/>
  </r>
  <r>
    <x v="819"/>
    <x v="1"/>
    <x v="1"/>
    <n v="3982"/>
    <x v="1020"/>
    <n v="5.9499999999999997E-2"/>
    <n v="75.84"/>
    <n v="8"/>
    <n v="223"/>
    <n v="6"/>
    <n v="237"/>
    <x v="15"/>
    <x v="15"/>
    <x v="523"/>
    <x v="2"/>
    <x v="2"/>
    <s v=""/>
    <s v="Nao"/>
  </r>
  <r>
    <x v="820"/>
    <x v="4"/>
    <x v="4"/>
    <n v="2879"/>
    <x v="1021"/>
    <n v="5.9700000000000003E-2"/>
    <n v="60.2"/>
    <n v="10"/>
    <n v="158"/>
    <n v="4"/>
    <n v="172"/>
    <x v="15"/>
    <x v="16"/>
    <x v="289"/>
    <x v="2"/>
    <x v="2"/>
    <s v=""/>
    <s v="Nao"/>
  </r>
  <r>
    <x v="820"/>
    <x v="5"/>
    <x v="5"/>
    <n v="3558"/>
    <x v="1022"/>
    <n v="7.4200000000000002E-2"/>
    <n v="89.76"/>
    <n v="11"/>
    <n v="247"/>
    <n v="6"/>
    <n v="264"/>
    <x v="15"/>
    <x v="16"/>
    <x v="501"/>
    <x v="2"/>
    <x v="2"/>
    <s v=""/>
    <s v="Nao"/>
  </r>
  <r>
    <x v="821"/>
    <x v="2"/>
    <x v="2"/>
    <n v="2030"/>
    <x v="1023"/>
    <n v="8.5699999999999998E-2"/>
    <n v="55.68"/>
    <n v="13"/>
    <n v="159"/>
    <n v="2"/>
    <n v="174"/>
    <x v="15"/>
    <x v="17"/>
    <x v="62"/>
    <x v="2"/>
    <x v="2"/>
    <s v=""/>
    <s v="Nao"/>
  </r>
  <r>
    <x v="821"/>
    <x v="10"/>
    <x v="10"/>
    <n v="3227"/>
    <x v="1024"/>
    <n v="7.5899999999999995E-2"/>
    <n v="78.400000000000006"/>
    <n v="34"/>
    <n v="205"/>
    <n v="6"/>
    <n v="245"/>
    <x v="15"/>
    <x v="17"/>
    <x v="198"/>
    <x v="2"/>
    <x v="2"/>
    <s v=""/>
    <s v="Nao"/>
  </r>
  <r>
    <x v="822"/>
    <x v="11"/>
    <x v="0"/>
    <n v="3836"/>
    <x v="1025"/>
    <n v="5.9200000000000003E-2"/>
    <n v="63.56"/>
    <n v="15"/>
    <n v="208"/>
    <n v="4"/>
    <n v="227"/>
    <x v="15"/>
    <x v="18"/>
    <x v="730"/>
    <x v="2"/>
    <x v="2"/>
    <s v=""/>
    <s v="Nao"/>
  </r>
  <r>
    <x v="823"/>
    <x v="12"/>
    <x v="11"/>
    <n v="1971"/>
    <x v="124"/>
    <n v="8.2199999999999995E-2"/>
    <n v="51.84"/>
    <n v="21"/>
    <n v="139"/>
    <n v="2"/>
    <n v="162"/>
    <x v="15"/>
    <x v="19"/>
    <x v="455"/>
    <x v="3"/>
    <x v="3"/>
    <s v=""/>
    <s v="Nao"/>
  </r>
  <r>
    <x v="824"/>
    <x v="9"/>
    <x v="9"/>
    <n v="2556"/>
    <x v="1026"/>
    <n v="6.9599999999999995E-2"/>
    <n v="46.28"/>
    <n v="9"/>
    <n v="166"/>
    <n v="3"/>
    <n v="178"/>
    <x v="15"/>
    <x v="20"/>
    <x v="277"/>
    <x v="3"/>
    <x v="3"/>
    <s v=""/>
    <s v="Nao"/>
  </r>
  <r>
    <x v="824"/>
    <x v="14"/>
    <x v="12"/>
    <n v="2045"/>
    <x v="1027"/>
    <n v="8.4099999999999994E-2"/>
    <n v="51.6"/>
    <n v="48"/>
    <n v="122"/>
    <n v="2"/>
    <n v="172"/>
    <x v="15"/>
    <x v="20"/>
    <x v="672"/>
    <x v="3"/>
    <x v="3"/>
    <s v=""/>
    <s v="Nao"/>
  </r>
  <r>
    <x v="825"/>
    <x v="14"/>
    <x v="12"/>
    <n v="3160"/>
    <x v="1028"/>
    <n v="8.8300000000000003E-2"/>
    <n v="83.7"/>
    <n v="78"/>
    <n v="196"/>
    <n v="5"/>
    <n v="279"/>
    <x v="15"/>
    <x v="21"/>
    <x v="731"/>
    <x v="3"/>
    <x v="3"/>
    <s v=""/>
    <s v="Nao"/>
  </r>
  <r>
    <x v="825"/>
    <x v="5"/>
    <x v="5"/>
    <n v="3904"/>
    <x v="475"/>
    <n v="6.1199999999999997E-2"/>
    <n v="81.260000000000005"/>
    <n v="14"/>
    <n v="221"/>
    <n v="4"/>
    <n v="239"/>
    <x v="15"/>
    <x v="21"/>
    <x v="486"/>
    <x v="3"/>
    <x v="3"/>
    <s v=""/>
    <s v="Nao"/>
  </r>
  <r>
    <x v="826"/>
    <x v="10"/>
    <x v="10"/>
    <n v="2373"/>
    <x v="1029"/>
    <n v="0.10199999999999999"/>
    <n v="77.44"/>
    <n v="27"/>
    <n v="209"/>
    <n v="6"/>
    <n v="242"/>
    <x v="15"/>
    <x v="22"/>
    <x v="566"/>
    <x v="3"/>
    <x v="3"/>
    <s v=""/>
    <s v="Nao"/>
  </r>
  <r>
    <x v="827"/>
    <x v="2"/>
    <x v="2"/>
    <n v="3996"/>
    <x v="1030"/>
    <n v="9.2799999999999994E-2"/>
    <n v="118.72"/>
    <n v="13"/>
    <n v="354"/>
    <n v="4"/>
    <n v="371"/>
    <x v="15"/>
    <x v="23"/>
    <x v="732"/>
    <x v="3"/>
    <x v="3"/>
    <s v=""/>
    <s v="Nao"/>
  </r>
  <r>
    <x v="827"/>
    <x v="11"/>
    <x v="0"/>
    <n v="2354"/>
    <x v="1031"/>
    <n v="6.88E-2"/>
    <n v="45.36"/>
    <n v="9"/>
    <n v="149"/>
    <n v="4"/>
    <n v="162"/>
    <x v="15"/>
    <x v="23"/>
    <x v="452"/>
    <x v="3"/>
    <x v="3"/>
    <s v=""/>
    <s v="Nao"/>
  </r>
  <r>
    <x v="828"/>
    <x v="10"/>
    <x v="10"/>
    <n v="3743"/>
    <x v="1032"/>
    <n v="0.11219999999999999"/>
    <n v="134.4"/>
    <n v="38"/>
    <n v="371"/>
    <n v="11"/>
    <n v="420"/>
    <x v="15"/>
    <x v="24"/>
    <x v="325"/>
    <x v="3"/>
    <x v="3"/>
    <s v=""/>
    <s v="Nao"/>
  </r>
  <r>
    <x v="828"/>
    <x v="4"/>
    <x v="4"/>
    <n v="2775"/>
    <x v="1033"/>
    <n v="6.9500000000000006E-2"/>
    <n v="67.55"/>
    <n v="11"/>
    <n v="177"/>
    <n v="5"/>
    <n v="193"/>
    <x v="15"/>
    <x v="24"/>
    <x v="533"/>
    <x v="3"/>
    <x v="3"/>
    <s v=""/>
    <s v="Nao"/>
  </r>
  <r>
    <x v="829"/>
    <x v="0"/>
    <x v="0"/>
    <n v="4118"/>
    <x v="1034"/>
    <n v="8.7400000000000005E-2"/>
    <n v="115.2"/>
    <n v="16"/>
    <n v="340"/>
    <n v="4"/>
    <n v="360"/>
    <x v="15"/>
    <x v="25"/>
    <x v="427"/>
    <x v="3"/>
    <x v="3"/>
    <s v=""/>
    <s v="Nao"/>
  </r>
  <r>
    <x v="830"/>
    <x v="12"/>
    <x v="11"/>
    <n v="3294"/>
    <x v="309"/>
    <n v="9.5299999999999996E-2"/>
    <n v="100.48"/>
    <n v="39"/>
    <n v="266"/>
    <n v="9"/>
    <n v="314"/>
    <x v="15"/>
    <x v="26"/>
    <x v="733"/>
    <x v="3"/>
    <x v="3"/>
    <s v=""/>
    <s v="Nao"/>
  </r>
  <r>
    <x v="830"/>
    <x v="12"/>
    <x v="11"/>
    <n v="2446"/>
    <x v="1035"/>
    <n v="0.10299999999999999"/>
    <n v="80.64"/>
    <n v="29"/>
    <n v="219"/>
    <n v="4"/>
    <n v="252"/>
    <x v="15"/>
    <x v="26"/>
    <x v="43"/>
    <x v="3"/>
    <x v="3"/>
    <s v=""/>
    <s v="Nao"/>
  </r>
  <r>
    <x v="831"/>
    <x v="10"/>
    <x v="10"/>
    <n v="2135"/>
    <x v="1036"/>
    <n v="8.7099999999999997E-2"/>
    <n v="59.52"/>
    <n v="18"/>
    <n v="162"/>
    <n v="6"/>
    <n v="186"/>
    <x v="15"/>
    <x v="27"/>
    <x v="243"/>
    <x v="3"/>
    <x v="3"/>
    <s v=""/>
    <s v="Nao"/>
  </r>
  <r>
    <x v="832"/>
    <x v="2"/>
    <x v="2"/>
    <n v="4059"/>
    <x v="1037"/>
    <n v="8.3799999999999999E-2"/>
    <n v="108.8"/>
    <n v="22"/>
    <n v="312"/>
    <n v="6"/>
    <n v="340"/>
    <x v="15"/>
    <x v="28"/>
    <x v="34"/>
    <x v="3"/>
    <x v="3"/>
    <s v=""/>
    <s v="Nao"/>
  </r>
  <r>
    <x v="833"/>
    <x v="13"/>
    <x v="9"/>
    <n v="2360"/>
    <x v="906"/>
    <n v="9.3200000000000005E-2"/>
    <n v="66"/>
    <n v="6"/>
    <n v="209"/>
    <n v="5"/>
    <n v="220"/>
    <x v="15"/>
    <x v="29"/>
    <x v="125"/>
    <x v="3"/>
    <x v="3"/>
    <s v=""/>
    <s v="Nao"/>
  </r>
  <r>
    <x v="834"/>
    <x v="10"/>
    <x v="10"/>
    <n v="3082"/>
    <x v="50"/>
    <n v="0.1055"/>
    <n v="104"/>
    <n v="39"/>
    <n v="278"/>
    <n v="8"/>
    <n v="325"/>
    <x v="15"/>
    <x v="30"/>
    <x v="734"/>
    <x v="3"/>
    <x v="3"/>
    <n v="45"/>
    <s v="Nao"/>
  </r>
  <r>
    <x v="835"/>
    <x v="12"/>
    <x v="11"/>
    <n v="4012"/>
    <x v="52"/>
    <n v="6.3100000000000003E-2"/>
    <n v="80.959999999999994"/>
    <n v="20"/>
    <n v="228"/>
    <n v="5"/>
    <n v="253"/>
    <x v="16"/>
    <x v="36"/>
    <x v="735"/>
    <x v="3"/>
    <x v="3"/>
    <s v=""/>
    <s v="Nao"/>
  </r>
  <r>
    <x v="836"/>
    <x v="0"/>
    <x v="0"/>
    <n v="4175"/>
    <x v="1038"/>
    <n v="3.6900000000000002E-2"/>
    <n v="49.28"/>
    <n v="7"/>
    <n v="143"/>
    <n v="4"/>
    <n v="154"/>
    <x v="16"/>
    <x v="37"/>
    <x v="103"/>
    <x v="3"/>
    <x v="3"/>
    <s v=""/>
    <s v="Nao"/>
  </r>
  <r>
    <x v="836"/>
    <x v="8"/>
    <x v="8"/>
    <n v="2495"/>
    <x v="190"/>
    <n v="8.4599999999999995E-2"/>
    <n v="67.52"/>
    <n v="31"/>
    <n v="174"/>
    <n v="6"/>
    <n v="211"/>
    <x v="16"/>
    <x v="37"/>
    <x v="93"/>
    <x v="3"/>
    <x v="3"/>
    <s v=""/>
    <s v="Nao"/>
  </r>
  <r>
    <x v="837"/>
    <x v="0"/>
    <x v="0"/>
    <n v="2261"/>
    <x v="1039"/>
    <n v="4.6899999999999997E-2"/>
    <n v="33.92"/>
    <n v="3"/>
    <n v="102"/>
    <n v="1"/>
    <n v="106"/>
    <x v="16"/>
    <x v="38"/>
    <x v="504"/>
    <x v="3"/>
    <x v="3"/>
    <s v=""/>
    <s v="Nao"/>
  </r>
  <r>
    <x v="838"/>
    <x v="2"/>
    <x v="2"/>
    <n v="2184"/>
    <x v="1040"/>
    <n v="5.5399999999999998E-2"/>
    <n v="38.72"/>
    <n v="4"/>
    <n v="114"/>
    <n v="3"/>
    <n v="121"/>
    <x v="16"/>
    <x v="39"/>
    <x v="736"/>
    <x v="3"/>
    <x v="3"/>
    <s v=""/>
    <s v="Nao"/>
  </r>
  <r>
    <x v="839"/>
    <x v="8"/>
    <x v="8"/>
    <n v="3745"/>
    <x v="916"/>
    <n v="8.9700000000000002E-2"/>
    <n v="107.52"/>
    <n v="43"/>
    <n v="285"/>
    <n v="8"/>
    <n v="336"/>
    <x v="16"/>
    <x v="40"/>
    <x v="737"/>
    <x v="3"/>
    <x v="3"/>
    <s v=""/>
    <s v="Nao"/>
  </r>
  <r>
    <x v="839"/>
    <x v="14"/>
    <x v="12"/>
    <n v="2951"/>
    <x v="505"/>
    <n v="6.2700000000000006E-2"/>
    <n v="55.5"/>
    <n v="56"/>
    <n v="125"/>
    <n v="4"/>
    <n v="185"/>
    <x v="16"/>
    <x v="40"/>
    <x v="535"/>
    <x v="3"/>
    <x v="3"/>
    <s v=""/>
    <s v="Nao"/>
  </r>
  <r>
    <x v="840"/>
    <x v="2"/>
    <x v="2"/>
    <n v="3979"/>
    <x v="1004"/>
    <n v="5.5E-2"/>
    <n v="70.08"/>
    <n v="10"/>
    <n v="205"/>
    <n v="4"/>
    <n v="219"/>
    <x v="16"/>
    <x v="41"/>
    <x v="104"/>
    <x v="3"/>
    <x v="3"/>
    <s v=""/>
    <s v="Nao"/>
  </r>
  <r>
    <x v="841"/>
    <x v="6"/>
    <x v="6"/>
    <n v="2824"/>
    <x v="1041"/>
    <n v="3.7900000000000003E-2"/>
    <n v="37.450000000000003"/>
    <n v="5"/>
    <n v="100"/>
    <n v="2"/>
    <n v="107"/>
    <x v="16"/>
    <x v="42"/>
    <x v="447"/>
    <x v="3"/>
    <x v="3"/>
    <s v=""/>
    <s v="Nao"/>
  </r>
  <r>
    <x v="841"/>
    <x v="0"/>
    <x v="0"/>
    <n v="4009"/>
    <x v="857"/>
    <n v="5.3900000000000003E-2"/>
    <n v="69.12"/>
    <n v="8"/>
    <n v="202"/>
    <n v="6"/>
    <n v="216"/>
    <x v="16"/>
    <x v="42"/>
    <x v="738"/>
    <x v="3"/>
    <x v="3"/>
    <s v=""/>
    <s v="Nao"/>
  </r>
  <r>
    <x v="842"/>
    <x v="3"/>
    <x v="3"/>
    <n v="2932"/>
    <x v="1042"/>
    <n v="6.3399999999999998E-2"/>
    <n v="52.08"/>
    <n v="81"/>
    <n v="-2"/>
    <n v="107"/>
    <n v="186"/>
    <x v="16"/>
    <x v="43"/>
    <x v="242"/>
    <x v="3"/>
    <x v="3"/>
    <s v=""/>
    <s v="Sim"/>
  </r>
  <r>
    <x v="843"/>
    <x v="7"/>
    <x v="7"/>
    <n v="3364"/>
    <x v="247"/>
    <n v="5.9499999999999997E-2"/>
    <n v="60"/>
    <n v="43"/>
    <n v="150"/>
    <n v="7"/>
    <n v="200"/>
    <x v="16"/>
    <x v="44"/>
    <x v="62"/>
    <x v="3"/>
    <x v="3"/>
    <s v=""/>
    <s v="Nao"/>
  </r>
  <r>
    <x v="843"/>
    <x v="10"/>
    <x v="10"/>
    <n v="1825"/>
    <x v="979"/>
    <n v="7.1800000000000003E-2"/>
    <n v="41.92"/>
    <n v="11"/>
    <n v="118"/>
    <n v="2"/>
    <n v="131"/>
    <x v="16"/>
    <x v="44"/>
    <x v="395"/>
    <x v="3"/>
    <x v="3"/>
    <s v=""/>
    <s v="Nao"/>
  </r>
  <r>
    <x v="844"/>
    <x v="10"/>
    <x v="10"/>
    <n v="3672"/>
    <x v="562"/>
    <n v="6.13E-2"/>
    <n v="72"/>
    <n v="21"/>
    <n v="202"/>
    <n v="2"/>
    <n v="225"/>
    <x v="16"/>
    <x v="45"/>
    <x v="2"/>
    <x v="3"/>
    <x v="3"/>
    <s v=""/>
    <s v="Nao"/>
  </r>
  <r>
    <x v="845"/>
    <x v="12"/>
    <x v="11"/>
    <n v="2710"/>
    <x v="1043"/>
    <n v="8.9300000000000004E-2"/>
    <n v="77.44"/>
    <n v="30"/>
    <n v="208"/>
    <n v="4"/>
    <n v="242"/>
    <x v="16"/>
    <x v="46"/>
    <x v="566"/>
    <x v="3"/>
    <x v="3"/>
    <s v=""/>
    <s v="Nao"/>
  </r>
  <r>
    <x v="845"/>
    <x v="6"/>
    <x v="6"/>
    <n v="3505"/>
    <x v="1044"/>
    <n v="4.1399999999999999E-2"/>
    <n v="50.75"/>
    <n v="10"/>
    <n v="134"/>
    <n v="1"/>
    <n v="145"/>
    <x v="16"/>
    <x v="46"/>
    <x v="245"/>
    <x v="3"/>
    <x v="3"/>
    <s v=""/>
    <s v="Nao"/>
  </r>
  <r>
    <x v="846"/>
    <x v="11"/>
    <x v="0"/>
    <n v="2779"/>
    <x v="1017"/>
    <n v="3.3099999999999997E-2"/>
    <n v="25.76"/>
    <n v="3"/>
    <n v="87"/>
    <n v="2"/>
    <n v="92"/>
    <x v="16"/>
    <x v="47"/>
    <x v="739"/>
    <x v="3"/>
    <x v="3"/>
    <s v=""/>
    <s v="Nao"/>
  </r>
  <r>
    <x v="846"/>
    <x v="11"/>
    <x v="0"/>
    <n v="3037"/>
    <x v="1045"/>
    <n v="2.5000000000000001E-2"/>
    <n v="21.28"/>
    <n v="1"/>
    <n v="73"/>
    <n v="2"/>
    <n v="76"/>
    <x v="16"/>
    <x v="47"/>
    <x v="232"/>
    <x v="3"/>
    <x v="3"/>
    <s v=""/>
    <s v="Nao"/>
  </r>
  <r>
    <x v="847"/>
    <x v="12"/>
    <x v="11"/>
    <n v="3247"/>
    <x v="1046"/>
    <n v="7.6100000000000001E-2"/>
    <n v="79.040000000000006"/>
    <n v="34"/>
    <n v="207"/>
    <n v="6"/>
    <n v="247"/>
    <x v="16"/>
    <x v="48"/>
    <x v="136"/>
    <x v="3"/>
    <x v="3"/>
    <s v=""/>
    <s v="Nao"/>
  </r>
  <r>
    <x v="847"/>
    <x v="7"/>
    <x v="7"/>
    <n v="2767"/>
    <x v="430"/>
    <n v="8.5699999999999998E-2"/>
    <n v="71.099999999999994"/>
    <n v="44"/>
    <n v="189"/>
    <n v="4"/>
    <n v="237"/>
    <x v="16"/>
    <x v="48"/>
    <x v="18"/>
    <x v="3"/>
    <x v="3"/>
    <s v=""/>
    <s v="Nao"/>
  </r>
  <r>
    <x v="848"/>
    <x v="9"/>
    <x v="9"/>
    <n v="2648"/>
    <x v="1047"/>
    <n v="7.5499999999999998E-2"/>
    <n v="52"/>
    <n v="4"/>
    <n v="191"/>
    <n v="5"/>
    <n v="200"/>
    <x v="16"/>
    <x v="49"/>
    <x v="158"/>
    <x v="3"/>
    <x v="3"/>
    <s v=""/>
    <s v="Nao"/>
  </r>
  <r>
    <x v="848"/>
    <x v="7"/>
    <x v="7"/>
    <n v="3968"/>
    <x v="1048"/>
    <n v="7.4300000000000005E-2"/>
    <n v="88.5"/>
    <n v="62"/>
    <n v="224"/>
    <n v="9"/>
    <n v="295"/>
    <x v="16"/>
    <x v="49"/>
    <x v="740"/>
    <x v="3"/>
    <x v="3"/>
    <s v=""/>
    <s v="Nao"/>
  </r>
  <r>
    <x v="849"/>
    <x v="12"/>
    <x v="11"/>
    <n v="1999"/>
    <x v="1049"/>
    <n v="7.6999999999999999E-2"/>
    <n v="49.28"/>
    <n v="15"/>
    <n v="136"/>
    <n v="3"/>
    <n v="154"/>
    <x v="16"/>
    <x v="50"/>
    <x v="476"/>
    <x v="3"/>
    <x v="3"/>
    <s v=""/>
    <s v="Nao"/>
  </r>
  <r>
    <x v="849"/>
    <x v="1"/>
    <x v="1"/>
    <n v="3890"/>
    <x v="1050"/>
    <n v="7.5600000000000001E-2"/>
    <n v="94.08"/>
    <n v="12"/>
    <n v="276"/>
    <n v="6"/>
    <n v="294"/>
    <x v="16"/>
    <x v="50"/>
    <x v="652"/>
    <x v="3"/>
    <x v="3"/>
    <s v=""/>
    <s v="Nao"/>
  </r>
  <r>
    <x v="850"/>
    <x v="0"/>
    <x v="0"/>
    <n v="2326"/>
    <x v="1051"/>
    <n v="5.4600000000000003E-2"/>
    <n v="40.64"/>
    <n v="8"/>
    <n v="117"/>
    <n v="2"/>
    <n v="127"/>
    <x v="16"/>
    <x v="0"/>
    <x v="155"/>
    <x v="3"/>
    <x v="3"/>
    <s v=""/>
    <s v="Nao"/>
  </r>
  <r>
    <x v="850"/>
    <x v="7"/>
    <x v="7"/>
    <n v="3337"/>
    <x v="1052"/>
    <n v="5.8700000000000002E-2"/>
    <n v="58.8"/>
    <n v="40"/>
    <n v="149"/>
    <n v="7"/>
    <n v="196"/>
    <x v="16"/>
    <x v="0"/>
    <x v="741"/>
    <x v="3"/>
    <x v="3"/>
    <s v=""/>
    <s v="Nao"/>
  </r>
  <r>
    <x v="851"/>
    <x v="14"/>
    <x v="12"/>
    <n v="3281"/>
    <x v="1053"/>
    <n v="6.13E-2"/>
    <n v="60.3"/>
    <n v="48"/>
    <n v="147"/>
    <n v="6"/>
    <n v="201"/>
    <x v="16"/>
    <x v="1"/>
    <x v="6"/>
    <x v="3"/>
    <x v="3"/>
    <s v=""/>
    <s v="Nao"/>
  </r>
  <r>
    <x v="851"/>
    <x v="0"/>
    <x v="0"/>
    <n v="3356"/>
    <x v="1054"/>
    <n v="4.2299999999999997E-2"/>
    <n v="45.44"/>
    <n v="9"/>
    <n v="131"/>
    <n v="2"/>
    <n v="142"/>
    <x v="16"/>
    <x v="1"/>
    <x v="214"/>
    <x v="3"/>
    <x v="3"/>
    <s v=""/>
    <s v="Nao"/>
  </r>
  <r>
    <x v="852"/>
    <x v="2"/>
    <x v="2"/>
    <n v="3080"/>
    <x v="477"/>
    <n v="7.3099999999999998E-2"/>
    <n v="72"/>
    <n v="13"/>
    <n v="210"/>
    <n v="2"/>
    <n v="225"/>
    <x v="16"/>
    <x v="2"/>
    <x v="2"/>
    <x v="3"/>
    <x v="3"/>
    <s v=""/>
    <s v="Nao"/>
  </r>
  <r>
    <x v="852"/>
    <x v="6"/>
    <x v="6"/>
    <n v="2657"/>
    <x v="1055"/>
    <n v="5.6800000000000003E-2"/>
    <n v="52.85"/>
    <n v="7"/>
    <n v="140"/>
    <n v="4"/>
    <n v="151"/>
    <x v="16"/>
    <x v="2"/>
    <x v="210"/>
    <x v="3"/>
    <x v="3"/>
    <s v=""/>
    <s v="Nao"/>
  </r>
  <r>
    <x v="853"/>
    <x v="0"/>
    <x v="0"/>
    <n v="1851"/>
    <x v="210"/>
    <n v="4.8099999999999997E-2"/>
    <n v="28.48"/>
    <n v="5"/>
    <n v="83"/>
    <n v="1"/>
    <n v="89"/>
    <x v="16"/>
    <x v="3"/>
    <x v="446"/>
    <x v="3"/>
    <x v="3"/>
    <s v=""/>
    <s v="Nao"/>
  </r>
  <r>
    <x v="854"/>
    <x v="13"/>
    <x v="9"/>
    <n v="4156"/>
    <x v="1056"/>
    <n v="7.0999999999999994E-2"/>
    <n v="88.5"/>
    <n v="13"/>
    <n v="273"/>
    <n v="9"/>
    <n v="295"/>
    <x v="16"/>
    <x v="4"/>
    <x v="523"/>
    <x v="4"/>
    <x v="3"/>
    <s v=""/>
    <s v="Nao"/>
  </r>
  <r>
    <x v="855"/>
    <x v="3"/>
    <x v="3"/>
    <n v="2023"/>
    <x v="959"/>
    <n v="5.5899999999999998E-2"/>
    <n v="31.64"/>
    <n v="39"/>
    <n v="20"/>
    <n v="54"/>
    <n v="113"/>
    <x v="16"/>
    <x v="5"/>
    <x v="742"/>
    <x v="4"/>
    <x v="3"/>
    <s v=""/>
    <s v="Sim"/>
  </r>
  <r>
    <x v="855"/>
    <x v="3"/>
    <x v="3"/>
    <n v="3763"/>
    <x v="1057"/>
    <n v="5.8500000000000003E-2"/>
    <n v="61.6"/>
    <n v="8"/>
    <n v="205"/>
    <n v="7"/>
    <n v="220"/>
    <x v="16"/>
    <x v="5"/>
    <x v="70"/>
    <x v="4"/>
    <x v="3"/>
    <s v=""/>
    <s v="Nao"/>
  </r>
  <r>
    <x v="856"/>
    <x v="4"/>
    <x v="4"/>
    <n v="2813"/>
    <x v="1058"/>
    <n v="6.08E-2"/>
    <n v="59.85"/>
    <n v="6"/>
    <n v="161"/>
    <n v="4"/>
    <n v="171"/>
    <x v="16"/>
    <x v="6"/>
    <x v="461"/>
    <x v="4"/>
    <x v="3"/>
    <s v=""/>
    <s v="Nao"/>
  </r>
  <r>
    <x v="856"/>
    <x v="6"/>
    <x v="6"/>
    <n v="3413"/>
    <x v="1059"/>
    <n v="4.4499999999999998E-2"/>
    <n v="53.2"/>
    <n v="5"/>
    <n v="143"/>
    <n v="4"/>
    <n v="152"/>
    <x v="16"/>
    <x v="6"/>
    <x v="15"/>
    <x v="4"/>
    <x v="3"/>
    <s v=""/>
    <s v="Nao"/>
  </r>
  <r>
    <x v="857"/>
    <x v="9"/>
    <x v="9"/>
    <n v="1806"/>
    <x v="1060"/>
    <n v="5.3199999999999997E-2"/>
    <n v="24.96"/>
    <n v="3"/>
    <n v="92"/>
    <n v="1"/>
    <n v="96"/>
    <x v="16"/>
    <x v="7"/>
    <x v="743"/>
    <x v="4"/>
    <x v="3"/>
    <s v=""/>
    <s v="Nao"/>
  </r>
  <r>
    <x v="857"/>
    <x v="4"/>
    <x v="4"/>
    <n v="2877"/>
    <x v="1061"/>
    <n v="6.9199999999999998E-2"/>
    <n v="69.650000000000006"/>
    <n v="10"/>
    <n v="185"/>
    <n v="4"/>
    <n v="199"/>
    <x v="16"/>
    <x v="7"/>
    <x v="744"/>
    <x v="4"/>
    <x v="3"/>
    <s v=""/>
    <s v="Nao"/>
  </r>
  <r>
    <x v="858"/>
    <x v="4"/>
    <x v="4"/>
    <n v="3304"/>
    <x v="4"/>
    <n v="5.45E-2"/>
    <n v="63"/>
    <n v="11"/>
    <n v="164"/>
    <n v="5"/>
    <n v="180"/>
    <x v="16"/>
    <x v="8"/>
    <x v="2"/>
    <x v="4"/>
    <x v="3"/>
    <s v=""/>
    <s v="Nao"/>
  </r>
  <r>
    <x v="858"/>
    <x v="5"/>
    <x v="5"/>
    <n v="2759"/>
    <x v="558"/>
    <n v="6.2300000000000001E-2"/>
    <n v="58.48"/>
    <n v="5"/>
    <n v="162"/>
    <n v="5"/>
    <n v="172"/>
    <x v="16"/>
    <x v="8"/>
    <x v="426"/>
    <x v="4"/>
    <x v="3"/>
    <s v=""/>
    <s v="Nao"/>
  </r>
  <r>
    <x v="859"/>
    <x v="9"/>
    <x v="9"/>
    <n v="3476"/>
    <x v="1062"/>
    <n v="6.88E-2"/>
    <n v="62.14"/>
    <n v="15"/>
    <n v="218"/>
    <n v="6"/>
    <n v="239"/>
    <x v="16"/>
    <x v="9"/>
    <x v="309"/>
    <x v="4"/>
    <x v="3"/>
    <s v=""/>
    <s v="Nao"/>
  </r>
  <r>
    <x v="860"/>
    <x v="1"/>
    <x v="1"/>
    <n v="2053"/>
    <x v="1063"/>
    <n v="7.6999999999999999E-2"/>
    <n v="50.56"/>
    <n v="10"/>
    <n v="144"/>
    <n v="4"/>
    <n v="158"/>
    <x v="16"/>
    <x v="10"/>
    <x v="77"/>
    <x v="4"/>
    <x v="3"/>
    <s v=""/>
    <s v="Nao"/>
  </r>
  <r>
    <x v="860"/>
    <x v="14"/>
    <x v="12"/>
    <n v="2836"/>
    <x v="1064"/>
    <n v="6.3100000000000003E-2"/>
    <n v="53.7"/>
    <n v="34"/>
    <n v="140"/>
    <n v="5"/>
    <n v="179"/>
    <x v="16"/>
    <x v="10"/>
    <x v="497"/>
    <x v="4"/>
    <x v="3"/>
    <s v=""/>
    <s v="Nao"/>
  </r>
  <r>
    <x v="861"/>
    <x v="6"/>
    <x v="6"/>
    <n v="2562"/>
    <x v="642"/>
    <n v="6.3200000000000006E-2"/>
    <n v="56.7"/>
    <n v="4"/>
    <n v="154"/>
    <n v="4"/>
    <n v="162"/>
    <x v="16"/>
    <x v="11"/>
    <x v="549"/>
    <x v="4"/>
    <x v="3"/>
    <s v=""/>
    <s v="Nao"/>
  </r>
  <r>
    <x v="861"/>
    <x v="0"/>
    <x v="0"/>
    <n v="3794"/>
    <x v="1065"/>
    <n v="5.6399999999999999E-2"/>
    <n v="68.48"/>
    <n v="8"/>
    <n v="202"/>
    <n v="4"/>
    <n v="214"/>
    <x v="16"/>
    <x v="11"/>
    <x v="224"/>
    <x v="4"/>
    <x v="3"/>
    <s v=""/>
    <s v="Nao"/>
  </r>
  <r>
    <x v="862"/>
    <x v="5"/>
    <x v="5"/>
    <n v="2486"/>
    <x v="976"/>
    <n v="8.1699999999999995E-2"/>
    <n v="69.02"/>
    <n v="5"/>
    <n v="194"/>
    <n v="4"/>
    <n v="203"/>
    <x v="16"/>
    <x v="12"/>
    <x v="14"/>
    <x v="4"/>
    <x v="3"/>
    <s v=""/>
    <s v="Nao"/>
  </r>
  <r>
    <x v="862"/>
    <x v="12"/>
    <x v="11"/>
    <n v="3138"/>
    <x v="1066"/>
    <n v="9.1499999999999998E-2"/>
    <n v="91.84"/>
    <n v="42"/>
    <n v="237"/>
    <n v="8"/>
    <n v="287"/>
    <x v="16"/>
    <x v="12"/>
    <x v="92"/>
    <x v="4"/>
    <x v="3"/>
    <s v=""/>
    <s v="Nao"/>
  </r>
  <r>
    <x v="863"/>
    <x v="10"/>
    <x v="10"/>
    <n v="3777"/>
    <x v="22"/>
    <n v="8.4199999999999997E-2"/>
    <n v="101.76"/>
    <n v="107"/>
    <n v="95"/>
    <n v="116"/>
    <n v="318"/>
    <x v="16"/>
    <x v="13"/>
    <x v="456"/>
    <x v="4"/>
    <x v="3"/>
    <s v=""/>
    <s v="Sim"/>
  </r>
  <r>
    <x v="863"/>
    <x v="9"/>
    <x v="9"/>
    <n v="2623"/>
    <x v="1067"/>
    <n v="7.2400000000000006E-2"/>
    <n v="49.4"/>
    <n v="6"/>
    <n v="181"/>
    <n v="3"/>
    <n v="190"/>
    <x v="16"/>
    <x v="13"/>
    <x v="745"/>
    <x v="4"/>
    <x v="3"/>
    <s v=""/>
    <s v="Nao"/>
  </r>
  <r>
    <x v="864"/>
    <x v="13"/>
    <x v="9"/>
    <n v="3023"/>
    <x v="1068"/>
    <n v="7.2099999999999997E-2"/>
    <n v="65.400000000000006"/>
    <n v="13"/>
    <n v="199"/>
    <n v="6"/>
    <n v="218"/>
    <x v="16"/>
    <x v="14"/>
    <x v="42"/>
    <x v="4"/>
    <x v="3"/>
    <s v=""/>
    <s v="Nao"/>
  </r>
  <r>
    <x v="864"/>
    <x v="8"/>
    <x v="8"/>
    <n v="3586"/>
    <x v="465"/>
    <n v="9.9000000000000005E-2"/>
    <n v="113.6"/>
    <n v="50"/>
    <n v="297"/>
    <n v="8"/>
    <n v="355"/>
    <x v="16"/>
    <x v="14"/>
    <x v="487"/>
    <x v="4"/>
    <x v="3"/>
    <s v=""/>
    <s v="Nao"/>
  </r>
  <r>
    <x v="865"/>
    <x v="14"/>
    <x v="12"/>
    <n v="2081"/>
    <x v="1069"/>
    <n v="7.6899999999999996E-2"/>
    <n v="48"/>
    <n v="33"/>
    <n v="125"/>
    <n v="2"/>
    <n v="160"/>
    <x v="16"/>
    <x v="15"/>
    <x v="512"/>
    <x v="4"/>
    <x v="3"/>
    <s v=""/>
    <s v="Nao"/>
  </r>
  <r>
    <x v="866"/>
    <x v="4"/>
    <x v="4"/>
    <n v="2565"/>
    <x v="18"/>
    <n v="9.0399999999999994E-2"/>
    <n v="81.2"/>
    <n v="11"/>
    <n v="216"/>
    <n v="5"/>
    <n v="232"/>
    <x v="16"/>
    <x v="16"/>
    <x v="431"/>
    <x v="4"/>
    <x v="3"/>
    <s v=""/>
    <s v="Nao"/>
  </r>
  <r>
    <x v="866"/>
    <x v="8"/>
    <x v="8"/>
    <n v="3942"/>
    <x v="1070"/>
    <n v="7.3599999999999999E-2"/>
    <n v="92.8"/>
    <n v="36"/>
    <n v="248"/>
    <n v="6"/>
    <n v="290"/>
    <x v="16"/>
    <x v="16"/>
    <x v="431"/>
    <x v="4"/>
    <x v="3"/>
    <s v=""/>
    <s v="Nao"/>
  </r>
  <r>
    <x v="867"/>
    <x v="3"/>
    <x v="3"/>
    <n v="2453"/>
    <x v="1071"/>
    <n v="7.9100000000000004E-2"/>
    <n v="54.32"/>
    <n v="11"/>
    <n v="178"/>
    <n v="5"/>
    <n v="194"/>
    <x v="16"/>
    <x v="17"/>
    <x v="519"/>
    <x v="4"/>
    <x v="3"/>
    <s v=""/>
    <s v="Nao"/>
  </r>
  <r>
    <x v="867"/>
    <x v="1"/>
    <x v="1"/>
    <n v="3077"/>
    <x v="1072"/>
    <n v="7.9299999999999995E-2"/>
    <n v="78.08"/>
    <n v="15"/>
    <n v="223"/>
    <n v="6"/>
    <n v="244"/>
    <x v="16"/>
    <x v="17"/>
    <x v="346"/>
    <x v="4"/>
    <x v="3"/>
    <s v=""/>
    <s v="Nao"/>
  </r>
  <r>
    <x v="868"/>
    <x v="10"/>
    <x v="10"/>
    <n v="2262"/>
    <x v="250"/>
    <n v="0.1021"/>
    <n v="73.92"/>
    <n v="22"/>
    <n v="203"/>
    <n v="6"/>
    <n v="231"/>
    <x v="16"/>
    <x v="18"/>
    <x v="746"/>
    <x v="4"/>
    <x v="3"/>
    <s v=""/>
    <s v="Nao"/>
  </r>
  <r>
    <x v="869"/>
    <x v="3"/>
    <x v="3"/>
    <n v="3931"/>
    <x v="351"/>
    <n v="7.5600000000000001E-2"/>
    <n v="83.16"/>
    <n v="17"/>
    <n v="276"/>
    <n v="4"/>
    <n v="297"/>
    <x v="16"/>
    <x v="19"/>
    <x v="533"/>
    <x v="4"/>
    <x v="3"/>
    <s v=""/>
    <s v="Nao"/>
  </r>
  <r>
    <x v="869"/>
    <x v="1"/>
    <x v="1"/>
    <n v="2989"/>
    <x v="1073"/>
    <n v="6.5600000000000006E-2"/>
    <n v="62.72"/>
    <n v="5"/>
    <n v="187"/>
    <n v="4"/>
    <n v="196"/>
    <x v="16"/>
    <x v="19"/>
    <x v="569"/>
    <x v="4"/>
    <x v="3"/>
    <s v=""/>
    <s v="Nao"/>
  </r>
  <r>
    <x v="870"/>
    <x v="10"/>
    <x v="10"/>
    <n v="2534"/>
    <x v="1074"/>
    <n v="8.2500000000000004E-2"/>
    <n v="66.88"/>
    <n v="26"/>
    <n v="177"/>
    <n v="6"/>
    <n v="209"/>
    <x v="16"/>
    <x v="20"/>
    <x v="193"/>
    <x v="4"/>
    <x v="3"/>
    <s v=""/>
    <s v="Nao"/>
  </r>
  <r>
    <x v="870"/>
    <x v="8"/>
    <x v="8"/>
    <n v="3972"/>
    <x v="1075"/>
    <n v="0.1057"/>
    <n v="134.4"/>
    <n v="46"/>
    <n v="365"/>
    <n v="9"/>
    <n v="420"/>
    <x v="16"/>
    <x v="20"/>
    <x v="325"/>
    <x v="4"/>
    <x v="3"/>
    <s v=""/>
    <s v="Nao"/>
  </r>
  <r>
    <x v="871"/>
    <x v="13"/>
    <x v="9"/>
    <n v="4168"/>
    <x v="1076"/>
    <n v="0.10390000000000001"/>
    <n v="129.9"/>
    <n v="27"/>
    <n v="400"/>
    <n v="6"/>
    <n v="433"/>
    <x v="16"/>
    <x v="21"/>
    <x v="525"/>
    <x v="4"/>
    <x v="3"/>
    <s v=""/>
    <s v="Nao"/>
  </r>
  <r>
    <x v="871"/>
    <x v="10"/>
    <x v="10"/>
    <n v="2411"/>
    <x v="956"/>
    <n v="0.1087"/>
    <n v="83.84"/>
    <n v="25"/>
    <n v="230"/>
    <n v="7"/>
    <n v="262"/>
    <x v="16"/>
    <x v="21"/>
    <x v="747"/>
    <x v="4"/>
    <x v="3"/>
    <s v=""/>
    <s v="Nao"/>
  </r>
  <r>
    <x v="872"/>
    <x v="3"/>
    <x v="3"/>
    <n v="1810"/>
    <x v="853"/>
    <n v="9.4500000000000001E-2"/>
    <n v="47.88"/>
    <n v="8"/>
    <n v="159"/>
    <n v="4"/>
    <n v="171"/>
    <x v="16"/>
    <x v="22"/>
    <x v="478"/>
    <x v="4"/>
    <x v="3"/>
    <s v=""/>
    <s v="Nao"/>
  </r>
  <r>
    <x v="872"/>
    <x v="7"/>
    <x v="7"/>
    <n v="2617"/>
    <x v="837"/>
    <n v="5.3900000000000003E-2"/>
    <n v="42.3"/>
    <n v="39"/>
    <n v="98"/>
    <n v="4"/>
    <n v="141"/>
    <x v="16"/>
    <x v="22"/>
    <x v="221"/>
    <x v="4"/>
    <x v="3"/>
    <s v=""/>
    <s v="Nao"/>
  </r>
  <r>
    <x v="873"/>
    <x v="13"/>
    <x v="9"/>
    <n v="3772"/>
    <x v="1077"/>
    <n v="0.1007"/>
    <n v="114"/>
    <n v="11"/>
    <n v="364"/>
    <n v="5"/>
    <n v="380"/>
    <x v="16"/>
    <x v="23"/>
    <x v="748"/>
    <x v="4"/>
    <x v="3"/>
    <s v=""/>
    <s v="Nao"/>
  </r>
  <r>
    <x v="873"/>
    <x v="3"/>
    <x v="3"/>
    <n v="3303"/>
    <x v="1078"/>
    <n v="8.5099999999999995E-2"/>
    <n v="78.680000000000007"/>
    <n v="13"/>
    <n v="262"/>
    <n v="6"/>
    <n v="281"/>
    <x v="16"/>
    <x v="23"/>
    <x v="749"/>
    <x v="4"/>
    <x v="3"/>
    <s v=""/>
    <s v="Nao"/>
  </r>
  <r>
    <x v="874"/>
    <x v="11"/>
    <x v="0"/>
    <n v="2304"/>
    <x v="368"/>
    <n v="7.5999999999999998E-2"/>
    <n v="49"/>
    <n v="7"/>
    <n v="164"/>
    <n v="4"/>
    <n v="175"/>
    <x v="16"/>
    <x v="24"/>
    <x v="527"/>
    <x v="4"/>
    <x v="3"/>
    <s v=""/>
    <s v="Nao"/>
  </r>
  <r>
    <x v="875"/>
    <x v="0"/>
    <x v="0"/>
    <n v="3392"/>
    <x v="1079"/>
    <n v="8.1699999999999995E-2"/>
    <n v="88.64"/>
    <n v="8"/>
    <n v="263"/>
    <n v="6"/>
    <n v="277"/>
    <x v="16"/>
    <x v="25"/>
    <x v="750"/>
    <x v="4"/>
    <x v="3"/>
    <s v=""/>
    <s v="Nao"/>
  </r>
  <r>
    <x v="876"/>
    <x v="7"/>
    <x v="7"/>
    <n v="2449"/>
    <x v="911"/>
    <n v="8.9800000000000005E-2"/>
    <n v="66"/>
    <n v="67"/>
    <n v="148"/>
    <n v="5"/>
    <n v="220"/>
    <x v="16"/>
    <x v="26"/>
    <x v="322"/>
    <x v="4"/>
    <x v="3"/>
    <s v=""/>
    <s v="Nao"/>
  </r>
  <r>
    <x v="876"/>
    <x v="9"/>
    <x v="9"/>
    <n v="2778"/>
    <x v="763"/>
    <n v="6.3399999999999998E-2"/>
    <n v="45.76"/>
    <n v="10"/>
    <n v="161"/>
    <n v="5"/>
    <n v="176"/>
    <x v="16"/>
    <x v="26"/>
    <x v="56"/>
    <x v="4"/>
    <x v="3"/>
    <s v=""/>
    <s v="Nao"/>
  </r>
  <r>
    <x v="877"/>
    <x v="1"/>
    <x v="1"/>
    <n v="2747"/>
    <x v="1080"/>
    <n v="8.8499999999999995E-2"/>
    <n v="77.760000000000005"/>
    <n v="11"/>
    <n v="226"/>
    <n v="6"/>
    <n v="243"/>
    <x v="16"/>
    <x v="27"/>
    <x v="85"/>
    <x v="4"/>
    <x v="3"/>
    <s v=""/>
    <s v="Nao"/>
  </r>
  <r>
    <x v="877"/>
    <x v="9"/>
    <x v="9"/>
    <n v="3641"/>
    <x v="191"/>
    <n v="7.9600000000000004E-2"/>
    <n v="75.400000000000006"/>
    <n v="13"/>
    <n v="268"/>
    <n v="9"/>
    <n v="290"/>
    <x v="16"/>
    <x v="27"/>
    <x v="333"/>
    <x v="4"/>
    <x v="3"/>
    <s v=""/>
    <s v="Nao"/>
  </r>
  <r>
    <x v="878"/>
    <x v="10"/>
    <x v="10"/>
    <n v="2064"/>
    <x v="1081"/>
    <n v="0.1076"/>
    <n v="71.040000000000006"/>
    <n v="81"/>
    <n v="41"/>
    <n v="100"/>
    <n v="222"/>
    <x v="16"/>
    <x v="28"/>
    <x v="128"/>
    <x v="4"/>
    <x v="3"/>
    <s v=""/>
    <s v="Sim"/>
  </r>
  <r>
    <x v="879"/>
    <x v="1"/>
    <x v="1"/>
    <n v="4111"/>
    <x v="1082"/>
    <n v="8.8499999999999995E-2"/>
    <n v="116.48"/>
    <n v="19"/>
    <n v="337"/>
    <n v="8"/>
    <n v="364"/>
    <x v="16"/>
    <x v="29"/>
    <x v="751"/>
    <x v="4"/>
    <x v="3"/>
    <s v=""/>
    <s v="Nao"/>
  </r>
  <r>
    <x v="879"/>
    <x v="11"/>
    <x v="0"/>
    <n v="3737"/>
    <x v="858"/>
    <n v="8.48E-2"/>
    <n v="88.76"/>
    <n v="12"/>
    <n v="300"/>
    <n v="5"/>
    <n v="317"/>
    <x v="16"/>
    <x v="29"/>
    <x v="752"/>
    <x v="4"/>
    <x v="3"/>
    <n v="44"/>
    <s v="Nao"/>
  </r>
  <r>
    <x v="880"/>
    <x v="13"/>
    <x v="9"/>
    <n v="2876"/>
    <x v="154"/>
    <n v="6.6100000000000006E-2"/>
    <n v="57"/>
    <n v="10"/>
    <n v="175"/>
    <n v="5"/>
    <n v="190"/>
    <x v="17"/>
    <x v="36"/>
    <x v="309"/>
    <x v="4"/>
    <x v="3"/>
    <s v=""/>
    <s v="Nao"/>
  </r>
  <r>
    <x v="880"/>
    <x v="14"/>
    <x v="12"/>
    <n v="2964"/>
    <x v="1083"/>
    <n v="6.0699999999999997E-2"/>
    <n v="54"/>
    <n v="42"/>
    <n v="132"/>
    <n v="6"/>
    <n v="180"/>
    <x v="17"/>
    <x v="36"/>
    <x v="188"/>
    <x v="4"/>
    <x v="3"/>
    <s v=""/>
    <s v="Nao"/>
  </r>
  <r>
    <x v="881"/>
    <x v="5"/>
    <x v="5"/>
    <n v="3250"/>
    <x v="1084"/>
    <n v="2.4899999999999999E-2"/>
    <n v="27.54"/>
    <n v="2"/>
    <n v="77"/>
    <n v="2"/>
    <n v="81"/>
    <x v="17"/>
    <x v="37"/>
    <x v="297"/>
    <x v="4"/>
    <x v="3"/>
    <s v=""/>
    <s v="Nao"/>
  </r>
  <r>
    <x v="882"/>
    <x v="8"/>
    <x v="8"/>
    <n v="3476"/>
    <x v="362"/>
    <n v="7.9699999999999993E-2"/>
    <n v="88.64"/>
    <n v="31"/>
    <n v="241"/>
    <n v="5"/>
    <n v="277"/>
    <x v="17"/>
    <x v="38"/>
    <x v="585"/>
    <x v="5"/>
    <x v="3"/>
    <s v=""/>
    <s v="Nao"/>
  </r>
  <r>
    <x v="882"/>
    <x v="11"/>
    <x v="0"/>
    <n v="2625"/>
    <x v="910"/>
    <n v="4.4200000000000003E-2"/>
    <n v="32.479999999999997"/>
    <n v="5"/>
    <n v="110"/>
    <n v="1"/>
    <n v="116"/>
    <x v="17"/>
    <x v="38"/>
    <x v="286"/>
    <x v="5"/>
    <x v="3"/>
    <s v=""/>
    <s v="Nao"/>
  </r>
  <r>
    <x v="883"/>
    <x v="10"/>
    <x v="10"/>
    <n v="3100"/>
    <x v="1085"/>
    <n v="8.1600000000000006E-2"/>
    <n v="80.959999999999994"/>
    <n v="33"/>
    <n v="215"/>
    <n v="5"/>
    <n v="253"/>
    <x v="17"/>
    <x v="39"/>
    <x v="735"/>
    <x v="5"/>
    <x v="3"/>
    <s v=""/>
    <s v="Nao"/>
  </r>
  <r>
    <x v="884"/>
    <x v="10"/>
    <x v="10"/>
    <n v="3719"/>
    <x v="467"/>
    <n v="6.6699999999999995E-2"/>
    <n v="79.36"/>
    <n v="34"/>
    <n v="210"/>
    <n v="4"/>
    <n v="248"/>
    <x v="17"/>
    <x v="40"/>
    <x v="48"/>
    <x v="5"/>
    <x v="3"/>
    <s v=""/>
    <s v="Nao"/>
  </r>
  <r>
    <x v="884"/>
    <x v="3"/>
    <x v="3"/>
    <n v="3486"/>
    <x v="1086"/>
    <n v="6.2199999999999998E-2"/>
    <n v="60.76"/>
    <n v="13"/>
    <n v="201"/>
    <n v="3"/>
    <n v="217"/>
    <x v="17"/>
    <x v="40"/>
    <x v="255"/>
    <x v="5"/>
    <x v="3"/>
    <s v=""/>
    <s v="Nao"/>
  </r>
  <r>
    <x v="885"/>
    <x v="2"/>
    <x v="2"/>
    <n v="3456"/>
    <x v="1087"/>
    <n v="5.6099999999999997E-2"/>
    <n v="62.08"/>
    <n v="8"/>
    <n v="182"/>
    <n v="4"/>
    <n v="194"/>
    <x v="17"/>
    <x v="41"/>
    <x v="408"/>
    <x v="5"/>
    <x v="3"/>
    <s v=""/>
    <s v="Nao"/>
  </r>
  <r>
    <x v="885"/>
    <x v="11"/>
    <x v="0"/>
    <n v="3639"/>
    <x v="325"/>
    <n v="4.0099999999999997E-2"/>
    <n v="40.880000000000003"/>
    <n v="7"/>
    <n v="136"/>
    <n v="3"/>
    <n v="146"/>
    <x v="17"/>
    <x v="41"/>
    <x v="691"/>
    <x v="5"/>
    <x v="3"/>
    <s v=""/>
    <s v="Nao"/>
  </r>
  <r>
    <x v="886"/>
    <x v="13"/>
    <x v="9"/>
    <n v="2052"/>
    <x v="1088"/>
    <n v="8.5800000000000001E-2"/>
    <n v="52.8"/>
    <n v="7"/>
    <n v="164"/>
    <n v="5"/>
    <n v="176"/>
    <x v="17"/>
    <x v="42"/>
    <x v="464"/>
    <x v="5"/>
    <x v="3"/>
    <s v=""/>
    <s v="Nao"/>
  </r>
  <r>
    <x v="886"/>
    <x v="3"/>
    <x v="3"/>
    <n v="3191"/>
    <x v="340"/>
    <n v="5.3600000000000002E-2"/>
    <n v="47.88"/>
    <n v="4"/>
    <n v="162"/>
    <n v="5"/>
    <n v="171"/>
    <x v="17"/>
    <x v="42"/>
    <x v="478"/>
    <x v="5"/>
    <x v="3"/>
    <s v=""/>
    <s v="Nao"/>
  </r>
  <r>
    <x v="887"/>
    <x v="2"/>
    <x v="2"/>
    <n v="3523"/>
    <x v="1089"/>
    <n v="3.8300000000000001E-2"/>
    <n v="43.2"/>
    <n v="5"/>
    <n v="127"/>
    <n v="3"/>
    <n v="135"/>
    <x v="17"/>
    <x v="43"/>
    <x v="394"/>
    <x v="5"/>
    <x v="3"/>
    <s v=""/>
    <s v="Nao"/>
  </r>
  <r>
    <x v="888"/>
    <x v="5"/>
    <x v="5"/>
    <n v="2850"/>
    <x v="1021"/>
    <n v="5.0200000000000002E-2"/>
    <n v="48.62"/>
    <n v="8"/>
    <n v="133"/>
    <n v="2"/>
    <n v="143"/>
    <x v="17"/>
    <x v="44"/>
    <x v="129"/>
    <x v="5"/>
    <x v="3"/>
    <s v=""/>
    <s v="Nao"/>
  </r>
  <r>
    <x v="889"/>
    <x v="1"/>
    <x v="1"/>
    <n v="2332"/>
    <x v="1090"/>
    <n v="5.1499999999999997E-2"/>
    <n v="38.4"/>
    <n v="6"/>
    <n v="112"/>
    <n v="2"/>
    <n v="120"/>
    <x v="17"/>
    <x v="45"/>
    <x v="228"/>
    <x v="5"/>
    <x v="3"/>
    <s v=""/>
    <s v="Nao"/>
  </r>
  <r>
    <x v="889"/>
    <x v="1"/>
    <x v="1"/>
    <n v="3704"/>
    <x v="411"/>
    <n v="7.3200000000000001E-2"/>
    <n v="86.72"/>
    <n v="9"/>
    <n v="255"/>
    <n v="7"/>
    <n v="271"/>
    <x v="17"/>
    <x v="45"/>
    <x v="127"/>
    <x v="5"/>
    <x v="3"/>
    <s v=""/>
    <s v="Nao"/>
  </r>
  <r>
    <x v="890"/>
    <x v="10"/>
    <x v="10"/>
    <n v="3460"/>
    <x v="1091"/>
    <n v="7.4899999999999994E-2"/>
    <n v="82.88"/>
    <n v="28"/>
    <n v="224"/>
    <n v="7"/>
    <n v="259"/>
    <x v="17"/>
    <x v="46"/>
    <x v="246"/>
    <x v="5"/>
    <x v="3"/>
    <s v=""/>
    <s v="Nao"/>
  </r>
  <r>
    <x v="890"/>
    <x v="1"/>
    <x v="1"/>
    <n v="2074"/>
    <x v="1092"/>
    <n v="6.5100000000000005E-2"/>
    <n v="43.2"/>
    <n v="8"/>
    <n v="124"/>
    <n v="3"/>
    <n v="135"/>
    <x v="17"/>
    <x v="46"/>
    <x v="394"/>
    <x v="5"/>
    <x v="3"/>
    <s v=""/>
    <s v="Nao"/>
  </r>
  <r>
    <x v="891"/>
    <x v="12"/>
    <x v="11"/>
    <n v="3151"/>
    <x v="1093"/>
    <n v="6.4699999999999994E-2"/>
    <n v="65.28"/>
    <n v="29"/>
    <n v="173"/>
    <n v="2"/>
    <n v="204"/>
    <x v="17"/>
    <x v="47"/>
    <x v="593"/>
    <x v="5"/>
    <x v="3"/>
    <s v=""/>
    <s v="Nao"/>
  </r>
  <r>
    <x v="892"/>
    <x v="2"/>
    <x v="2"/>
    <n v="2843"/>
    <x v="958"/>
    <n v="4.99E-2"/>
    <n v="45.44"/>
    <n v="7"/>
    <n v="131"/>
    <n v="4"/>
    <n v="142"/>
    <x v="17"/>
    <x v="48"/>
    <x v="401"/>
    <x v="5"/>
    <x v="3"/>
    <s v=""/>
    <s v="Nao"/>
  </r>
  <r>
    <x v="893"/>
    <x v="7"/>
    <x v="7"/>
    <n v="4040"/>
    <x v="1094"/>
    <n v="5.9200000000000003E-2"/>
    <n v="71.7"/>
    <n v="65"/>
    <n v="168"/>
    <n v="6"/>
    <n v="239"/>
    <x v="17"/>
    <x v="49"/>
    <x v="169"/>
    <x v="5"/>
    <x v="3"/>
    <s v=""/>
    <s v="Nao"/>
  </r>
  <r>
    <x v="893"/>
    <x v="4"/>
    <x v="4"/>
    <n v="2426"/>
    <x v="1095"/>
    <n v="4.8599999999999997E-2"/>
    <n v="41.3"/>
    <n v="5"/>
    <n v="109"/>
    <n v="4"/>
    <n v="118"/>
    <x v="17"/>
    <x v="49"/>
    <x v="521"/>
    <x v="5"/>
    <x v="3"/>
    <s v=""/>
    <s v="Nao"/>
  </r>
  <r>
    <x v="894"/>
    <x v="9"/>
    <x v="9"/>
    <n v="2539"/>
    <x v="1096"/>
    <n v="7.6399999999999996E-2"/>
    <n v="50.44"/>
    <n v="10"/>
    <n v="179"/>
    <n v="5"/>
    <n v="194"/>
    <x v="17"/>
    <x v="50"/>
    <x v="753"/>
    <x v="5"/>
    <x v="3"/>
    <s v=""/>
    <s v="Nao"/>
  </r>
  <r>
    <x v="894"/>
    <x v="0"/>
    <x v="0"/>
    <n v="3658"/>
    <x v="553"/>
    <n v="5.5500000000000001E-2"/>
    <n v="64.959999999999994"/>
    <n v="8"/>
    <n v="189"/>
    <n v="6"/>
    <n v="203"/>
    <x v="17"/>
    <x v="50"/>
    <x v="181"/>
    <x v="5"/>
    <x v="3"/>
    <s v=""/>
    <s v="Nao"/>
  </r>
  <r>
    <x v="895"/>
    <x v="4"/>
    <x v="4"/>
    <n v="2517"/>
    <x v="1097"/>
    <n v="7.4300000000000005E-2"/>
    <n v="65.45"/>
    <n v="6"/>
    <n v="176"/>
    <n v="5"/>
    <n v="187"/>
    <x v="17"/>
    <x v="0"/>
    <x v="39"/>
    <x v="5"/>
    <x v="3"/>
    <s v=""/>
    <s v="Nao"/>
  </r>
  <r>
    <x v="896"/>
    <x v="5"/>
    <x v="5"/>
    <n v="2154"/>
    <x v="758"/>
    <n v="5.5199999999999999E-2"/>
    <n v="40.46"/>
    <n v="5"/>
    <n v="112"/>
    <n v="2"/>
    <n v="119"/>
    <x v="17"/>
    <x v="1"/>
    <x v="499"/>
    <x v="5"/>
    <x v="3"/>
    <s v=""/>
    <s v="Nao"/>
  </r>
  <r>
    <x v="896"/>
    <x v="7"/>
    <x v="7"/>
    <n v="4015"/>
    <x v="104"/>
    <n v="7.1999999999999995E-2"/>
    <n v="86.7"/>
    <n v="68"/>
    <n v="216"/>
    <n v="5"/>
    <n v="289"/>
    <x v="17"/>
    <x v="1"/>
    <x v="263"/>
    <x v="5"/>
    <x v="3"/>
    <s v=""/>
    <s v="Nao"/>
  </r>
  <r>
    <x v="897"/>
    <x v="12"/>
    <x v="11"/>
    <n v="2458"/>
    <x v="1098"/>
    <n v="9.11E-2"/>
    <n v="71.680000000000007"/>
    <n v="26"/>
    <n v="194"/>
    <n v="4"/>
    <n v="224"/>
    <x v="17"/>
    <x v="2"/>
    <x v="483"/>
    <x v="5"/>
    <x v="3"/>
    <s v=""/>
    <s v="Nao"/>
  </r>
  <r>
    <x v="897"/>
    <x v="12"/>
    <x v="11"/>
    <n v="3632"/>
    <x v="1099"/>
    <n v="7.1300000000000002E-2"/>
    <n v="82.88"/>
    <n v="36"/>
    <n v="220"/>
    <n v="3"/>
    <n v="259"/>
    <x v="17"/>
    <x v="2"/>
    <x v="246"/>
    <x v="5"/>
    <x v="3"/>
    <s v=""/>
    <s v="Nao"/>
  </r>
  <r>
    <x v="898"/>
    <x v="10"/>
    <x v="10"/>
    <n v="2466"/>
    <x v="1100"/>
    <n v="8.72E-2"/>
    <n v="68.8"/>
    <n v="22"/>
    <n v="188"/>
    <n v="5"/>
    <n v="215"/>
    <x v="17"/>
    <x v="3"/>
    <x v="289"/>
    <x v="5"/>
    <x v="3"/>
    <s v=""/>
    <s v="Nao"/>
  </r>
  <r>
    <x v="898"/>
    <x v="7"/>
    <x v="7"/>
    <n v="3037"/>
    <x v="1101"/>
    <n v="6.3899999999999998E-2"/>
    <n v="58.2"/>
    <n v="40"/>
    <n v="150"/>
    <n v="4"/>
    <n v="194"/>
    <x v="17"/>
    <x v="3"/>
    <x v="396"/>
    <x v="5"/>
    <x v="3"/>
    <s v=""/>
    <s v="Nao"/>
  </r>
  <r>
    <x v="899"/>
    <x v="12"/>
    <x v="11"/>
    <n v="3651"/>
    <x v="311"/>
    <n v="7.5300000000000006E-2"/>
    <n v="88"/>
    <n v="27"/>
    <n v="244"/>
    <n v="4"/>
    <n v="275"/>
    <x v="17"/>
    <x v="4"/>
    <x v="754"/>
    <x v="5"/>
    <x v="3"/>
    <s v=""/>
    <s v="Nao"/>
  </r>
  <r>
    <x v="899"/>
    <x v="13"/>
    <x v="9"/>
    <n v="2341"/>
    <x v="274"/>
    <n v="6.4500000000000002E-2"/>
    <n v="45.3"/>
    <n v="6"/>
    <n v="143"/>
    <n v="2"/>
    <n v="151"/>
    <x v="17"/>
    <x v="4"/>
    <x v="452"/>
    <x v="5"/>
    <x v="3"/>
    <s v=""/>
    <s v="Nao"/>
  </r>
  <r>
    <x v="900"/>
    <x v="13"/>
    <x v="9"/>
    <n v="2754"/>
    <x v="224"/>
    <n v="6.9000000000000006E-2"/>
    <n v="57"/>
    <n v="6"/>
    <n v="179"/>
    <n v="5"/>
    <n v="190"/>
    <x v="17"/>
    <x v="5"/>
    <x v="309"/>
    <x v="5"/>
    <x v="3"/>
    <s v=""/>
    <s v="Nao"/>
  </r>
  <r>
    <x v="900"/>
    <x v="7"/>
    <x v="7"/>
    <n v="3511"/>
    <x v="542"/>
    <n v="6.2399999999999997E-2"/>
    <n v="65.7"/>
    <n v="49"/>
    <n v="164"/>
    <n v="6"/>
    <n v="219"/>
    <x v="17"/>
    <x v="5"/>
    <x v="755"/>
    <x v="5"/>
    <x v="3"/>
    <s v=""/>
    <s v="Nao"/>
  </r>
  <r>
    <x v="901"/>
    <x v="6"/>
    <x v="6"/>
    <n v="2645"/>
    <x v="1102"/>
    <n v="5.4800000000000001E-2"/>
    <n v="50.75"/>
    <n v="9"/>
    <n v="134"/>
    <n v="2"/>
    <n v="145"/>
    <x v="17"/>
    <x v="6"/>
    <x v="245"/>
    <x v="5"/>
    <x v="3"/>
    <s v=""/>
    <s v="Nao"/>
  </r>
  <r>
    <x v="901"/>
    <x v="4"/>
    <x v="4"/>
    <n v="4120"/>
    <x v="206"/>
    <n v="6.5799999999999997E-2"/>
    <n v="94.85"/>
    <n v="16"/>
    <n v="248"/>
    <n v="7"/>
    <n v="271"/>
    <x v="17"/>
    <x v="6"/>
    <x v="756"/>
    <x v="5"/>
    <x v="3"/>
    <s v=""/>
    <s v="Nao"/>
  </r>
  <r>
    <x v="902"/>
    <x v="0"/>
    <x v="0"/>
    <n v="2827"/>
    <x v="1103"/>
    <n v="5.91E-2"/>
    <n v="53.44"/>
    <n v="10"/>
    <n v="155"/>
    <n v="2"/>
    <n v="167"/>
    <x v="17"/>
    <x v="7"/>
    <x v="493"/>
    <x v="5"/>
    <x v="3"/>
    <s v=""/>
    <s v="Nao"/>
  </r>
  <r>
    <x v="902"/>
    <x v="5"/>
    <x v="5"/>
    <n v="2997"/>
    <x v="1104"/>
    <n v="8.5099999999999995E-2"/>
    <n v="86.7"/>
    <n v="8"/>
    <n v="241"/>
    <n v="6"/>
    <n v="255"/>
    <x v="17"/>
    <x v="7"/>
    <x v="127"/>
    <x v="5"/>
    <x v="3"/>
    <s v=""/>
    <s v="Nao"/>
  </r>
  <r>
    <x v="903"/>
    <x v="7"/>
    <x v="7"/>
    <n v="2103"/>
    <x v="1105"/>
    <n v="6.13E-2"/>
    <n v="38.700000000000003"/>
    <n v="24"/>
    <n v="101"/>
    <n v="4"/>
    <n v="129"/>
    <x v="17"/>
    <x v="8"/>
    <x v="56"/>
    <x v="5"/>
    <x v="3"/>
    <s v=""/>
    <s v="Nao"/>
  </r>
  <r>
    <x v="904"/>
    <x v="12"/>
    <x v="11"/>
    <n v="4095"/>
    <x v="1106"/>
    <n v="7.9100000000000004E-2"/>
    <n v="103.68"/>
    <n v="43"/>
    <n v="277"/>
    <n v="4"/>
    <n v="324"/>
    <x v="17"/>
    <x v="9"/>
    <x v="757"/>
    <x v="5"/>
    <x v="3"/>
    <s v=""/>
    <s v="Nao"/>
  </r>
  <r>
    <x v="905"/>
    <x v="2"/>
    <x v="2"/>
    <n v="4141"/>
    <x v="1107"/>
    <n v="7.4899999999999994E-2"/>
    <n v="99.2"/>
    <n v="10"/>
    <n v="291"/>
    <n v="9"/>
    <n v="310"/>
    <x v="17"/>
    <x v="10"/>
    <x v="108"/>
    <x v="5"/>
    <x v="3"/>
    <s v=""/>
    <s v="Nao"/>
  </r>
  <r>
    <x v="906"/>
    <x v="12"/>
    <x v="11"/>
    <n v="2751"/>
    <x v="48"/>
    <n v="7.3800000000000004E-2"/>
    <n v="64.959999999999994"/>
    <n v="23"/>
    <n v="174"/>
    <n v="6"/>
    <n v="203"/>
    <x v="17"/>
    <x v="11"/>
    <x v="113"/>
    <x v="5"/>
    <x v="3"/>
    <s v=""/>
    <s v="Nao"/>
  </r>
  <r>
    <x v="906"/>
    <x v="7"/>
    <x v="7"/>
    <n v="3042"/>
    <x v="338"/>
    <n v="6.7400000000000002E-2"/>
    <n v="61.5"/>
    <n v="65"/>
    <n v="133"/>
    <n v="7"/>
    <n v="205"/>
    <x v="17"/>
    <x v="11"/>
    <x v="67"/>
    <x v="5"/>
    <x v="3"/>
    <s v=""/>
    <s v="Nao"/>
  </r>
  <r>
    <x v="907"/>
    <x v="14"/>
    <x v="12"/>
    <n v="2006"/>
    <x v="514"/>
    <n v="8.5699999999999998E-2"/>
    <n v="51.6"/>
    <n v="48"/>
    <n v="120"/>
    <n v="4"/>
    <n v="172"/>
    <x v="17"/>
    <x v="12"/>
    <x v="672"/>
    <x v="5"/>
    <x v="3"/>
    <s v=""/>
    <s v="Nao"/>
  </r>
  <r>
    <x v="908"/>
    <x v="10"/>
    <x v="10"/>
    <n v="2893"/>
    <x v="1108"/>
    <n v="9.6100000000000005E-2"/>
    <n v="88.96"/>
    <n v="31"/>
    <n v="240"/>
    <n v="7"/>
    <n v="278"/>
    <x v="17"/>
    <x v="13"/>
    <x v="308"/>
    <x v="5"/>
    <x v="3"/>
    <s v=""/>
    <s v="Nao"/>
  </r>
  <r>
    <x v="909"/>
    <x v="8"/>
    <x v="8"/>
    <n v="2960"/>
    <x v="1109"/>
    <n v="0.10299999999999999"/>
    <n v="97.6"/>
    <n v="27"/>
    <n v="273"/>
    <n v="5"/>
    <n v="305"/>
    <x v="17"/>
    <x v="14"/>
    <x v="595"/>
    <x v="5"/>
    <x v="3"/>
    <s v=""/>
    <s v="Nao"/>
  </r>
  <r>
    <x v="909"/>
    <x v="13"/>
    <x v="9"/>
    <n v="3681"/>
    <x v="520"/>
    <n v="9.3200000000000005E-2"/>
    <n v="102.9"/>
    <n v="8"/>
    <n v="326"/>
    <n v="9"/>
    <n v="343"/>
    <x v="17"/>
    <x v="14"/>
    <x v="758"/>
    <x v="5"/>
    <x v="3"/>
    <s v=""/>
    <s v="Nao"/>
  </r>
  <r>
    <x v="910"/>
    <x v="4"/>
    <x v="4"/>
    <n v="2744"/>
    <x v="224"/>
    <n v="6.5600000000000006E-2"/>
    <n v="63"/>
    <n v="8"/>
    <n v="170"/>
    <n v="2"/>
    <n v="180"/>
    <x v="17"/>
    <x v="15"/>
    <x v="2"/>
    <x v="5"/>
    <x v="3"/>
    <s v=""/>
    <s v="Nao"/>
  </r>
  <r>
    <x v="911"/>
    <x v="1"/>
    <x v="1"/>
    <n v="2889"/>
    <x v="294"/>
    <n v="7.4800000000000005E-2"/>
    <n v="69.12"/>
    <n v="6"/>
    <n v="205"/>
    <n v="5"/>
    <n v="216"/>
    <x v="17"/>
    <x v="16"/>
    <x v="200"/>
    <x v="5"/>
    <x v="3"/>
    <s v=""/>
    <s v="Nao"/>
  </r>
  <r>
    <x v="912"/>
    <x v="4"/>
    <x v="4"/>
    <n v="3889"/>
    <x v="1110"/>
    <n v="6.7599999999999993E-2"/>
    <n v="92.05"/>
    <n v="11"/>
    <n v="245"/>
    <n v="7"/>
    <n v="263"/>
    <x v="17"/>
    <x v="17"/>
    <x v="759"/>
    <x v="5"/>
    <x v="3"/>
    <s v=""/>
    <s v="Nao"/>
  </r>
  <r>
    <x v="912"/>
    <x v="9"/>
    <x v="9"/>
    <n v="2630"/>
    <x v="43"/>
    <n v="7.7899999999999997E-2"/>
    <n v="53.3"/>
    <n v="75"/>
    <n v="43"/>
    <n v="87"/>
    <n v="205"/>
    <x v="17"/>
    <x v="17"/>
    <x v="760"/>
    <x v="5"/>
    <x v="3"/>
    <s v=""/>
    <s v="Sim"/>
  </r>
  <r>
    <x v="913"/>
    <x v="3"/>
    <x v="3"/>
    <n v="1870"/>
    <x v="1111"/>
    <n v="7.7499999999999999E-2"/>
    <n v="40.6"/>
    <n v="2"/>
    <n v="139"/>
    <n v="4"/>
    <n v="145"/>
    <x v="17"/>
    <x v="18"/>
    <x v="155"/>
    <x v="6"/>
    <x v="3"/>
    <s v=""/>
    <s v="Nao"/>
  </r>
  <r>
    <x v="914"/>
    <x v="12"/>
    <x v="11"/>
    <n v="4095"/>
    <x v="1112"/>
    <n v="7.6200000000000004E-2"/>
    <n v="99.84"/>
    <n v="25"/>
    <n v="284"/>
    <n v="3"/>
    <n v="312"/>
    <x v="17"/>
    <x v="19"/>
    <x v="32"/>
    <x v="6"/>
    <x v="3"/>
    <s v=""/>
    <s v="Nao"/>
  </r>
  <r>
    <x v="915"/>
    <x v="4"/>
    <x v="4"/>
    <n v="1975"/>
    <x v="486"/>
    <n v="5.9200000000000003E-2"/>
    <n v="40.950000000000003"/>
    <n v="8"/>
    <n v="107"/>
    <n v="2"/>
    <n v="117"/>
    <x v="17"/>
    <x v="20"/>
    <x v="450"/>
    <x v="6"/>
    <x v="3"/>
    <s v=""/>
    <s v="Nao"/>
  </r>
  <r>
    <x v="915"/>
    <x v="11"/>
    <x v="0"/>
    <n v="4197"/>
    <x v="1113"/>
    <n v="6.0299999999999999E-2"/>
    <n v="70.84"/>
    <n v="12"/>
    <n v="237"/>
    <n v="4"/>
    <n v="253"/>
    <x v="17"/>
    <x v="20"/>
    <x v="645"/>
    <x v="6"/>
    <x v="3"/>
    <s v=""/>
    <s v="Nao"/>
  </r>
  <r>
    <x v="916"/>
    <x v="8"/>
    <x v="8"/>
    <n v="2109"/>
    <x v="1114"/>
    <n v="0.1166"/>
    <n v="78.72"/>
    <n v="28"/>
    <n v="215"/>
    <n v="3"/>
    <n v="246"/>
    <x v="17"/>
    <x v="21"/>
    <x v="130"/>
    <x v="6"/>
    <x v="3"/>
    <s v=""/>
    <s v="Nao"/>
  </r>
  <r>
    <x v="916"/>
    <x v="7"/>
    <x v="7"/>
    <n v="2569"/>
    <x v="1115"/>
    <n v="9.0700000000000003E-2"/>
    <n v="69.900000000000006"/>
    <n v="59"/>
    <n v="168"/>
    <n v="6"/>
    <n v="233"/>
    <x v="17"/>
    <x v="21"/>
    <x v="113"/>
    <x v="6"/>
    <x v="3"/>
    <s v=""/>
    <s v="Nao"/>
  </r>
  <r>
    <x v="917"/>
    <x v="6"/>
    <x v="6"/>
    <n v="2694"/>
    <x v="548"/>
    <n v="8.2799999999999999E-2"/>
    <n v="78.05"/>
    <n v="11"/>
    <n v="206"/>
    <n v="6"/>
    <n v="223"/>
    <x v="17"/>
    <x v="22"/>
    <x v="761"/>
    <x v="6"/>
    <x v="3"/>
    <s v=""/>
    <s v="Nao"/>
  </r>
  <r>
    <x v="917"/>
    <x v="12"/>
    <x v="11"/>
    <n v="2770"/>
    <x v="1047"/>
    <n v="0.1162"/>
    <n v="103.04"/>
    <n v="32"/>
    <n v="283"/>
    <n v="7"/>
    <n v="322"/>
    <x v="17"/>
    <x v="22"/>
    <x v="252"/>
    <x v="6"/>
    <x v="3"/>
    <s v=""/>
    <s v="Nao"/>
  </r>
  <r>
    <x v="918"/>
    <x v="10"/>
    <x v="10"/>
    <n v="3773"/>
    <x v="1116"/>
    <n v="8.8499999999999995E-2"/>
    <n v="106.88"/>
    <n v="32"/>
    <n v="296"/>
    <n v="6"/>
    <n v="334"/>
    <x v="17"/>
    <x v="23"/>
    <x v="172"/>
    <x v="6"/>
    <x v="3"/>
    <s v=""/>
    <s v="Nao"/>
  </r>
  <r>
    <x v="918"/>
    <x v="9"/>
    <x v="9"/>
    <n v="3860"/>
    <x v="759"/>
    <n v="9.0200000000000002E-2"/>
    <n v="90.48"/>
    <n v="6"/>
    <n v="334"/>
    <n v="8"/>
    <n v="348"/>
    <x v="17"/>
    <x v="23"/>
    <x v="128"/>
    <x v="6"/>
    <x v="3"/>
    <s v=""/>
    <s v="Nao"/>
  </r>
  <r>
    <x v="919"/>
    <x v="9"/>
    <x v="9"/>
    <n v="2991"/>
    <x v="589"/>
    <n v="8.0600000000000005E-2"/>
    <n v="62.66"/>
    <n v="15"/>
    <n v="220"/>
    <n v="6"/>
    <n v="241"/>
    <x v="17"/>
    <x v="24"/>
    <x v="567"/>
    <x v="6"/>
    <x v="3"/>
    <s v=""/>
    <s v="Nao"/>
  </r>
  <r>
    <x v="920"/>
    <x v="12"/>
    <x v="11"/>
    <n v="4136"/>
    <x v="1117"/>
    <n v="8.1199999999999994E-2"/>
    <n v="107.52"/>
    <n v="43"/>
    <n v="290"/>
    <n v="3"/>
    <n v="336"/>
    <x v="17"/>
    <x v="25"/>
    <x v="737"/>
    <x v="6"/>
    <x v="3"/>
    <s v=""/>
    <s v="Nao"/>
  </r>
  <r>
    <x v="920"/>
    <x v="11"/>
    <x v="0"/>
    <n v="1931"/>
    <x v="1118"/>
    <n v="8.1799999999999998E-2"/>
    <n v="44.24"/>
    <n v="3"/>
    <n v="151"/>
    <n v="4"/>
    <n v="158"/>
    <x v="17"/>
    <x v="25"/>
    <x v="382"/>
    <x v="6"/>
    <x v="3"/>
    <s v=""/>
    <s v="Nao"/>
  </r>
  <r>
    <x v="921"/>
    <x v="6"/>
    <x v="6"/>
    <n v="1815"/>
    <x v="1119"/>
    <n v="7.5499999999999998E-2"/>
    <n v="47.95"/>
    <n v="4"/>
    <n v="129"/>
    <n v="4"/>
    <n v="137"/>
    <x v="17"/>
    <x v="26"/>
    <x v="479"/>
    <x v="6"/>
    <x v="3"/>
    <s v=""/>
    <s v="Nao"/>
  </r>
  <r>
    <x v="921"/>
    <x v="6"/>
    <x v="6"/>
    <n v="3053"/>
    <x v="1120"/>
    <n v="9.3399999999999997E-2"/>
    <n v="99.75"/>
    <n v="20"/>
    <n v="260"/>
    <n v="5"/>
    <n v="285"/>
    <x v="17"/>
    <x v="26"/>
    <x v="172"/>
    <x v="6"/>
    <x v="3"/>
    <s v=""/>
    <s v="Nao"/>
  </r>
  <r>
    <x v="922"/>
    <x v="7"/>
    <x v="7"/>
    <n v="2275"/>
    <x v="1121"/>
    <n v="9.9299999999999999E-2"/>
    <n v="67.8"/>
    <n v="66"/>
    <n v="152"/>
    <n v="8"/>
    <n v="226"/>
    <x v="17"/>
    <x v="27"/>
    <x v="762"/>
    <x v="6"/>
    <x v="3"/>
    <s v=""/>
    <s v="Nao"/>
  </r>
  <r>
    <x v="922"/>
    <x v="6"/>
    <x v="6"/>
    <n v="3190"/>
    <x v="1122"/>
    <n v="7.4300000000000005E-2"/>
    <n v="82.95"/>
    <n v="17"/>
    <n v="216"/>
    <n v="4"/>
    <n v="237"/>
    <x v="17"/>
    <x v="27"/>
    <x v="324"/>
    <x v="6"/>
    <x v="3"/>
    <s v=""/>
    <s v="Nao"/>
  </r>
  <r>
    <x v="923"/>
    <x v="12"/>
    <x v="11"/>
    <n v="3589"/>
    <x v="528"/>
    <n v="9.3100000000000002E-2"/>
    <n v="106.88"/>
    <n v="38"/>
    <n v="290"/>
    <n v="6"/>
    <n v="334"/>
    <x v="17"/>
    <x v="28"/>
    <x v="172"/>
    <x v="6"/>
    <x v="3"/>
    <s v=""/>
    <s v="Nao"/>
  </r>
  <r>
    <x v="924"/>
    <x v="2"/>
    <x v="2"/>
    <n v="3586"/>
    <x v="1059"/>
    <n v="9.06E-2"/>
    <n v="104"/>
    <n v="17"/>
    <n v="302"/>
    <n v="6"/>
    <n v="325"/>
    <x v="17"/>
    <x v="29"/>
    <x v="734"/>
    <x v="6"/>
    <x v="3"/>
    <s v=""/>
    <s v="Nao"/>
  </r>
  <r>
    <x v="924"/>
    <x v="6"/>
    <x v="6"/>
    <n v="3925"/>
    <x v="1123"/>
    <n v="9.5299999999999996E-2"/>
    <n v="130.9"/>
    <n v="23"/>
    <n v="346"/>
    <n v="5"/>
    <n v="374"/>
    <x v="17"/>
    <x v="29"/>
    <x v="763"/>
    <x v="6"/>
    <x v="3"/>
    <s v=""/>
    <s v="Nao"/>
  </r>
  <r>
    <x v="925"/>
    <x v="5"/>
    <x v="5"/>
    <n v="2566"/>
    <x v="1124"/>
    <n v="8.8499999999999995E-2"/>
    <n v="77.180000000000007"/>
    <n v="13"/>
    <n v="209"/>
    <n v="5"/>
    <n v="227"/>
    <x v="17"/>
    <x v="30"/>
    <x v="533"/>
    <x v="6"/>
    <x v="3"/>
    <s v=""/>
    <s v="Nao"/>
  </r>
  <r>
    <x v="925"/>
    <x v="1"/>
    <x v="1"/>
    <n v="3325"/>
    <x v="1125"/>
    <n v="8.2100000000000006E-2"/>
    <n v="87.36"/>
    <n v="14"/>
    <n v="253"/>
    <n v="6"/>
    <n v="273"/>
    <x v="17"/>
    <x v="30"/>
    <x v="657"/>
    <x v="6"/>
    <x v="3"/>
    <s v=""/>
    <s v="Nao"/>
  </r>
  <r>
    <x v="926"/>
    <x v="12"/>
    <x v="11"/>
    <n v="3837"/>
    <x v="1126"/>
    <n v="0.1027"/>
    <n v="126.08"/>
    <n v="34"/>
    <n v="348"/>
    <n v="12"/>
    <n v="394"/>
    <x v="17"/>
    <x v="31"/>
    <x v="26"/>
    <x v="6"/>
    <x v="3"/>
    <s v=""/>
    <s v="Nao"/>
  </r>
  <r>
    <x v="926"/>
    <x v="8"/>
    <x v="8"/>
    <n v="2881"/>
    <x v="503"/>
    <n v="0.1055"/>
    <n v="97.28"/>
    <n v="32"/>
    <n v="264"/>
    <n v="8"/>
    <n v="304"/>
    <x v="17"/>
    <x v="31"/>
    <x v="764"/>
    <x v="6"/>
    <x v="3"/>
    <s v=""/>
    <s v="Nao"/>
  </r>
  <r>
    <x v="927"/>
    <x v="7"/>
    <x v="7"/>
    <n v="2386"/>
    <x v="1127"/>
    <n v="0.1048"/>
    <n v="75"/>
    <n v="71"/>
    <n v="54"/>
    <n v="125"/>
    <n v="250"/>
    <x v="17"/>
    <x v="32"/>
    <x v="765"/>
    <x v="6"/>
    <x v="3"/>
    <s v=""/>
    <s v="Sim"/>
  </r>
  <r>
    <x v="927"/>
    <x v="6"/>
    <x v="6"/>
    <n v="3507"/>
    <x v="1091"/>
    <n v="8.7300000000000003E-2"/>
    <n v="107.1"/>
    <n v="22"/>
    <n v="279"/>
    <n v="5"/>
    <n v="306"/>
    <x v="17"/>
    <x v="32"/>
    <x v="766"/>
    <x v="6"/>
    <x v="3"/>
    <s v=""/>
    <s v="Nao"/>
  </r>
  <r>
    <x v="928"/>
    <x v="3"/>
    <x v="3"/>
    <n v="2643"/>
    <x v="748"/>
    <n v="0.1071"/>
    <n v="79.239999999999995"/>
    <n v="18"/>
    <n v="259"/>
    <n v="6"/>
    <n v="283"/>
    <x v="17"/>
    <x v="33"/>
    <x v="532"/>
    <x v="6"/>
    <x v="3"/>
    <s v=""/>
    <s v="Nao"/>
  </r>
  <r>
    <x v="928"/>
    <x v="2"/>
    <x v="2"/>
    <n v="2113"/>
    <x v="1063"/>
    <n v="0.1032"/>
    <n v="69.760000000000005"/>
    <n v="14"/>
    <n v="199"/>
    <n v="5"/>
    <n v="218"/>
    <x v="17"/>
    <x v="33"/>
    <x v="387"/>
    <x v="6"/>
    <x v="3"/>
    <s v=""/>
    <s v="Nao"/>
  </r>
  <r>
    <x v="929"/>
    <x v="0"/>
    <x v="0"/>
    <n v="3426"/>
    <x v="1128"/>
    <n v="9.4299999999999995E-2"/>
    <n v="103.36"/>
    <n v="12"/>
    <n v="302"/>
    <n v="9"/>
    <n v="323"/>
    <x v="17"/>
    <x v="34"/>
    <x v="288"/>
    <x v="6"/>
    <x v="3"/>
    <s v=""/>
    <s v="Nao"/>
  </r>
  <r>
    <x v="929"/>
    <x v="1"/>
    <x v="1"/>
    <n v="2696"/>
    <x v="1129"/>
    <n v="7.5700000000000003E-2"/>
    <n v="65.28"/>
    <n v="16"/>
    <n v="186"/>
    <n v="2"/>
    <n v="204"/>
    <x v="17"/>
    <x v="34"/>
    <x v="593"/>
    <x v="6"/>
    <x v="3"/>
    <s v=""/>
    <s v="Nao"/>
  </r>
  <r>
    <x v="930"/>
    <x v="14"/>
    <x v="12"/>
    <n v="3185"/>
    <x v="1130"/>
    <n v="0.1042"/>
    <n v="99.6"/>
    <n v="70"/>
    <n v="256"/>
    <n v="6"/>
    <n v="332"/>
    <x v="17"/>
    <x v="35"/>
    <x v="686"/>
    <x v="6"/>
    <x v="3"/>
    <s v=""/>
    <s v="Nao"/>
  </r>
  <r>
    <x v="931"/>
    <x v="8"/>
    <x v="8"/>
    <n v="1970"/>
    <x v="516"/>
    <n v="0.12640000000000001"/>
    <n v="79.680000000000007"/>
    <n v="37"/>
    <n v="206"/>
    <n v="6"/>
    <n v="249"/>
    <x v="17"/>
    <x v="51"/>
    <x v="637"/>
    <x v="6"/>
    <x v="3"/>
    <s v=""/>
    <s v="Nao"/>
  </r>
  <r>
    <x v="931"/>
    <x v="4"/>
    <x v="4"/>
    <n v="1826"/>
    <x v="344"/>
    <n v="6.7400000000000002E-2"/>
    <n v="43.05"/>
    <n v="6"/>
    <n v="115"/>
    <n v="2"/>
    <n v="123"/>
    <x v="17"/>
    <x v="51"/>
    <x v="567"/>
    <x v="6"/>
    <x v="3"/>
    <s v=""/>
    <s v="Nao"/>
  </r>
  <r>
    <x v="932"/>
    <x v="11"/>
    <x v="0"/>
    <n v="2669"/>
    <x v="231"/>
    <n v="6.7100000000000007E-2"/>
    <n v="50.12"/>
    <n v="9"/>
    <n v="166"/>
    <n v="4"/>
    <n v="179"/>
    <x v="17"/>
    <x v="52"/>
    <x v="392"/>
    <x v="6"/>
    <x v="3"/>
    <s v=""/>
    <s v="Nao"/>
  </r>
  <r>
    <x v="932"/>
    <x v="0"/>
    <x v="0"/>
    <n v="2705"/>
    <x v="376"/>
    <n v="7.9899999999999999E-2"/>
    <n v="69.12"/>
    <n v="62"/>
    <n v="37"/>
    <n v="117"/>
    <n v="216"/>
    <x v="17"/>
    <x v="52"/>
    <x v="738"/>
    <x v="6"/>
    <x v="3"/>
    <s v=""/>
    <s v="Sim"/>
  </r>
  <r>
    <x v="933"/>
    <x v="5"/>
    <x v="5"/>
    <n v="2646"/>
    <x v="929"/>
    <n v="7.1800000000000003E-2"/>
    <n v="64.599999999999994"/>
    <n v="9"/>
    <n v="178"/>
    <n v="3"/>
    <n v="190"/>
    <x v="17"/>
    <x v="53"/>
    <x v="6"/>
    <x v="6"/>
    <x v="3"/>
    <s v=""/>
    <s v="Nao"/>
  </r>
  <r>
    <x v="934"/>
    <x v="11"/>
    <x v="0"/>
    <n v="2868"/>
    <x v="734"/>
    <n v="8.3699999999999997E-2"/>
    <n v="67.2"/>
    <n v="3"/>
    <n v="230"/>
    <n v="7"/>
    <n v="240"/>
    <x v="17"/>
    <x v="54"/>
    <x v="502"/>
    <x v="6"/>
    <x v="3"/>
    <s v=""/>
    <s v="Nao"/>
  </r>
  <r>
    <x v="934"/>
    <x v="0"/>
    <x v="0"/>
    <n v="2885"/>
    <x v="232"/>
    <n v="8.4599999999999995E-2"/>
    <n v="78.08"/>
    <n v="10"/>
    <n v="231"/>
    <n v="3"/>
    <n v="244"/>
    <x v="17"/>
    <x v="54"/>
    <x v="49"/>
    <x v="6"/>
    <x v="3"/>
    <s v=""/>
    <s v="Nao"/>
  </r>
  <r>
    <x v="935"/>
    <x v="13"/>
    <x v="9"/>
    <n v="2938"/>
    <x v="13"/>
    <n v="0.1201"/>
    <n v="105.9"/>
    <n v="18"/>
    <n v="327"/>
    <n v="8"/>
    <n v="353"/>
    <x v="17"/>
    <x v="55"/>
    <x v="8"/>
    <x v="6"/>
    <x v="3"/>
    <s v=""/>
    <s v="Nao"/>
  </r>
  <r>
    <x v="935"/>
    <x v="14"/>
    <x v="12"/>
    <n v="3160"/>
    <x v="1131"/>
    <n v="9.2100000000000001E-2"/>
    <n v="87.3"/>
    <n v="68"/>
    <n v="219"/>
    <n v="4"/>
    <n v="291"/>
    <x v="17"/>
    <x v="55"/>
    <x v="767"/>
    <x v="6"/>
    <x v="3"/>
    <n v="55"/>
    <s v="Nao"/>
  </r>
  <r>
    <x v="936"/>
    <x v="13"/>
    <x v="9"/>
    <n v="1865"/>
    <x v="1132"/>
    <n v="4.7699999999999999E-2"/>
    <n v="26.7"/>
    <n v="3"/>
    <n v="85"/>
    <n v="1"/>
    <n v="89"/>
    <x v="18"/>
    <x v="36"/>
    <x v="565"/>
    <x v="6"/>
    <x v="3"/>
    <s v=""/>
    <s v="Nao"/>
  </r>
  <r>
    <x v="936"/>
    <x v="7"/>
    <x v="7"/>
    <n v="3759"/>
    <x v="1133"/>
    <n v="6.25E-2"/>
    <n v="70.5"/>
    <n v="82"/>
    <n v="42"/>
    <n v="111"/>
    <n v="235"/>
    <x v="18"/>
    <x v="36"/>
    <x v="436"/>
    <x v="6"/>
    <x v="3"/>
    <s v=""/>
    <s v="Sim"/>
  </r>
  <r>
    <x v="937"/>
    <x v="10"/>
    <x v="10"/>
    <n v="3742"/>
    <x v="1116"/>
    <n v="8.1000000000000003E-2"/>
    <n v="96.96"/>
    <n v="35"/>
    <n v="261"/>
    <n v="7"/>
    <n v="303"/>
    <x v="18"/>
    <x v="37"/>
    <x v="571"/>
    <x v="6"/>
    <x v="3"/>
    <s v=""/>
    <s v="Nao"/>
  </r>
  <r>
    <x v="938"/>
    <x v="6"/>
    <x v="6"/>
    <n v="3923"/>
    <x v="408"/>
    <n v="3.2899999999999999E-2"/>
    <n v="45.15"/>
    <n v="7"/>
    <n v="119"/>
    <n v="3"/>
    <n v="129"/>
    <x v="18"/>
    <x v="38"/>
    <x v="242"/>
    <x v="6"/>
    <x v="3"/>
    <s v=""/>
    <s v="Nao"/>
  </r>
  <r>
    <x v="939"/>
    <x v="3"/>
    <x v="3"/>
    <n v="4142"/>
    <x v="1134"/>
    <n v="6.6600000000000006E-2"/>
    <n v="77.28"/>
    <n v="17"/>
    <n v="255"/>
    <n v="4"/>
    <n v="276"/>
    <x v="18"/>
    <x v="39"/>
    <x v="768"/>
    <x v="6"/>
    <x v="3"/>
    <s v=""/>
    <s v="Nao"/>
  </r>
  <r>
    <x v="939"/>
    <x v="8"/>
    <x v="8"/>
    <n v="3805"/>
    <x v="1135"/>
    <n v="8.2500000000000004E-2"/>
    <n v="100.48"/>
    <n v="26"/>
    <n v="282"/>
    <n v="6"/>
    <n v="314"/>
    <x v="18"/>
    <x v="39"/>
    <x v="733"/>
    <x v="6"/>
    <x v="3"/>
    <s v=""/>
    <s v="Nao"/>
  </r>
  <r>
    <x v="940"/>
    <x v="14"/>
    <x v="12"/>
    <n v="2253"/>
    <x v="762"/>
    <n v="4.7500000000000001E-2"/>
    <n v="32.1"/>
    <n v="25"/>
    <n v="79"/>
    <n v="3"/>
    <n v="107"/>
    <x v="18"/>
    <x v="40"/>
    <x v="444"/>
    <x v="6"/>
    <x v="3"/>
    <s v=""/>
    <s v="Nao"/>
  </r>
  <r>
    <x v="940"/>
    <x v="13"/>
    <x v="9"/>
    <n v="2894"/>
    <x v="931"/>
    <n v="7.8799999999999995E-2"/>
    <n v="68.400000000000006"/>
    <n v="11"/>
    <n v="211"/>
    <n v="6"/>
    <n v="228"/>
    <x v="18"/>
    <x v="40"/>
    <x v="342"/>
    <x v="6"/>
    <x v="3"/>
    <s v=""/>
    <s v="Nao"/>
  </r>
  <r>
    <x v="941"/>
    <x v="0"/>
    <x v="0"/>
    <n v="2075"/>
    <x v="1136"/>
    <n v="2.5100000000000001E-2"/>
    <n v="16.64"/>
    <n v="4"/>
    <n v="47"/>
    <n v="1"/>
    <n v="52"/>
    <x v="18"/>
    <x v="41"/>
    <x v="769"/>
    <x v="6"/>
    <x v="3"/>
    <s v=""/>
    <s v="Nao"/>
  </r>
  <r>
    <x v="942"/>
    <x v="7"/>
    <x v="7"/>
    <n v="3220"/>
    <x v="1137"/>
    <n v="4.7800000000000002E-2"/>
    <n v="46.2"/>
    <n v="45"/>
    <n v="107"/>
    <n v="2"/>
    <n v="154"/>
    <x v="18"/>
    <x v="42"/>
    <x v="392"/>
    <x v="6"/>
    <x v="3"/>
    <s v=""/>
    <s v="Nao"/>
  </r>
  <r>
    <x v="943"/>
    <x v="9"/>
    <x v="9"/>
    <n v="3642"/>
    <x v="142"/>
    <n v="7.2499999999999995E-2"/>
    <n v="68.64"/>
    <n v="15"/>
    <n v="243"/>
    <n v="6"/>
    <n v="264"/>
    <x v="18"/>
    <x v="43"/>
    <x v="770"/>
    <x v="7"/>
    <x v="3"/>
    <s v=""/>
    <s v="Nao"/>
  </r>
  <r>
    <x v="943"/>
    <x v="12"/>
    <x v="11"/>
    <n v="1941"/>
    <x v="598"/>
    <n v="7.2099999999999997E-2"/>
    <n v="44.8"/>
    <n v="11"/>
    <n v="126"/>
    <n v="3"/>
    <n v="140"/>
    <x v="18"/>
    <x v="43"/>
    <x v="771"/>
    <x v="7"/>
    <x v="3"/>
    <s v=""/>
    <s v="Nao"/>
  </r>
  <r>
    <x v="944"/>
    <x v="5"/>
    <x v="5"/>
    <n v="3829"/>
    <x v="80"/>
    <n v="5.1999999999999998E-2"/>
    <n v="67.66"/>
    <n v="12"/>
    <n v="183"/>
    <n v="4"/>
    <n v="199"/>
    <x v="18"/>
    <x v="44"/>
    <x v="772"/>
    <x v="7"/>
    <x v="3"/>
    <s v=""/>
    <s v="Nao"/>
  </r>
  <r>
    <x v="945"/>
    <x v="2"/>
    <x v="2"/>
    <n v="2106"/>
    <x v="1009"/>
    <n v="5.4600000000000003E-2"/>
    <n v="36.799999999999997"/>
    <n v="6"/>
    <n v="106"/>
    <n v="3"/>
    <n v="115"/>
    <x v="18"/>
    <x v="45"/>
    <x v="498"/>
    <x v="7"/>
    <x v="3"/>
    <s v=""/>
    <s v="Nao"/>
  </r>
  <r>
    <x v="945"/>
    <x v="0"/>
    <x v="0"/>
    <n v="2548"/>
    <x v="337"/>
    <n v="6.7500000000000004E-2"/>
    <n v="55.04"/>
    <n v="9"/>
    <n v="158"/>
    <n v="5"/>
    <n v="172"/>
    <x v="18"/>
    <x v="45"/>
    <x v="314"/>
    <x v="7"/>
    <x v="3"/>
    <s v=""/>
    <s v="Nao"/>
  </r>
  <r>
    <x v="946"/>
    <x v="8"/>
    <x v="8"/>
    <n v="3361"/>
    <x v="1138"/>
    <n v="0.08"/>
    <n v="86.08"/>
    <n v="24"/>
    <n v="242"/>
    <n v="3"/>
    <n v="269"/>
    <x v="18"/>
    <x v="46"/>
    <x v="340"/>
    <x v="7"/>
    <x v="3"/>
    <s v=""/>
    <s v="Nao"/>
  </r>
  <r>
    <x v="946"/>
    <x v="7"/>
    <x v="7"/>
    <n v="3398"/>
    <x v="1139"/>
    <n v="7.6200000000000004E-2"/>
    <n v="77.7"/>
    <n v="68"/>
    <n v="183"/>
    <n v="8"/>
    <n v="259"/>
    <x v="18"/>
    <x v="46"/>
    <x v="124"/>
    <x v="7"/>
    <x v="3"/>
    <s v=""/>
    <s v="Nao"/>
  </r>
  <r>
    <x v="947"/>
    <x v="13"/>
    <x v="9"/>
    <n v="3210"/>
    <x v="1140"/>
    <n v="6.7599999999999993E-2"/>
    <n v="65.099999999999994"/>
    <n v="17"/>
    <n v="198"/>
    <n v="2"/>
    <n v="217"/>
    <x v="18"/>
    <x v="47"/>
    <x v="403"/>
    <x v="7"/>
    <x v="3"/>
    <s v=""/>
    <s v="Nao"/>
  </r>
  <r>
    <x v="948"/>
    <x v="8"/>
    <x v="8"/>
    <n v="3159"/>
    <x v="84"/>
    <n v="7.2499999999999995E-2"/>
    <n v="73.28"/>
    <n v="28"/>
    <n v="194"/>
    <n v="7"/>
    <n v="229"/>
    <x v="18"/>
    <x v="48"/>
    <x v="714"/>
    <x v="7"/>
    <x v="3"/>
    <s v=""/>
    <s v="Nao"/>
  </r>
  <r>
    <x v="948"/>
    <x v="10"/>
    <x v="10"/>
    <n v="2988"/>
    <x v="489"/>
    <n v="8.7999999999999995E-2"/>
    <n v="84.16"/>
    <n v="27"/>
    <n v="229"/>
    <n v="7"/>
    <n v="263"/>
    <x v="18"/>
    <x v="48"/>
    <x v="368"/>
    <x v="7"/>
    <x v="3"/>
    <s v=""/>
    <s v="Nao"/>
  </r>
  <r>
    <x v="949"/>
    <x v="14"/>
    <x v="12"/>
    <n v="2257"/>
    <x v="973"/>
    <n v="6.9099999999999995E-2"/>
    <n v="46.8"/>
    <n v="59"/>
    <n v="14"/>
    <n v="83"/>
    <n v="156"/>
    <x v="18"/>
    <x v="49"/>
    <x v="773"/>
    <x v="7"/>
    <x v="3"/>
    <s v=""/>
    <s v="Sim"/>
  </r>
  <r>
    <x v="949"/>
    <x v="13"/>
    <x v="9"/>
    <n v="4178"/>
    <x v="342"/>
    <n v="7.2499999999999995E-2"/>
    <n v="90.9"/>
    <n v="10"/>
    <n v="285"/>
    <n v="8"/>
    <n v="303"/>
    <x v="18"/>
    <x v="49"/>
    <x v="774"/>
    <x v="7"/>
    <x v="3"/>
    <s v=""/>
    <s v="Nao"/>
  </r>
  <r>
    <x v="950"/>
    <x v="7"/>
    <x v="7"/>
    <n v="3321"/>
    <x v="152"/>
    <n v="5.8999999999999997E-2"/>
    <n v="58.8"/>
    <n v="54"/>
    <n v="137"/>
    <n v="5"/>
    <n v="196"/>
    <x v="18"/>
    <x v="50"/>
    <x v="741"/>
    <x v="7"/>
    <x v="3"/>
    <s v=""/>
    <s v="Nao"/>
  </r>
  <r>
    <x v="950"/>
    <x v="1"/>
    <x v="1"/>
    <n v="3221"/>
    <x v="1141"/>
    <n v="6.9500000000000006E-2"/>
    <n v="71.680000000000007"/>
    <n v="11"/>
    <n v="208"/>
    <n v="5"/>
    <n v="224"/>
    <x v="18"/>
    <x v="50"/>
    <x v="483"/>
    <x v="7"/>
    <x v="3"/>
    <s v=""/>
    <s v="Nao"/>
  </r>
  <r>
    <x v="951"/>
    <x v="10"/>
    <x v="10"/>
    <n v="2192"/>
    <x v="980"/>
    <n v="8.1199999999999994E-2"/>
    <n v="56.96"/>
    <n v="24"/>
    <n v="152"/>
    <n v="2"/>
    <n v="178"/>
    <x v="18"/>
    <x v="0"/>
    <x v="10"/>
    <x v="7"/>
    <x v="3"/>
    <s v=""/>
    <s v="Nao"/>
  </r>
  <r>
    <x v="952"/>
    <x v="11"/>
    <x v="0"/>
    <n v="3163"/>
    <x v="1142"/>
    <n v="0.05"/>
    <n v="44.24"/>
    <n v="12"/>
    <n v="144"/>
    <n v="2"/>
    <n v="158"/>
    <x v="18"/>
    <x v="1"/>
    <x v="382"/>
    <x v="7"/>
    <x v="3"/>
    <s v=""/>
    <s v="Nao"/>
  </r>
  <r>
    <x v="953"/>
    <x v="14"/>
    <x v="12"/>
    <n v="4163"/>
    <x v="342"/>
    <n v="6.9199999999999998E-2"/>
    <n v="86.4"/>
    <n v="89"/>
    <n v="189"/>
    <n v="10"/>
    <n v="288"/>
    <x v="18"/>
    <x v="2"/>
    <x v="775"/>
    <x v="7"/>
    <x v="3"/>
    <s v=""/>
    <s v="Nao"/>
  </r>
  <r>
    <x v="953"/>
    <x v="0"/>
    <x v="0"/>
    <n v="1951"/>
    <x v="260"/>
    <n v="6.25E-2"/>
    <n v="39.04"/>
    <n v="4"/>
    <n v="115"/>
    <n v="3"/>
    <n v="122"/>
    <x v="18"/>
    <x v="2"/>
    <x v="702"/>
    <x v="7"/>
    <x v="3"/>
    <s v=""/>
    <s v="Nao"/>
  </r>
  <r>
    <x v="954"/>
    <x v="6"/>
    <x v="6"/>
    <n v="3321"/>
    <x v="1143"/>
    <n v="4.7E-2"/>
    <n v="54.6"/>
    <n v="8"/>
    <n v="144"/>
    <n v="4"/>
    <n v="156"/>
    <x v="18"/>
    <x v="3"/>
    <x v="426"/>
    <x v="7"/>
    <x v="3"/>
    <s v=""/>
    <s v="Nao"/>
  </r>
  <r>
    <x v="954"/>
    <x v="3"/>
    <x v="3"/>
    <n v="1964"/>
    <x v="260"/>
    <n v="6.8699999999999997E-2"/>
    <n v="37.799999999999997"/>
    <n v="5"/>
    <n v="127"/>
    <n v="3"/>
    <n v="135"/>
    <x v="18"/>
    <x v="3"/>
    <x v="691"/>
    <x v="7"/>
    <x v="3"/>
    <s v=""/>
    <s v="Nao"/>
  </r>
  <r>
    <x v="955"/>
    <x v="9"/>
    <x v="9"/>
    <n v="2902"/>
    <x v="1144"/>
    <n v="8.2000000000000003E-2"/>
    <n v="61.88"/>
    <n v="14"/>
    <n v="219"/>
    <n v="5"/>
    <n v="238"/>
    <x v="18"/>
    <x v="4"/>
    <x v="129"/>
    <x v="7"/>
    <x v="3"/>
    <s v=""/>
    <s v="Nao"/>
  </r>
  <r>
    <x v="956"/>
    <x v="1"/>
    <x v="1"/>
    <n v="3265"/>
    <x v="948"/>
    <n v="7.3800000000000004E-2"/>
    <n v="77.12"/>
    <n v="6"/>
    <n v="229"/>
    <n v="6"/>
    <n v="241"/>
    <x v="18"/>
    <x v="5"/>
    <x v="307"/>
    <x v="7"/>
    <x v="3"/>
    <s v=""/>
    <s v="Nao"/>
  </r>
  <r>
    <x v="956"/>
    <x v="4"/>
    <x v="4"/>
    <n v="3414"/>
    <x v="1145"/>
    <n v="6.6799999999999998E-2"/>
    <n v="79.8"/>
    <n v="4"/>
    <n v="217"/>
    <n v="7"/>
    <n v="228"/>
    <x v="18"/>
    <x v="5"/>
    <x v="376"/>
    <x v="7"/>
    <x v="3"/>
    <s v=""/>
    <s v="Nao"/>
  </r>
  <r>
    <x v="957"/>
    <x v="2"/>
    <x v="2"/>
    <n v="3923"/>
    <x v="949"/>
    <n v="5.8400000000000001E-2"/>
    <n v="73.28"/>
    <n v="8"/>
    <n v="218"/>
    <n v="3"/>
    <n v="229"/>
    <x v="18"/>
    <x v="6"/>
    <x v="714"/>
    <x v="7"/>
    <x v="3"/>
    <s v=""/>
    <s v="Nao"/>
  </r>
  <r>
    <x v="958"/>
    <x v="8"/>
    <x v="8"/>
    <n v="2531"/>
    <x v="1146"/>
    <n v="9.5200000000000007E-2"/>
    <n v="77.12"/>
    <n v="29"/>
    <n v="205"/>
    <n v="7"/>
    <n v="241"/>
    <x v="18"/>
    <x v="7"/>
    <x v="307"/>
    <x v="7"/>
    <x v="3"/>
    <s v=""/>
    <s v="Nao"/>
  </r>
  <r>
    <x v="958"/>
    <x v="14"/>
    <x v="12"/>
    <n v="3996"/>
    <x v="1147"/>
    <n v="7.1800000000000003E-2"/>
    <n v="86.1"/>
    <n v="74"/>
    <n v="207"/>
    <n v="6"/>
    <n v="287"/>
    <x v="18"/>
    <x v="7"/>
    <x v="592"/>
    <x v="7"/>
    <x v="3"/>
    <s v=""/>
    <s v="Nao"/>
  </r>
  <r>
    <x v="959"/>
    <x v="2"/>
    <x v="2"/>
    <n v="3328"/>
    <x v="380"/>
    <n v="7.6600000000000001E-2"/>
    <n v="81.599999999999994"/>
    <n v="11"/>
    <n v="241"/>
    <n v="3"/>
    <n v="255"/>
    <x v="18"/>
    <x v="8"/>
    <x v="348"/>
    <x v="7"/>
    <x v="3"/>
    <s v=""/>
    <s v="Nao"/>
  </r>
  <r>
    <x v="960"/>
    <x v="4"/>
    <x v="4"/>
    <n v="2196"/>
    <x v="1148"/>
    <n v="6.2399999999999997E-2"/>
    <n v="47.95"/>
    <n v="7"/>
    <n v="127"/>
    <n v="3"/>
    <n v="137"/>
    <x v="18"/>
    <x v="9"/>
    <x v="75"/>
    <x v="7"/>
    <x v="3"/>
    <s v=""/>
    <s v="Nao"/>
  </r>
  <r>
    <x v="960"/>
    <x v="7"/>
    <x v="7"/>
    <n v="2733"/>
    <x v="559"/>
    <n v="7.7600000000000002E-2"/>
    <n v="63.6"/>
    <n v="40"/>
    <n v="168"/>
    <n v="4"/>
    <n v="212"/>
    <x v="18"/>
    <x v="9"/>
    <x v="374"/>
    <x v="7"/>
    <x v="3"/>
    <s v=""/>
    <s v="Nao"/>
  </r>
  <r>
    <x v="961"/>
    <x v="1"/>
    <x v="1"/>
    <n v="1957"/>
    <x v="343"/>
    <n v="5.7700000000000001E-2"/>
    <n v="36.159999999999997"/>
    <n v="5"/>
    <n v="106"/>
    <n v="2"/>
    <n v="113"/>
    <x v="18"/>
    <x v="10"/>
    <x v="280"/>
    <x v="7"/>
    <x v="3"/>
    <s v=""/>
    <s v="Nao"/>
  </r>
  <r>
    <x v="961"/>
    <x v="2"/>
    <x v="2"/>
    <n v="2391"/>
    <x v="98"/>
    <n v="5.6899999999999999E-2"/>
    <n v="43.52"/>
    <n v="6"/>
    <n v="128"/>
    <n v="2"/>
    <n v="136"/>
    <x v="18"/>
    <x v="10"/>
    <x v="83"/>
    <x v="7"/>
    <x v="3"/>
    <s v=""/>
    <s v="Nao"/>
  </r>
  <r>
    <x v="962"/>
    <x v="4"/>
    <x v="4"/>
    <n v="2210"/>
    <x v="633"/>
    <n v="5.5199999999999999E-2"/>
    <n v="42.7"/>
    <n v="6"/>
    <n v="115"/>
    <n v="1"/>
    <n v="122"/>
    <x v="18"/>
    <x v="11"/>
    <x v="335"/>
    <x v="7"/>
    <x v="3"/>
    <s v=""/>
    <s v="Nao"/>
  </r>
  <r>
    <x v="963"/>
    <x v="8"/>
    <x v="8"/>
    <n v="3617"/>
    <x v="60"/>
    <n v="9.7000000000000003E-2"/>
    <n v="112.32"/>
    <n v="42"/>
    <n v="299"/>
    <n v="10"/>
    <n v="351"/>
    <x v="18"/>
    <x v="12"/>
    <x v="122"/>
    <x v="7"/>
    <x v="3"/>
    <s v=""/>
    <s v="Nao"/>
  </r>
  <r>
    <x v="963"/>
    <x v="14"/>
    <x v="12"/>
    <n v="3786"/>
    <x v="194"/>
    <n v="7.3200000000000001E-2"/>
    <n v="83.1"/>
    <n v="50"/>
    <n v="223"/>
    <n v="4"/>
    <n v="277"/>
    <x v="18"/>
    <x v="12"/>
    <x v="776"/>
    <x v="7"/>
    <x v="3"/>
    <s v=""/>
    <s v="Nao"/>
  </r>
  <r>
    <x v="964"/>
    <x v="4"/>
    <x v="4"/>
    <n v="2590"/>
    <x v="636"/>
    <n v="5.5199999999999999E-2"/>
    <n v="50.05"/>
    <n v="10"/>
    <n v="131"/>
    <n v="2"/>
    <n v="143"/>
    <x v="18"/>
    <x v="13"/>
    <x v="70"/>
    <x v="7"/>
    <x v="3"/>
    <s v=""/>
    <s v="Nao"/>
  </r>
  <r>
    <x v="965"/>
    <x v="1"/>
    <x v="1"/>
    <n v="4052"/>
    <x v="1149"/>
    <n v="9.6000000000000002E-2"/>
    <n v="124.48"/>
    <n v="14"/>
    <n v="366"/>
    <n v="9"/>
    <n v="389"/>
    <x v="18"/>
    <x v="14"/>
    <x v="271"/>
    <x v="7"/>
    <x v="3"/>
    <s v=""/>
    <s v="Nao"/>
  </r>
  <r>
    <x v="966"/>
    <x v="7"/>
    <x v="7"/>
    <n v="2422"/>
    <x v="382"/>
    <n v="8.8400000000000006E-2"/>
    <n v="64.2"/>
    <n v="56"/>
    <n v="150"/>
    <n v="8"/>
    <n v="214"/>
    <x v="18"/>
    <x v="15"/>
    <x v="440"/>
    <x v="7"/>
    <x v="3"/>
    <s v=""/>
    <s v="Nao"/>
  </r>
  <r>
    <x v="966"/>
    <x v="1"/>
    <x v="1"/>
    <n v="2974"/>
    <x v="45"/>
    <n v="8.2000000000000003E-2"/>
    <n v="78.08"/>
    <n v="11"/>
    <n v="227"/>
    <n v="6"/>
    <n v="244"/>
    <x v="18"/>
    <x v="15"/>
    <x v="346"/>
    <x v="7"/>
    <x v="3"/>
    <s v=""/>
    <s v="Nao"/>
  </r>
  <r>
    <x v="967"/>
    <x v="6"/>
    <x v="6"/>
    <n v="2039"/>
    <x v="1150"/>
    <n v="5.5399999999999998E-2"/>
    <n v="39.549999999999997"/>
    <n v="6"/>
    <n v="105"/>
    <n v="2"/>
    <n v="113"/>
    <x v="18"/>
    <x v="16"/>
    <x v="777"/>
    <x v="7"/>
    <x v="3"/>
    <s v=""/>
    <s v="Nao"/>
  </r>
  <r>
    <x v="967"/>
    <x v="10"/>
    <x v="10"/>
    <n v="3641"/>
    <x v="1002"/>
    <n v="0.10050000000000001"/>
    <n v="117.12"/>
    <n v="42"/>
    <n v="315"/>
    <n v="9"/>
    <n v="366"/>
    <x v="18"/>
    <x v="16"/>
    <x v="778"/>
    <x v="7"/>
    <x v="3"/>
    <s v=""/>
    <s v="Nao"/>
  </r>
  <r>
    <x v="968"/>
    <x v="9"/>
    <x v="9"/>
    <n v="2175"/>
    <x v="1105"/>
    <n v="9.2399999999999996E-2"/>
    <n v="52.26"/>
    <n v="8"/>
    <n v="190"/>
    <n v="3"/>
    <n v="201"/>
    <x v="18"/>
    <x v="17"/>
    <x v="587"/>
    <x v="7"/>
    <x v="3"/>
    <s v=""/>
    <s v="Nao"/>
  </r>
  <r>
    <x v="969"/>
    <x v="11"/>
    <x v="0"/>
    <n v="3665"/>
    <x v="1151"/>
    <n v="5.4600000000000003E-2"/>
    <n v="56"/>
    <n v="9"/>
    <n v="187"/>
    <n v="4"/>
    <n v="200"/>
    <x v="18"/>
    <x v="18"/>
    <x v="3"/>
    <x v="7"/>
    <x v="3"/>
    <s v=""/>
    <s v="Nao"/>
  </r>
  <r>
    <x v="969"/>
    <x v="5"/>
    <x v="5"/>
    <n v="3822"/>
    <x v="450"/>
    <n v="6.4100000000000004E-2"/>
    <n v="83.3"/>
    <n v="8"/>
    <n v="230"/>
    <n v="7"/>
    <n v="245"/>
    <x v="18"/>
    <x v="18"/>
    <x v="709"/>
    <x v="7"/>
    <x v="3"/>
    <s v=""/>
    <s v="Nao"/>
  </r>
  <r>
    <x v="970"/>
    <x v="8"/>
    <x v="8"/>
    <n v="4046"/>
    <x v="475"/>
    <n v="9.4200000000000006E-2"/>
    <n v="121.92"/>
    <n v="44"/>
    <n v="327"/>
    <n v="10"/>
    <n v="381"/>
    <x v="18"/>
    <x v="19"/>
    <x v="24"/>
    <x v="7"/>
    <x v="3"/>
    <s v=""/>
    <s v="Nao"/>
  </r>
  <r>
    <x v="970"/>
    <x v="13"/>
    <x v="9"/>
    <n v="2694"/>
    <x v="572"/>
    <n v="7.4200000000000002E-2"/>
    <n v="60"/>
    <n v="9"/>
    <n v="185"/>
    <n v="6"/>
    <n v="200"/>
    <x v="18"/>
    <x v="19"/>
    <x v="512"/>
    <x v="7"/>
    <x v="3"/>
    <s v=""/>
    <s v="Nao"/>
  </r>
  <r>
    <x v="971"/>
    <x v="7"/>
    <x v="7"/>
    <n v="3239"/>
    <x v="1152"/>
    <n v="9.5100000000000004E-2"/>
    <n v="92.4"/>
    <n v="85"/>
    <n v="217"/>
    <n v="6"/>
    <n v="308"/>
    <x v="18"/>
    <x v="20"/>
    <x v="351"/>
    <x v="7"/>
    <x v="3"/>
    <s v=""/>
    <s v="Nao"/>
  </r>
  <r>
    <x v="971"/>
    <x v="6"/>
    <x v="6"/>
    <n v="1920"/>
    <x v="1153"/>
    <n v="7.7100000000000002E-2"/>
    <n v="51.8"/>
    <n v="3"/>
    <n v="141"/>
    <n v="4"/>
    <n v="148"/>
    <x v="18"/>
    <x v="20"/>
    <x v="598"/>
    <x v="7"/>
    <x v="3"/>
    <s v=""/>
    <s v="Nao"/>
  </r>
  <r>
    <x v="972"/>
    <x v="8"/>
    <x v="8"/>
    <n v="2617"/>
    <x v="1124"/>
    <n v="0.1062"/>
    <n v="88.96"/>
    <n v="27"/>
    <n v="244"/>
    <n v="7"/>
    <n v="278"/>
    <x v="18"/>
    <x v="21"/>
    <x v="308"/>
    <x v="7"/>
    <x v="3"/>
    <s v=""/>
    <s v="Nao"/>
  </r>
  <r>
    <x v="973"/>
    <x v="1"/>
    <x v="1"/>
    <n v="2837"/>
    <x v="254"/>
    <n v="8.4900000000000003E-2"/>
    <n v="77.12"/>
    <n v="15"/>
    <n v="220"/>
    <n v="6"/>
    <n v="241"/>
    <x v="18"/>
    <x v="22"/>
    <x v="307"/>
    <x v="7"/>
    <x v="3"/>
    <s v=""/>
    <s v="Nao"/>
  </r>
  <r>
    <x v="973"/>
    <x v="14"/>
    <x v="12"/>
    <n v="2955"/>
    <x v="1154"/>
    <n v="8.2199999999999995E-2"/>
    <n v="72.900000000000006"/>
    <n v="60"/>
    <n v="180"/>
    <n v="3"/>
    <n v="243"/>
    <x v="18"/>
    <x v="22"/>
    <x v="779"/>
    <x v="7"/>
    <x v="3"/>
    <s v=""/>
    <s v="Nao"/>
  </r>
  <r>
    <x v="974"/>
    <x v="4"/>
    <x v="4"/>
    <n v="4093"/>
    <x v="1155"/>
    <n v="5.3999999999999999E-2"/>
    <n v="77.349999999999994"/>
    <n v="7"/>
    <n v="208"/>
    <n v="6"/>
    <n v="221"/>
    <x v="18"/>
    <x v="23"/>
    <x v="254"/>
    <x v="8"/>
    <x v="3"/>
    <s v=""/>
    <s v="Nao"/>
  </r>
  <r>
    <x v="974"/>
    <x v="6"/>
    <x v="6"/>
    <n v="3855"/>
    <x v="1156"/>
    <n v="9.0499999999999997E-2"/>
    <n v="122.15"/>
    <n v="27"/>
    <n v="318"/>
    <n v="4"/>
    <n v="349"/>
    <x v="18"/>
    <x v="23"/>
    <x v="430"/>
    <x v="8"/>
    <x v="3"/>
    <s v=""/>
    <s v="Nao"/>
  </r>
  <r>
    <x v="975"/>
    <x v="5"/>
    <x v="5"/>
    <n v="3422"/>
    <x v="1157"/>
    <n v="6.1100000000000002E-2"/>
    <n v="71.06"/>
    <n v="8"/>
    <n v="195"/>
    <n v="6"/>
    <n v="209"/>
    <x v="18"/>
    <x v="24"/>
    <x v="128"/>
    <x v="8"/>
    <x v="3"/>
    <s v=""/>
    <s v="Nao"/>
  </r>
  <r>
    <x v="975"/>
    <x v="1"/>
    <x v="1"/>
    <n v="3591"/>
    <x v="280"/>
    <n v="8.5999999999999993E-2"/>
    <n v="98.88"/>
    <n v="13"/>
    <n v="287"/>
    <n v="9"/>
    <n v="309"/>
    <x v="18"/>
    <x v="24"/>
    <x v="46"/>
    <x v="8"/>
    <x v="3"/>
    <s v=""/>
    <s v="Nao"/>
  </r>
  <r>
    <x v="976"/>
    <x v="0"/>
    <x v="0"/>
    <n v="3855"/>
    <x v="204"/>
    <n v="7.7600000000000002E-2"/>
    <n v="95.68"/>
    <n v="112"/>
    <n v="60"/>
    <n v="127"/>
    <n v="299"/>
    <x v="18"/>
    <x v="25"/>
    <x v="324"/>
    <x v="8"/>
    <x v="3"/>
    <s v=""/>
    <s v="Sim"/>
  </r>
  <r>
    <x v="977"/>
    <x v="0"/>
    <x v="0"/>
    <n v="1999"/>
    <x v="1158"/>
    <n v="7.5999999999999998E-2"/>
    <n v="48.64"/>
    <n v="10"/>
    <n v="139"/>
    <n v="3"/>
    <n v="152"/>
    <x v="18"/>
    <x v="26"/>
    <x v="233"/>
    <x v="8"/>
    <x v="3"/>
    <s v=""/>
    <s v="Nao"/>
  </r>
  <r>
    <x v="977"/>
    <x v="8"/>
    <x v="8"/>
    <n v="3671"/>
    <x v="1159"/>
    <n v="0.1128"/>
    <n v="132.47999999999999"/>
    <n v="48"/>
    <n v="361"/>
    <n v="5"/>
    <n v="414"/>
    <x v="18"/>
    <x v="26"/>
    <x v="780"/>
    <x v="8"/>
    <x v="3"/>
    <s v=""/>
    <s v="Nao"/>
  </r>
  <r>
    <x v="978"/>
    <x v="0"/>
    <x v="0"/>
    <n v="3575"/>
    <x v="1160"/>
    <n v="8.3599999999999994E-2"/>
    <n v="95.68"/>
    <n v="7"/>
    <n v="286"/>
    <n v="6"/>
    <n v="299"/>
    <x v="18"/>
    <x v="27"/>
    <x v="324"/>
    <x v="8"/>
    <x v="3"/>
    <s v=""/>
    <s v="Nao"/>
  </r>
  <r>
    <x v="979"/>
    <x v="6"/>
    <x v="6"/>
    <n v="3644"/>
    <x v="1161"/>
    <n v="9.3299999999999994E-2"/>
    <n v="119"/>
    <n v="17"/>
    <n v="314"/>
    <n v="9"/>
    <n v="340"/>
    <x v="18"/>
    <x v="28"/>
    <x v="781"/>
    <x v="8"/>
    <x v="3"/>
    <s v=""/>
    <s v="Nao"/>
  </r>
  <r>
    <x v="979"/>
    <x v="9"/>
    <x v="9"/>
    <n v="2614"/>
    <x v="748"/>
    <n v="9.7199999999999995E-2"/>
    <n v="66.040000000000006"/>
    <n v="6"/>
    <n v="244"/>
    <n v="4"/>
    <n v="254"/>
    <x v="18"/>
    <x v="28"/>
    <x v="455"/>
    <x v="8"/>
    <x v="3"/>
    <s v=""/>
    <s v="Nao"/>
  </r>
  <r>
    <x v="980"/>
    <x v="9"/>
    <x v="9"/>
    <n v="3677"/>
    <x v="1162"/>
    <n v="9.0300000000000005E-2"/>
    <n v="86.32"/>
    <n v="15"/>
    <n v="312"/>
    <n v="5"/>
    <n v="332"/>
    <x v="18"/>
    <x v="29"/>
    <x v="530"/>
    <x v="8"/>
    <x v="3"/>
    <s v=""/>
    <s v="Nao"/>
  </r>
  <r>
    <x v="981"/>
    <x v="8"/>
    <x v="8"/>
    <n v="3651"/>
    <x v="1163"/>
    <n v="0.1016"/>
    <n v="118.72"/>
    <n v="43"/>
    <n v="324"/>
    <n v="4"/>
    <n v="371"/>
    <x v="18"/>
    <x v="30"/>
    <x v="732"/>
    <x v="8"/>
    <x v="3"/>
    <s v=""/>
    <s v="Nao"/>
  </r>
  <r>
    <x v="981"/>
    <x v="0"/>
    <x v="0"/>
    <n v="2701"/>
    <x v="894"/>
    <n v="7.3300000000000004E-2"/>
    <n v="63.36"/>
    <n v="13"/>
    <n v="182"/>
    <n v="3"/>
    <n v="198"/>
    <x v="18"/>
    <x v="30"/>
    <x v="589"/>
    <x v="8"/>
    <x v="3"/>
    <s v=""/>
    <s v="Nao"/>
  </r>
  <r>
    <x v="982"/>
    <x v="10"/>
    <x v="10"/>
    <n v="2675"/>
    <x v="79"/>
    <n v="0.1196"/>
    <n v="102.4"/>
    <n v="44"/>
    <n v="270"/>
    <n v="6"/>
    <n v="320"/>
    <x v="18"/>
    <x v="31"/>
    <x v="95"/>
    <x v="8"/>
    <x v="3"/>
    <s v=""/>
    <s v="Nao"/>
  </r>
  <r>
    <x v="983"/>
    <x v="11"/>
    <x v="0"/>
    <n v="2521"/>
    <x v="912"/>
    <n v="7.4999999999999997E-2"/>
    <n v="52.92"/>
    <n v="9"/>
    <n v="175"/>
    <n v="5"/>
    <n v="189"/>
    <x v="18"/>
    <x v="32"/>
    <x v="145"/>
    <x v="8"/>
    <x v="3"/>
    <s v=""/>
    <s v="Nao"/>
  </r>
  <r>
    <x v="983"/>
    <x v="14"/>
    <x v="12"/>
    <n v="2294"/>
    <x v="1164"/>
    <n v="9.5500000000000002E-2"/>
    <n v="65.7"/>
    <n v="55"/>
    <n v="160"/>
    <n v="4"/>
    <n v="219"/>
    <x v="18"/>
    <x v="32"/>
    <x v="406"/>
    <x v="8"/>
    <x v="3"/>
    <s v=""/>
    <s v="Nao"/>
  </r>
  <r>
    <x v="984"/>
    <x v="11"/>
    <x v="0"/>
    <n v="2740"/>
    <x v="1165"/>
    <n v="6.5699999999999995E-2"/>
    <n v="50.4"/>
    <n v="11"/>
    <n v="165"/>
    <n v="4"/>
    <n v="180"/>
    <x v="18"/>
    <x v="33"/>
    <x v="394"/>
    <x v="8"/>
    <x v="3"/>
    <s v=""/>
    <s v="Nao"/>
  </r>
  <r>
    <x v="985"/>
    <x v="4"/>
    <x v="4"/>
    <n v="3299"/>
    <x v="1166"/>
    <n v="8.2799999999999999E-2"/>
    <n v="95.55"/>
    <n v="116"/>
    <n v="44"/>
    <n v="113"/>
    <n v="273"/>
    <x v="18"/>
    <x v="34"/>
    <x v="782"/>
    <x v="8"/>
    <x v="3"/>
    <s v=""/>
    <s v="Sim"/>
  </r>
  <r>
    <x v="986"/>
    <x v="13"/>
    <x v="9"/>
    <n v="2324"/>
    <x v="29"/>
    <n v="0.1037"/>
    <n v="72.3"/>
    <n v="81"/>
    <n v="37"/>
    <n v="123"/>
    <n v="241"/>
    <x v="18"/>
    <x v="35"/>
    <x v="71"/>
    <x v="8"/>
    <x v="3"/>
    <s v=""/>
    <s v="Sim"/>
  </r>
  <r>
    <x v="986"/>
    <x v="1"/>
    <x v="1"/>
    <n v="3783"/>
    <x v="1167"/>
    <n v="8.9599999999999999E-2"/>
    <n v="108.48"/>
    <n v="19"/>
    <n v="316"/>
    <n v="4"/>
    <n v="339"/>
    <x v="18"/>
    <x v="35"/>
    <x v="327"/>
    <x v="8"/>
    <x v="3"/>
    <s v=""/>
    <s v="Nao"/>
  </r>
  <r>
    <x v="987"/>
    <x v="8"/>
    <x v="8"/>
    <n v="2725"/>
    <x v="1168"/>
    <n v="0.1226"/>
    <n v="106.88"/>
    <n v="34"/>
    <n v="295"/>
    <n v="5"/>
    <n v="334"/>
    <x v="18"/>
    <x v="51"/>
    <x v="172"/>
    <x v="8"/>
    <x v="3"/>
    <s v=""/>
    <s v="Nao"/>
  </r>
  <r>
    <x v="987"/>
    <x v="4"/>
    <x v="4"/>
    <n v="3006"/>
    <x v="1169"/>
    <n v="9.4100000000000003E-2"/>
    <n v="99.05"/>
    <n v="17"/>
    <n v="263"/>
    <n v="3"/>
    <n v="283"/>
    <x v="18"/>
    <x v="51"/>
    <x v="274"/>
    <x v="8"/>
    <x v="3"/>
    <s v=""/>
    <s v="Nao"/>
  </r>
  <r>
    <x v="988"/>
    <x v="1"/>
    <x v="1"/>
    <n v="2943"/>
    <x v="1061"/>
    <n v="0.09"/>
    <n v="84.8"/>
    <n v="17"/>
    <n v="244"/>
    <n v="4"/>
    <n v="265"/>
    <x v="18"/>
    <x v="52"/>
    <x v="541"/>
    <x v="8"/>
    <x v="3"/>
    <s v=""/>
    <s v="Nao"/>
  </r>
  <r>
    <x v="988"/>
    <x v="9"/>
    <x v="9"/>
    <n v="1871"/>
    <x v="1170"/>
    <n v="0.1069"/>
    <n v="52"/>
    <n v="12"/>
    <n v="185"/>
    <n v="3"/>
    <n v="200"/>
    <x v="18"/>
    <x v="52"/>
    <x v="158"/>
    <x v="8"/>
    <x v="3"/>
    <s v=""/>
    <s v="Nao"/>
  </r>
  <r>
    <x v="989"/>
    <x v="8"/>
    <x v="8"/>
    <n v="2619"/>
    <x v="366"/>
    <n v="0.1237"/>
    <n v="103.68"/>
    <n v="38"/>
    <n v="283"/>
    <n v="3"/>
    <n v="324"/>
    <x v="18"/>
    <x v="53"/>
    <x v="757"/>
    <x v="8"/>
    <x v="3"/>
    <s v=""/>
    <s v="Nao"/>
  </r>
  <r>
    <x v="989"/>
    <x v="11"/>
    <x v="0"/>
    <n v="2875"/>
    <x v="1171"/>
    <n v="8.3500000000000005E-2"/>
    <n v="67.2"/>
    <n v="9"/>
    <n v="224"/>
    <n v="7"/>
    <n v="240"/>
    <x v="18"/>
    <x v="53"/>
    <x v="502"/>
    <x v="8"/>
    <x v="3"/>
    <s v=""/>
    <s v="Nao"/>
  </r>
  <r>
    <x v="990"/>
    <x v="7"/>
    <x v="7"/>
    <n v="3792"/>
    <x v="113"/>
    <n v="8.1799999999999998E-2"/>
    <n v="93"/>
    <n v="59"/>
    <n v="241"/>
    <n v="10"/>
    <n v="310"/>
    <x v="18"/>
    <x v="54"/>
    <x v="694"/>
    <x v="8"/>
    <x v="3"/>
    <s v=""/>
    <s v="Nao"/>
  </r>
  <r>
    <x v="990"/>
    <x v="3"/>
    <x v="3"/>
    <n v="2386"/>
    <x v="1172"/>
    <n v="9.8900000000000002E-2"/>
    <n v="66.08"/>
    <n v="7"/>
    <n v="223"/>
    <n v="6"/>
    <n v="236"/>
    <x v="18"/>
    <x v="54"/>
    <x v="783"/>
    <x v="8"/>
    <x v="3"/>
    <s v=""/>
    <s v="Nao"/>
  </r>
  <r>
    <x v="991"/>
    <x v="10"/>
    <x v="10"/>
    <n v="3982"/>
    <x v="935"/>
    <n v="0.1077"/>
    <n v="137.28"/>
    <n v="38"/>
    <n v="387"/>
    <n v="4"/>
    <n v="429"/>
    <x v="18"/>
    <x v="55"/>
    <x v="784"/>
    <x v="8"/>
    <x v="3"/>
    <s v=""/>
    <s v="Nao"/>
  </r>
  <r>
    <x v="991"/>
    <x v="8"/>
    <x v="8"/>
    <n v="3184"/>
    <x v="1173"/>
    <n v="0.12809999999999999"/>
    <n v="130.56"/>
    <n v="34"/>
    <n v="366"/>
    <n v="8"/>
    <n v="408"/>
    <x v="18"/>
    <x v="55"/>
    <x v="785"/>
    <x v="8"/>
    <x v="3"/>
    <n v="55"/>
    <s v="Nao"/>
  </r>
  <r>
    <x v="992"/>
    <x v="9"/>
    <x v="9"/>
    <n v="3676"/>
    <x v="273"/>
    <n v="5.4699999999999999E-2"/>
    <n v="52.26"/>
    <n v="13"/>
    <n v="185"/>
    <n v="3"/>
    <n v="201"/>
    <x v="19"/>
    <x v="36"/>
    <x v="587"/>
    <x v="8"/>
    <x v="3"/>
    <s v=""/>
    <s v="Nao"/>
  </r>
  <r>
    <x v="992"/>
    <x v="7"/>
    <x v="7"/>
    <n v="3634"/>
    <x v="831"/>
    <n v="5.6399999999999999E-2"/>
    <n v="61.5"/>
    <n v="46"/>
    <n v="155"/>
    <n v="4"/>
    <n v="205"/>
    <x v="19"/>
    <x v="36"/>
    <x v="67"/>
    <x v="8"/>
    <x v="3"/>
    <s v=""/>
    <s v="Nao"/>
  </r>
  <r>
    <x v="993"/>
    <x v="8"/>
    <x v="8"/>
    <n v="3986"/>
    <x v="431"/>
    <n v="8.9099999999999999E-2"/>
    <n v="113.6"/>
    <n v="41"/>
    <n v="304"/>
    <n v="10"/>
    <n v="355"/>
    <x v="19"/>
    <x v="37"/>
    <x v="487"/>
    <x v="8"/>
    <x v="3"/>
    <s v=""/>
    <s v="Nao"/>
  </r>
  <r>
    <x v="994"/>
    <x v="6"/>
    <x v="6"/>
    <n v="3657"/>
    <x v="1174"/>
    <n v="5.1999999999999998E-2"/>
    <n v="66.5"/>
    <n v="3"/>
    <n v="182"/>
    <n v="5"/>
    <n v="190"/>
    <x v="19"/>
    <x v="38"/>
    <x v="623"/>
    <x v="8"/>
    <x v="3"/>
    <s v=""/>
    <s v="Nao"/>
  </r>
  <r>
    <x v="994"/>
    <x v="5"/>
    <x v="5"/>
    <n v="3675"/>
    <x v="738"/>
    <n v="3.4799999999999998E-2"/>
    <n v="43.52"/>
    <n v="3"/>
    <n v="121"/>
    <n v="4"/>
    <n v="128"/>
    <x v="19"/>
    <x v="38"/>
    <x v="83"/>
    <x v="8"/>
    <x v="3"/>
    <s v=""/>
    <s v="Nao"/>
  </r>
  <r>
    <x v="995"/>
    <x v="14"/>
    <x v="12"/>
    <n v="3708"/>
    <x v="1175"/>
    <n v="5.6399999999999999E-2"/>
    <n v="62.7"/>
    <n v="58"/>
    <n v="144"/>
    <n v="7"/>
    <n v="209"/>
    <x v="19"/>
    <x v="39"/>
    <x v="506"/>
    <x v="8"/>
    <x v="3"/>
    <s v=""/>
    <s v="Nao"/>
  </r>
  <r>
    <x v="996"/>
    <x v="10"/>
    <x v="10"/>
    <n v="4027"/>
    <x v="711"/>
    <n v="8.1699999999999995E-2"/>
    <n v="105.28"/>
    <n v="36"/>
    <n v="283"/>
    <n v="10"/>
    <n v="329"/>
    <x v="19"/>
    <x v="40"/>
    <x v="272"/>
    <x v="8"/>
    <x v="3"/>
    <s v=""/>
    <s v="Nao"/>
  </r>
  <r>
    <x v="997"/>
    <x v="5"/>
    <x v="5"/>
    <n v="3912"/>
    <x v="1117"/>
    <n v="2.86E-2"/>
    <n v="38.08"/>
    <n v="35"/>
    <n v="28"/>
    <n v="49"/>
    <n v="112"/>
    <x v="19"/>
    <x v="41"/>
    <x v="164"/>
    <x v="8"/>
    <x v="3"/>
    <s v=""/>
    <s v="Sim"/>
  </r>
  <r>
    <x v="998"/>
    <x v="12"/>
    <x v="11"/>
    <n v="2458"/>
    <x v="1176"/>
    <n v="7.4499999999999997E-2"/>
    <n v="58.56"/>
    <n v="15"/>
    <n v="164"/>
    <n v="4"/>
    <n v="183"/>
    <x v="19"/>
    <x v="42"/>
    <x v="511"/>
    <x v="8"/>
    <x v="3"/>
    <s v=""/>
    <s v="Nao"/>
  </r>
  <r>
    <x v="998"/>
    <x v="11"/>
    <x v="0"/>
    <n v="4092"/>
    <x v="1177"/>
    <n v="3.4700000000000002E-2"/>
    <n v="39.76"/>
    <n v="3"/>
    <n v="136"/>
    <n v="3"/>
    <n v="142"/>
    <x v="19"/>
    <x v="42"/>
    <x v="178"/>
    <x v="8"/>
    <x v="3"/>
    <s v=""/>
    <s v="Nao"/>
  </r>
  <r>
    <x v="999"/>
    <x v="0"/>
    <x v="0"/>
    <n v="3101"/>
    <x v="784"/>
    <n v="4.2599999999999999E-2"/>
    <n v="42.24"/>
    <n v="7"/>
    <n v="122"/>
    <n v="3"/>
    <n v="132"/>
    <x v="19"/>
    <x v="43"/>
    <x v="0"/>
    <x v="8"/>
    <x v="3"/>
    <s v=""/>
    <s v="Nao"/>
  </r>
  <r>
    <x v="1000"/>
    <x v="12"/>
    <x v="11"/>
    <n v="3995"/>
    <x v="970"/>
    <n v="6.5799999999999997E-2"/>
    <n v="84.16"/>
    <n v="29"/>
    <n v="229"/>
    <n v="5"/>
    <n v="263"/>
    <x v="19"/>
    <x v="44"/>
    <x v="368"/>
    <x v="8"/>
    <x v="3"/>
    <s v=""/>
    <s v="Nao"/>
  </r>
  <r>
    <x v="1000"/>
    <x v="3"/>
    <x v="3"/>
    <n v="2195"/>
    <x v="1178"/>
    <n v="3.78E-2"/>
    <n v="23.24"/>
    <n v="2"/>
    <n v="80"/>
    <n v="1"/>
    <n v="83"/>
    <x v="19"/>
    <x v="44"/>
    <x v="53"/>
    <x v="8"/>
    <x v="3"/>
    <s v=""/>
    <s v="Nao"/>
  </r>
  <r>
    <x v="1001"/>
    <x v="3"/>
    <x v="3"/>
    <n v="2427"/>
    <x v="1179"/>
    <n v="5.1499999999999997E-2"/>
    <n v="35"/>
    <n v="4"/>
    <n v="118"/>
    <n v="3"/>
    <n v="125"/>
    <x v="19"/>
    <x v="45"/>
    <x v="449"/>
    <x v="8"/>
    <x v="3"/>
    <s v=""/>
    <s v="Nao"/>
  </r>
  <r>
    <x v="1001"/>
    <x v="3"/>
    <x v="3"/>
    <n v="2369"/>
    <x v="1180"/>
    <n v="6.7100000000000007E-2"/>
    <n v="44.52"/>
    <n v="11"/>
    <n v="146"/>
    <n v="2"/>
    <n v="159"/>
    <x v="19"/>
    <x v="45"/>
    <x v="418"/>
    <x v="8"/>
    <x v="3"/>
    <s v=""/>
    <s v="Nao"/>
  </r>
  <r>
    <x v="1002"/>
    <x v="6"/>
    <x v="6"/>
    <n v="2469"/>
    <x v="355"/>
    <n v="4.82E-2"/>
    <n v="41.65"/>
    <n v="7"/>
    <n v="109"/>
    <n v="3"/>
    <n v="119"/>
    <x v="19"/>
    <x v="46"/>
    <x v="786"/>
    <x v="8"/>
    <x v="3"/>
    <s v=""/>
    <s v="Nao"/>
  </r>
  <r>
    <x v="1002"/>
    <x v="12"/>
    <x v="11"/>
    <n v="3156"/>
    <x v="799"/>
    <n v="5.4800000000000001E-2"/>
    <n v="55.36"/>
    <n v="23"/>
    <n v="146"/>
    <n v="4"/>
    <n v="173"/>
    <x v="19"/>
    <x v="46"/>
    <x v="400"/>
    <x v="8"/>
    <x v="3"/>
    <s v=""/>
    <s v="Nao"/>
  </r>
  <r>
    <x v="1003"/>
    <x v="14"/>
    <x v="12"/>
    <n v="3598"/>
    <x v="1181"/>
    <n v="7.1999999999999995E-2"/>
    <n v="77.7"/>
    <n v="76"/>
    <n v="178"/>
    <n v="5"/>
    <n v="259"/>
    <x v="19"/>
    <x v="47"/>
    <x v="60"/>
    <x v="8"/>
    <x v="3"/>
    <s v=""/>
    <s v="Nao"/>
  </r>
  <r>
    <x v="1004"/>
    <x v="3"/>
    <x v="3"/>
    <n v="2633"/>
    <x v="572"/>
    <n v="5.28E-2"/>
    <n v="38.92"/>
    <n v="4"/>
    <n v="133"/>
    <n v="2"/>
    <n v="139"/>
    <x v="19"/>
    <x v="48"/>
    <x v="280"/>
    <x v="9"/>
    <x v="3"/>
    <s v=""/>
    <s v="Nao"/>
  </r>
  <r>
    <x v="1005"/>
    <x v="4"/>
    <x v="4"/>
    <n v="3561"/>
    <x v="1182"/>
    <n v="7.0999999999999994E-2"/>
    <n v="88.55"/>
    <n v="15"/>
    <n v="231"/>
    <n v="7"/>
    <n v="253"/>
    <x v="19"/>
    <x v="49"/>
    <x v="239"/>
    <x v="9"/>
    <x v="3"/>
    <s v=""/>
    <s v="Nao"/>
  </r>
  <r>
    <x v="1006"/>
    <x v="2"/>
    <x v="2"/>
    <n v="1848"/>
    <x v="1183"/>
    <n v="5.6800000000000003E-2"/>
    <n v="33.6"/>
    <n v="3"/>
    <n v="101"/>
    <n v="1"/>
    <n v="105"/>
    <x v="19"/>
    <x v="50"/>
    <x v="617"/>
    <x v="9"/>
    <x v="3"/>
    <s v=""/>
    <s v="Nao"/>
  </r>
  <r>
    <x v="1006"/>
    <x v="11"/>
    <x v="0"/>
    <n v="3239"/>
    <x v="1001"/>
    <n v="3.1199999999999999E-2"/>
    <n v="28.28"/>
    <n v="4"/>
    <n v="95"/>
    <n v="2"/>
    <n v="101"/>
    <x v="19"/>
    <x v="50"/>
    <x v="159"/>
    <x v="9"/>
    <x v="3"/>
    <s v=""/>
    <s v="Nao"/>
  </r>
  <r>
    <x v="1007"/>
    <x v="5"/>
    <x v="5"/>
    <n v="4133"/>
    <x v="1113"/>
    <n v="4.5699999999999998E-2"/>
    <n v="64.260000000000005"/>
    <n v="12"/>
    <n v="174"/>
    <n v="3"/>
    <n v="189"/>
    <x v="19"/>
    <x v="0"/>
    <x v="84"/>
    <x v="9"/>
    <x v="3"/>
    <s v=""/>
    <s v="Nao"/>
  </r>
  <r>
    <x v="1007"/>
    <x v="9"/>
    <x v="9"/>
    <n v="3109"/>
    <x v="769"/>
    <n v="7.0800000000000002E-2"/>
    <n v="57.2"/>
    <n v="11"/>
    <n v="206"/>
    <n v="3"/>
    <n v="220"/>
    <x v="19"/>
    <x v="0"/>
    <x v="787"/>
    <x v="9"/>
    <x v="3"/>
    <s v=""/>
    <s v="Nao"/>
  </r>
  <r>
    <x v="1008"/>
    <x v="11"/>
    <x v="0"/>
    <n v="2409"/>
    <x v="656"/>
    <n v="4.5199999999999997E-2"/>
    <n v="30.52"/>
    <n v="38"/>
    <n v="19"/>
    <n v="52"/>
    <n v="109"/>
    <x v="19"/>
    <x v="1"/>
    <x v="470"/>
    <x v="9"/>
    <x v="3"/>
    <s v=""/>
    <s v="Sim"/>
  </r>
  <r>
    <x v="1008"/>
    <x v="11"/>
    <x v="0"/>
    <n v="3202"/>
    <x v="1184"/>
    <n v="5.28E-2"/>
    <n v="47.32"/>
    <n v="8"/>
    <n v="158"/>
    <n v="3"/>
    <n v="169"/>
    <x v="19"/>
    <x v="1"/>
    <x v="578"/>
    <x v="9"/>
    <x v="3"/>
    <s v=""/>
    <s v="Nao"/>
  </r>
  <r>
    <x v="1009"/>
    <x v="14"/>
    <x v="12"/>
    <n v="3787"/>
    <x v="194"/>
    <n v="7.3400000000000007E-2"/>
    <n v="83.4"/>
    <n v="80"/>
    <n v="192"/>
    <n v="6"/>
    <n v="278"/>
    <x v="19"/>
    <x v="2"/>
    <x v="625"/>
    <x v="9"/>
    <x v="3"/>
    <s v=""/>
    <s v="Nao"/>
  </r>
  <r>
    <x v="1009"/>
    <x v="0"/>
    <x v="0"/>
    <n v="2240"/>
    <x v="453"/>
    <n v="7.0999999999999994E-2"/>
    <n v="50.88"/>
    <n v="8"/>
    <n v="147"/>
    <n v="4"/>
    <n v="159"/>
    <x v="19"/>
    <x v="2"/>
    <x v="521"/>
    <x v="9"/>
    <x v="3"/>
    <s v=""/>
    <s v="Nao"/>
  </r>
  <r>
    <x v="1010"/>
    <x v="13"/>
    <x v="9"/>
    <n v="1805"/>
    <x v="766"/>
    <n v="4.2700000000000002E-2"/>
    <n v="23.1"/>
    <n v="4"/>
    <n v="72"/>
    <n v="1"/>
    <n v="77"/>
    <x v="19"/>
    <x v="3"/>
    <x v="788"/>
    <x v="9"/>
    <x v="3"/>
    <s v=""/>
    <s v="Nao"/>
  </r>
  <r>
    <x v="1011"/>
    <x v="3"/>
    <x v="3"/>
    <n v="2938"/>
    <x v="1185"/>
    <n v="7.1800000000000003E-2"/>
    <n v="59.08"/>
    <n v="6"/>
    <n v="200"/>
    <n v="5"/>
    <n v="211"/>
    <x v="19"/>
    <x v="4"/>
    <x v="789"/>
    <x v="9"/>
    <x v="3"/>
    <s v=""/>
    <s v="Nao"/>
  </r>
  <r>
    <x v="1011"/>
    <x v="14"/>
    <x v="12"/>
    <n v="2482"/>
    <x v="1186"/>
    <n v="6.8099999999999994E-2"/>
    <n v="50.7"/>
    <n v="54"/>
    <n v="109"/>
    <n v="6"/>
    <n v="169"/>
    <x v="19"/>
    <x v="4"/>
    <x v="245"/>
    <x v="9"/>
    <x v="3"/>
    <s v=""/>
    <s v="Nao"/>
  </r>
  <r>
    <x v="1012"/>
    <x v="2"/>
    <x v="2"/>
    <n v="4078"/>
    <x v="1187"/>
    <n v="6.7699999999999996E-2"/>
    <n v="88.32"/>
    <n v="10"/>
    <n v="260"/>
    <n v="6"/>
    <n v="276"/>
    <x v="19"/>
    <x v="5"/>
    <x v="253"/>
    <x v="9"/>
    <x v="3"/>
    <s v=""/>
    <s v="Nao"/>
  </r>
  <r>
    <x v="1012"/>
    <x v="9"/>
    <x v="9"/>
    <n v="1968"/>
    <x v="1188"/>
    <n v="5.5399999999999998E-2"/>
    <n v="28.34"/>
    <n v="5"/>
    <n v="101"/>
    <n v="3"/>
    <n v="109"/>
    <x v="19"/>
    <x v="5"/>
    <x v="790"/>
    <x v="9"/>
    <x v="3"/>
    <s v=""/>
    <s v="Nao"/>
  </r>
  <r>
    <x v="1013"/>
    <x v="7"/>
    <x v="7"/>
    <n v="2642"/>
    <x v="356"/>
    <n v="5.1900000000000002E-2"/>
    <n v="41.1"/>
    <n v="30"/>
    <n v="103"/>
    <n v="4"/>
    <n v="137"/>
    <x v="19"/>
    <x v="6"/>
    <x v="259"/>
    <x v="9"/>
    <x v="3"/>
    <s v=""/>
    <s v="Nao"/>
  </r>
  <r>
    <x v="1013"/>
    <x v="1"/>
    <x v="1"/>
    <n v="1839"/>
    <x v="1189"/>
    <n v="7.1800000000000003E-2"/>
    <n v="42.24"/>
    <n v="8"/>
    <n v="122"/>
    <n v="2"/>
    <n v="132"/>
    <x v="19"/>
    <x v="6"/>
    <x v="214"/>
    <x v="9"/>
    <x v="3"/>
    <s v=""/>
    <s v="Nao"/>
  </r>
  <r>
    <x v="1014"/>
    <x v="9"/>
    <x v="9"/>
    <n v="2697"/>
    <x v="226"/>
    <n v="6.6699999999999995E-2"/>
    <n v="46.8"/>
    <n v="11"/>
    <n v="165"/>
    <n v="4"/>
    <n v="180"/>
    <x v="19"/>
    <x v="7"/>
    <x v="498"/>
    <x v="9"/>
    <x v="3"/>
    <s v=""/>
    <s v="Nao"/>
  </r>
  <r>
    <x v="1014"/>
    <x v="14"/>
    <x v="12"/>
    <n v="3051"/>
    <x v="74"/>
    <n v="6.3600000000000004E-2"/>
    <n v="58.2"/>
    <n v="45"/>
    <n v="143"/>
    <n v="6"/>
    <n v="194"/>
    <x v="19"/>
    <x v="7"/>
    <x v="791"/>
    <x v="9"/>
    <x v="3"/>
    <s v=""/>
    <s v="Nao"/>
  </r>
  <r>
    <x v="1015"/>
    <x v="9"/>
    <x v="9"/>
    <n v="3915"/>
    <x v="1190"/>
    <n v="7.8700000000000006E-2"/>
    <n v="80.08"/>
    <n v="19"/>
    <n v="282"/>
    <n v="7"/>
    <n v="308"/>
    <x v="19"/>
    <x v="8"/>
    <x v="762"/>
    <x v="9"/>
    <x v="3"/>
    <s v=""/>
    <s v="Nao"/>
  </r>
  <r>
    <x v="1015"/>
    <x v="12"/>
    <x v="11"/>
    <n v="2985"/>
    <x v="471"/>
    <n v="9.6500000000000002E-2"/>
    <n v="92.16"/>
    <n v="31"/>
    <n v="253"/>
    <n v="4"/>
    <n v="288"/>
    <x v="19"/>
    <x v="8"/>
    <x v="97"/>
    <x v="9"/>
    <x v="3"/>
    <s v=""/>
    <s v="Nao"/>
  </r>
  <r>
    <x v="1016"/>
    <x v="3"/>
    <x v="3"/>
    <n v="3053"/>
    <x v="1191"/>
    <n v="8.1600000000000006E-2"/>
    <n v="69.72"/>
    <n v="15"/>
    <n v="231"/>
    <n v="3"/>
    <n v="249"/>
    <x v="19"/>
    <x v="9"/>
    <x v="712"/>
    <x v="9"/>
    <x v="3"/>
    <s v=""/>
    <s v="Nao"/>
  </r>
  <r>
    <x v="1016"/>
    <x v="0"/>
    <x v="0"/>
    <n v="3618"/>
    <x v="1192"/>
    <n v="6.8500000000000005E-2"/>
    <n v="79.36"/>
    <n v="20"/>
    <n v="226"/>
    <n v="2"/>
    <n v="248"/>
    <x v="19"/>
    <x v="9"/>
    <x v="792"/>
    <x v="9"/>
    <x v="3"/>
    <s v=""/>
    <s v="Nao"/>
  </r>
  <r>
    <x v="1017"/>
    <x v="7"/>
    <x v="7"/>
    <n v="1908"/>
    <x v="1193"/>
    <n v="5.9700000000000003E-2"/>
    <n v="34.200000000000003"/>
    <n v="26"/>
    <n v="86"/>
    <n v="2"/>
    <n v="114"/>
    <x v="19"/>
    <x v="10"/>
    <x v="793"/>
    <x v="9"/>
    <x v="3"/>
    <s v=""/>
    <s v="Nao"/>
  </r>
  <r>
    <x v="1017"/>
    <x v="0"/>
    <x v="0"/>
    <n v="3156"/>
    <x v="1194"/>
    <n v="6.5299999999999997E-2"/>
    <n v="65.92"/>
    <n v="10"/>
    <n v="192"/>
    <n v="4"/>
    <n v="206"/>
    <x v="19"/>
    <x v="10"/>
    <x v="717"/>
    <x v="9"/>
    <x v="3"/>
    <s v=""/>
    <s v="Nao"/>
  </r>
  <r>
    <x v="1018"/>
    <x v="4"/>
    <x v="4"/>
    <n v="4015"/>
    <x v="1195"/>
    <n v="5.28E-2"/>
    <n v="74.2"/>
    <n v="11"/>
    <n v="197"/>
    <n v="4"/>
    <n v="212"/>
    <x v="19"/>
    <x v="11"/>
    <x v="541"/>
    <x v="9"/>
    <x v="3"/>
    <s v=""/>
    <s v="Nao"/>
  </r>
  <r>
    <x v="1019"/>
    <x v="6"/>
    <x v="6"/>
    <n v="2330"/>
    <x v="978"/>
    <n v="9.06E-2"/>
    <n v="73.849999999999994"/>
    <n v="7"/>
    <n v="201"/>
    <n v="3"/>
    <n v="211"/>
    <x v="19"/>
    <x v="12"/>
    <x v="197"/>
    <x v="9"/>
    <x v="3"/>
    <s v=""/>
    <s v="Nao"/>
  </r>
  <r>
    <x v="1020"/>
    <x v="12"/>
    <x v="11"/>
    <n v="3169"/>
    <x v="123"/>
    <n v="9.69E-2"/>
    <n v="98.24"/>
    <n v="26"/>
    <n v="275"/>
    <n v="6"/>
    <n v="307"/>
    <x v="19"/>
    <x v="13"/>
    <x v="102"/>
    <x v="9"/>
    <x v="3"/>
    <s v=""/>
    <s v="Nao"/>
  </r>
  <r>
    <x v="1020"/>
    <x v="9"/>
    <x v="9"/>
    <n v="2560"/>
    <x v="89"/>
    <n v="8.48E-2"/>
    <n v="56.42"/>
    <n v="15"/>
    <n v="200"/>
    <n v="2"/>
    <n v="217"/>
    <x v="19"/>
    <x v="13"/>
    <x v="453"/>
    <x v="9"/>
    <x v="3"/>
    <s v=""/>
    <s v="Nao"/>
  </r>
  <r>
    <x v="1021"/>
    <x v="3"/>
    <x v="3"/>
    <n v="4051"/>
    <x v="1196"/>
    <n v="6.6400000000000001E-2"/>
    <n v="75.319999999999993"/>
    <n v="16"/>
    <n v="249"/>
    <n v="4"/>
    <n v="269"/>
    <x v="19"/>
    <x v="14"/>
    <x v="794"/>
    <x v="9"/>
    <x v="3"/>
    <s v=""/>
    <s v="Nao"/>
  </r>
  <r>
    <x v="1021"/>
    <x v="9"/>
    <x v="9"/>
    <n v="3329"/>
    <x v="1197"/>
    <n v="0.1018"/>
    <n v="88.14"/>
    <n v="26"/>
    <n v="309"/>
    <n v="4"/>
    <n v="339"/>
    <x v="19"/>
    <x v="14"/>
    <x v="795"/>
    <x v="9"/>
    <x v="3"/>
    <s v=""/>
    <s v="Nao"/>
  </r>
  <r>
    <x v="1022"/>
    <x v="8"/>
    <x v="8"/>
    <n v="3312"/>
    <x v="179"/>
    <n v="0.10780000000000001"/>
    <n v="114.24"/>
    <n v="48"/>
    <n v="302"/>
    <n v="7"/>
    <n v="357"/>
    <x v="19"/>
    <x v="15"/>
    <x v="347"/>
    <x v="9"/>
    <x v="3"/>
    <s v=""/>
    <s v="Nao"/>
  </r>
  <r>
    <x v="1023"/>
    <x v="6"/>
    <x v="6"/>
    <n v="3708"/>
    <x v="650"/>
    <n v="5.7700000000000001E-2"/>
    <n v="74.900000000000006"/>
    <n v="9"/>
    <n v="201"/>
    <n v="4"/>
    <n v="214"/>
    <x v="19"/>
    <x v="16"/>
    <x v="669"/>
    <x v="9"/>
    <x v="3"/>
    <s v=""/>
    <s v="Nao"/>
  </r>
  <r>
    <x v="1023"/>
    <x v="8"/>
    <x v="8"/>
    <n v="2646"/>
    <x v="1198"/>
    <n v="0.1104"/>
    <n v="93.44"/>
    <n v="33"/>
    <n v="252"/>
    <n v="7"/>
    <n v="292"/>
    <x v="19"/>
    <x v="16"/>
    <x v="413"/>
    <x v="9"/>
    <x v="3"/>
    <s v=""/>
    <s v="Nao"/>
  </r>
  <r>
    <x v="1024"/>
    <x v="10"/>
    <x v="10"/>
    <n v="2593"/>
    <x v="1199"/>
    <n v="9.2899999999999996E-2"/>
    <n v="77.12"/>
    <n v="21"/>
    <n v="217"/>
    <n v="3"/>
    <n v="241"/>
    <x v="19"/>
    <x v="17"/>
    <x v="307"/>
    <x v="9"/>
    <x v="3"/>
    <s v=""/>
    <s v="Nao"/>
  </r>
  <r>
    <x v="1024"/>
    <x v="0"/>
    <x v="0"/>
    <n v="2922"/>
    <x v="510"/>
    <n v="7.4899999999999994E-2"/>
    <n v="70.08"/>
    <n v="13"/>
    <n v="200"/>
    <n v="6"/>
    <n v="219"/>
    <x v="19"/>
    <x v="17"/>
    <x v="163"/>
    <x v="9"/>
    <x v="3"/>
    <s v=""/>
    <s v="Nao"/>
  </r>
  <r>
    <x v="1025"/>
    <x v="2"/>
    <x v="2"/>
    <n v="3117"/>
    <x v="1200"/>
    <n v="7.4399999999999994E-2"/>
    <n v="74.239999999999995"/>
    <n v="8"/>
    <n v="220"/>
    <n v="4"/>
    <n v="232"/>
    <x v="19"/>
    <x v="18"/>
    <x v="591"/>
    <x v="9"/>
    <x v="3"/>
    <s v=""/>
    <s v="Nao"/>
  </r>
  <r>
    <x v="1026"/>
    <x v="1"/>
    <x v="1"/>
    <n v="2686"/>
    <x v="636"/>
    <n v="8.8999999999999996E-2"/>
    <n v="76.48"/>
    <n v="15"/>
    <n v="219"/>
    <n v="5"/>
    <n v="239"/>
    <x v="19"/>
    <x v="19"/>
    <x v="281"/>
    <x v="9"/>
    <x v="3"/>
    <s v=""/>
    <s v="Nao"/>
  </r>
  <r>
    <x v="1027"/>
    <x v="9"/>
    <x v="9"/>
    <n v="4161"/>
    <x v="628"/>
    <n v="8.77E-2"/>
    <n v="94.9"/>
    <n v="22"/>
    <n v="338"/>
    <n v="5"/>
    <n v="365"/>
    <x v="19"/>
    <x v="20"/>
    <x v="285"/>
    <x v="9"/>
    <x v="3"/>
    <s v=""/>
    <s v="Nao"/>
  </r>
  <r>
    <x v="1027"/>
    <x v="13"/>
    <x v="9"/>
    <n v="3195"/>
    <x v="299"/>
    <n v="8.7900000000000006E-2"/>
    <n v="84.3"/>
    <n v="18"/>
    <n v="257"/>
    <n v="6"/>
    <n v="281"/>
    <x v="19"/>
    <x v="20"/>
    <x v="135"/>
    <x v="9"/>
    <x v="3"/>
    <s v=""/>
    <s v="Nao"/>
  </r>
  <r>
    <x v="1028"/>
    <x v="6"/>
    <x v="6"/>
    <n v="3874"/>
    <x v="1201"/>
    <n v="5.3400000000000003E-2"/>
    <n v="72.45"/>
    <n v="91"/>
    <n v="34"/>
    <n v="82"/>
    <n v="207"/>
    <x v="19"/>
    <x v="21"/>
    <x v="796"/>
    <x v="9"/>
    <x v="3"/>
    <s v=""/>
    <s v="Sim"/>
  </r>
  <r>
    <x v="1029"/>
    <x v="8"/>
    <x v="8"/>
    <n v="2811"/>
    <x v="242"/>
    <n v="0.1138"/>
    <n v="102.4"/>
    <n v="35"/>
    <n v="276"/>
    <n v="9"/>
    <n v="320"/>
    <x v="19"/>
    <x v="22"/>
    <x v="95"/>
    <x v="9"/>
    <x v="3"/>
    <s v=""/>
    <s v="Nao"/>
  </r>
  <r>
    <x v="1029"/>
    <x v="1"/>
    <x v="1"/>
    <n v="2965"/>
    <x v="505"/>
    <n v="6.7100000000000007E-2"/>
    <n v="63.68"/>
    <n v="11"/>
    <n v="184"/>
    <n v="4"/>
    <n v="199"/>
    <x v="19"/>
    <x v="22"/>
    <x v="80"/>
    <x v="9"/>
    <x v="3"/>
    <s v=""/>
    <s v="Nao"/>
  </r>
  <r>
    <x v="1030"/>
    <x v="10"/>
    <x v="10"/>
    <n v="2871"/>
    <x v="394"/>
    <n v="9.4700000000000006E-2"/>
    <n v="87.04"/>
    <n v="25"/>
    <n v="242"/>
    <n v="5"/>
    <n v="272"/>
    <x v="19"/>
    <x v="23"/>
    <x v="690"/>
    <x v="9"/>
    <x v="3"/>
    <s v=""/>
    <s v="Nao"/>
  </r>
  <r>
    <x v="1030"/>
    <x v="4"/>
    <x v="4"/>
    <n v="3792"/>
    <x v="1202"/>
    <n v="6.1199999999999997E-2"/>
    <n v="81.2"/>
    <n v="12"/>
    <n v="214"/>
    <n v="6"/>
    <n v="232"/>
    <x v="19"/>
    <x v="23"/>
    <x v="431"/>
    <x v="9"/>
    <x v="3"/>
    <s v=""/>
    <s v="Nao"/>
  </r>
  <r>
    <x v="1031"/>
    <x v="9"/>
    <x v="9"/>
    <n v="3242"/>
    <x v="360"/>
    <n v="8.4500000000000006E-2"/>
    <n v="71.239999999999995"/>
    <n v="15"/>
    <n v="256"/>
    <n v="3"/>
    <n v="274"/>
    <x v="19"/>
    <x v="24"/>
    <x v="561"/>
    <x v="9"/>
    <x v="3"/>
    <s v=""/>
    <s v="Nao"/>
  </r>
  <r>
    <x v="1031"/>
    <x v="14"/>
    <x v="12"/>
    <n v="2085"/>
    <x v="694"/>
    <n v="7.7700000000000005E-2"/>
    <n v="48.6"/>
    <n v="33"/>
    <n v="126"/>
    <n v="3"/>
    <n v="162"/>
    <x v="19"/>
    <x v="24"/>
    <x v="797"/>
    <x v="9"/>
    <x v="3"/>
    <s v=""/>
    <s v="Nao"/>
  </r>
  <r>
    <x v="1032"/>
    <x v="5"/>
    <x v="5"/>
    <n v="2361"/>
    <x v="1203"/>
    <n v="7.7499999999999999E-2"/>
    <n v="62.22"/>
    <n v="11"/>
    <n v="168"/>
    <n v="4"/>
    <n v="183"/>
    <x v="19"/>
    <x v="25"/>
    <x v="119"/>
    <x v="9"/>
    <x v="3"/>
    <s v=""/>
    <s v="Nao"/>
  </r>
  <r>
    <x v="1032"/>
    <x v="0"/>
    <x v="0"/>
    <n v="3645"/>
    <x v="1204"/>
    <n v="8.09E-2"/>
    <n v="94.4"/>
    <n v="11"/>
    <n v="280"/>
    <n v="4"/>
    <n v="295"/>
    <x v="19"/>
    <x v="25"/>
    <x v="798"/>
    <x v="9"/>
    <x v="3"/>
    <s v=""/>
    <s v="Nao"/>
  </r>
  <r>
    <x v="1033"/>
    <x v="12"/>
    <x v="11"/>
    <n v="1891"/>
    <x v="1205"/>
    <n v="0.1031"/>
    <n v="62.4"/>
    <n v="29"/>
    <n v="161"/>
    <n v="5"/>
    <n v="195"/>
    <x v="19"/>
    <x v="26"/>
    <x v="294"/>
    <x v="9"/>
    <x v="3"/>
    <s v=""/>
    <s v="Nao"/>
  </r>
  <r>
    <x v="1034"/>
    <x v="8"/>
    <x v="8"/>
    <n v="3242"/>
    <x v="84"/>
    <n v="9.6199999999999994E-2"/>
    <n v="99.84"/>
    <n v="45"/>
    <n v="258"/>
    <n v="9"/>
    <n v="312"/>
    <x v="19"/>
    <x v="27"/>
    <x v="32"/>
    <x v="9"/>
    <x v="3"/>
    <s v=""/>
    <s v="Nao"/>
  </r>
  <r>
    <x v="1035"/>
    <x v="14"/>
    <x v="12"/>
    <n v="3549"/>
    <x v="1206"/>
    <n v="7.9500000000000001E-2"/>
    <n v="84.6"/>
    <n v="70"/>
    <n v="204"/>
    <n v="8"/>
    <n v="282"/>
    <x v="19"/>
    <x v="28"/>
    <x v="311"/>
    <x v="10"/>
    <x v="3"/>
    <s v=""/>
    <s v="Nao"/>
  </r>
  <r>
    <x v="1035"/>
    <x v="13"/>
    <x v="9"/>
    <n v="2567"/>
    <x v="422"/>
    <n v="7.9500000000000001E-2"/>
    <n v="61.2"/>
    <n v="5"/>
    <n v="194"/>
    <n v="5"/>
    <n v="204"/>
    <x v="19"/>
    <x v="28"/>
    <x v="799"/>
    <x v="10"/>
    <x v="3"/>
    <s v=""/>
    <s v="Nao"/>
  </r>
  <r>
    <x v="1036"/>
    <x v="13"/>
    <x v="9"/>
    <n v="2870"/>
    <x v="1108"/>
    <n v="8.8900000000000007E-2"/>
    <n v="76.5"/>
    <n v="13"/>
    <n v="237"/>
    <n v="5"/>
    <n v="255"/>
    <x v="19"/>
    <x v="29"/>
    <x v="54"/>
    <x v="10"/>
    <x v="3"/>
    <s v=""/>
    <s v="Nao"/>
  </r>
  <r>
    <x v="1036"/>
    <x v="8"/>
    <x v="8"/>
    <n v="3991"/>
    <x v="1207"/>
    <n v="9.3200000000000005E-2"/>
    <n v="119.04"/>
    <n v="42"/>
    <n v="323"/>
    <n v="7"/>
    <n v="372"/>
    <x v="19"/>
    <x v="29"/>
    <x v="800"/>
    <x v="10"/>
    <x v="3"/>
    <s v=""/>
    <s v="Nao"/>
  </r>
  <r>
    <x v="1037"/>
    <x v="12"/>
    <x v="11"/>
    <n v="3753"/>
    <x v="1208"/>
    <n v="0.105"/>
    <n v="126.08"/>
    <n v="40"/>
    <n v="343"/>
    <n v="11"/>
    <n v="394"/>
    <x v="19"/>
    <x v="30"/>
    <x v="26"/>
    <x v="10"/>
    <x v="3"/>
    <s v=""/>
    <s v="Nao"/>
  </r>
  <r>
    <x v="1037"/>
    <x v="10"/>
    <x v="10"/>
    <n v="3180"/>
    <x v="278"/>
    <n v="9.0300000000000005E-2"/>
    <n v="91.84"/>
    <n v="29"/>
    <n v="251"/>
    <n v="7"/>
    <n v="287"/>
    <x v="19"/>
    <x v="30"/>
    <x v="92"/>
    <x v="10"/>
    <x v="3"/>
    <s v=""/>
    <s v="Nao"/>
  </r>
  <r>
    <x v="1038"/>
    <x v="3"/>
    <x v="3"/>
    <n v="3864"/>
    <x v="1209"/>
    <n v="9.5200000000000007E-2"/>
    <n v="103.04"/>
    <n v="17"/>
    <n v="343"/>
    <n v="8"/>
    <n v="368"/>
    <x v="19"/>
    <x v="31"/>
    <x v="590"/>
    <x v="10"/>
    <x v="3"/>
    <s v=""/>
    <s v="Nao"/>
  </r>
  <r>
    <x v="1038"/>
    <x v="8"/>
    <x v="8"/>
    <n v="3511"/>
    <x v="1210"/>
    <n v="0.1114"/>
    <n v="125.12"/>
    <n v="44"/>
    <n v="341"/>
    <n v="6"/>
    <n v="391"/>
    <x v="19"/>
    <x v="31"/>
    <x v="801"/>
    <x v="10"/>
    <x v="3"/>
    <s v=""/>
    <s v="Nao"/>
  </r>
  <r>
    <x v="1039"/>
    <x v="11"/>
    <x v="0"/>
    <n v="4046"/>
    <x v="217"/>
    <n v="7.2900000000000006E-2"/>
    <n v="82.6"/>
    <n v="126"/>
    <n v="9"/>
    <n v="160"/>
    <n v="295"/>
    <x v="19"/>
    <x v="32"/>
    <x v="802"/>
    <x v="10"/>
    <x v="3"/>
    <s v=""/>
    <s v="Sim"/>
  </r>
  <r>
    <x v="1039"/>
    <x v="9"/>
    <x v="9"/>
    <n v="2099"/>
    <x v="149"/>
    <n v="8.6199999999999999E-2"/>
    <n v="47.06"/>
    <n v="5"/>
    <n v="173"/>
    <n v="3"/>
    <n v="181"/>
    <x v="19"/>
    <x v="32"/>
    <x v="803"/>
    <x v="10"/>
    <x v="3"/>
    <s v=""/>
    <s v="Nao"/>
  </r>
  <r>
    <x v="1040"/>
    <x v="11"/>
    <x v="0"/>
    <n v="4189"/>
    <x v="1211"/>
    <n v="6.6400000000000001E-2"/>
    <n v="77.84"/>
    <n v="15"/>
    <n v="256"/>
    <n v="7"/>
    <n v="278"/>
    <x v="19"/>
    <x v="33"/>
    <x v="804"/>
    <x v="10"/>
    <x v="3"/>
    <s v=""/>
    <s v="Nao"/>
  </r>
  <r>
    <x v="1040"/>
    <x v="4"/>
    <x v="4"/>
    <n v="4103"/>
    <x v="1212"/>
    <n v="7.8700000000000006E-2"/>
    <n v="113.05"/>
    <n v="11"/>
    <n v="308"/>
    <n v="4"/>
    <n v="323"/>
    <x v="19"/>
    <x v="33"/>
    <x v="805"/>
    <x v="10"/>
    <x v="3"/>
    <s v=""/>
    <s v="Nao"/>
  </r>
  <r>
    <x v="1041"/>
    <x v="6"/>
    <x v="6"/>
    <n v="3235"/>
    <x v="1024"/>
    <n v="7.8200000000000006E-2"/>
    <n v="88.55"/>
    <n v="18"/>
    <n v="232"/>
    <n v="3"/>
    <n v="253"/>
    <x v="19"/>
    <x v="34"/>
    <x v="711"/>
    <x v="10"/>
    <x v="3"/>
    <s v=""/>
    <s v="Nao"/>
  </r>
  <r>
    <x v="1042"/>
    <x v="11"/>
    <x v="0"/>
    <n v="3534"/>
    <x v="1086"/>
    <n v="7.4999999999999997E-2"/>
    <n v="74.2"/>
    <n v="13"/>
    <n v="245"/>
    <n v="7"/>
    <n v="265"/>
    <x v="19"/>
    <x v="35"/>
    <x v="224"/>
    <x v="10"/>
    <x v="3"/>
    <s v=""/>
    <s v="Nao"/>
  </r>
  <r>
    <x v="1043"/>
    <x v="1"/>
    <x v="1"/>
    <n v="2230"/>
    <x v="532"/>
    <n v="8.6499999999999994E-2"/>
    <n v="61.76"/>
    <n v="8"/>
    <n v="183"/>
    <n v="2"/>
    <n v="193"/>
    <x v="19"/>
    <x v="51"/>
    <x v="251"/>
    <x v="10"/>
    <x v="3"/>
    <s v=""/>
    <s v="Nao"/>
  </r>
  <r>
    <x v="1044"/>
    <x v="4"/>
    <x v="4"/>
    <n v="3413"/>
    <x v="1213"/>
    <n v="8.9700000000000002E-2"/>
    <n v="107.1"/>
    <n v="13"/>
    <n v="284"/>
    <n v="9"/>
    <n v="306"/>
    <x v="19"/>
    <x v="52"/>
    <x v="806"/>
    <x v="10"/>
    <x v="3"/>
    <s v=""/>
    <s v="Nao"/>
  </r>
  <r>
    <x v="1044"/>
    <x v="3"/>
    <x v="3"/>
    <n v="3016"/>
    <x v="45"/>
    <n v="9.4799999999999995E-2"/>
    <n v="80.08"/>
    <n v="7"/>
    <n v="275"/>
    <n v="4"/>
    <n v="286"/>
    <x v="19"/>
    <x v="52"/>
    <x v="391"/>
    <x v="10"/>
    <x v="3"/>
    <s v=""/>
    <s v="Nao"/>
  </r>
  <r>
    <x v="1045"/>
    <x v="5"/>
    <x v="5"/>
    <n v="2722"/>
    <x v="1214"/>
    <n v="7.3099999999999998E-2"/>
    <n v="67.66"/>
    <n v="9"/>
    <n v="185"/>
    <n v="5"/>
    <n v="199"/>
    <x v="19"/>
    <x v="53"/>
    <x v="772"/>
    <x v="10"/>
    <x v="3"/>
    <s v=""/>
    <s v="Nao"/>
  </r>
  <r>
    <x v="1045"/>
    <x v="10"/>
    <x v="10"/>
    <n v="3230"/>
    <x v="1215"/>
    <n v="0.1074"/>
    <n v="111.04"/>
    <n v="37"/>
    <n v="305"/>
    <n v="5"/>
    <n v="347"/>
    <x v="19"/>
    <x v="53"/>
    <x v="98"/>
    <x v="10"/>
    <x v="3"/>
    <s v=""/>
    <s v="Nao"/>
  </r>
  <r>
    <x v="1046"/>
    <x v="12"/>
    <x v="11"/>
    <n v="3834"/>
    <x v="421"/>
    <n v="8.5300000000000001E-2"/>
    <n v="104.64"/>
    <n v="27"/>
    <n v="292"/>
    <n v="8"/>
    <n v="327"/>
    <x v="19"/>
    <x v="54"/>
    <x v="807"/>
    <x v="10"/>
    <x v="3"/>
    <s v=""/>
    <s v="Nao"/>
  </r>
  <r>
    <x v="1046"/>
    <x v="4"/>
    <x v="4"/>
    <n v="2927"/>
    <x v="1061"/>
    <n v="8.5099999999999995E-2"/>
    <n v="87.15"/>
    <n v="4"/>
    <n v="238"/>
    <n v="7"/>
    <n v="249"/>
    <x v="19"/>
    <x v="54"/>
    <x v="584"/>
    <x v="10"/>
    <x v="3"/>
    <s v=""/>
    <s v="Nao"/>
  </r>
  <r>
    <x v="1047"/>
    <x v="8"/>
    <x v="8"/>
    <n v="2567"/>
    <x v="382"/>
    <n v="0.1399"/>
    <n v="114.88"/>
    <n v="45"/>
    <n v="309"/>
    <n v="5"/>
    <n v="359"/>
    <x v="19"/>
    <x v="55"/>
    <x v="808"/>
    <x v="10"/>
    <x v="3"/>
    <s v=""/>
    <s v="Nao"/>
  </r>
  <r>
    <x v="1047"/>
    <x v="0"/>
    <x v="0"/>
    <n v="2593"/>
    <x v="642"/>
    <n v="7.4399999999999994E-2"/>
    <n v="61.76"/>
    <n v="7"/>
    <n v="183"/>
    <n v="3"/>
    <n v="193"/>
    <x v="19"/>
    <x v="55"/>
    <x v="619"/>
    <x v="10"/>
    <x v="3"/>
    <s v=""/>
    <s v="Nao"/>
  </r>
  <r>
    <x v="1048"/>
    <x v="4"/>
    <x v="4"/>
    <n v="2012"/>
    <x v="598"/>
    <n v="0.10489999999999999"/>
    <n v="73.849999999999994"/>
    <n v="6"/>
    <n v="200"/>
    <n v="5"/>
    <n v="211"/>
    <x v="19"/>
    <x v="56"/>
    <x v="809"/>
    <x v="10"/>
    <x v="3"/>
    <s v=""/>
    <s v="Nao"/>
  </r>
  <r>
    <x v="1048"/>
    <x v="11"/>
    <x v="0"/>
    <n v="2348"/>
    <x v="402"/>
    <n v="7.4499999999999997E-2"/>
    <n v="49"/>
    <n v="8"/>
    <n v="163"/>
    <n v="4"/>
    <n v="175"/>
    <x v="19"/>
    <x v="56"/>
    <x v="527"/>
    <x v="10"/>
    <x v="3"/>
    <s v=""/>
    <s v="Nao"/>
  </r>
  <r>
    <x v="1049"/>
    <x v="14"/>
    <x v="12"/>
    <n v="2604"/>
    <x v="794"/>
    <n v="0.1094"/>
    <n v="85.5"/>
    <n v="57"/>
    <n v="221"/>
    <n v="7"/>
    <n v="285"/>
    <x v="19"/>
    <x v="57"/>
    <x v="810"/>
    <x v="10"/>
    <x v="3"/>
    <s v=""/>
    <s v="Nao"/>
  </r>
  <r>
    <x v="1049"/>
    <x v="0"/>
    <x v="0"/>
    <n v="3942"/>
    <x v="92"/>
    <n v="7.7399999999999997E-2"/>
    <n v="97.6"/>
    <n v="15"/>
    <n v="285"/>
    <n v="5"/>
    <n v="305"/>
    <x v="19"/>
    <x v="57"/>
    <x v="311"/>
    <x v="10"/>
    <x v="3"/>
    <s v=""/>
    <s v="Nao"/>
  </r>
  <r>
    <x v="1050"/>
    <x v="14"/>
    <x v="12"/>
    <n v="2305"/>
    <x v="965"/>
    <n v="9.1999999999999998E-2"/>
    <n v="63.6"/>
    <n v="49"/>
    <n v="156"/>
    <n v="7"/>
    <n v="212"/>
    <x v="19"/>
    <x v="58"/>
    <x v="284"/>
    <x v="10"/>
    <x v="3"/>
    <s v=""/>
    <s v="Nao"/>
  </r>
  <r>
    <x v="1051"/>
    <x v="2"/>
    <x v="2"/>
    <n v="2929"/>
    <x v="57"/>
    <n v="0.112"/>
    <n v="104.96"/>
    <n v="17"/>
    <n v="305"/>
    <n v="6"/>
    <n v="328"/>
    <x v="19"/>
    <x v="59"/>
    <x v="811"/>
    <x v="10"/>
    <x v="3"/>
    <s v=""/>
    <s v="Nao"/>
  </r>
  <r>
    <x v="1052"/>
    <x v="11"/>
    <x v="0"/>
    <n v="2205"/>
    <x v="1216"/>
    <n v="9.5200000000000007E-2"/>
    <n v="58.8"/>
    <n v="3"/>
    <n v="201"/>
    <n v="6"/>
    <n v="210"/>
    <x v="19"/>
    <x v="60"/>
    <x v="519"/>
    <x v="10"/>
    <x v="3"/>
    <s v=""/>
    <s v="Nao"/>
  </r>
  <r>
    <x v="1052"/>
    <x v="1"/>
    <x v="1"/>
    <n v="3347"/>
    <x v="1217"/>
    <n v="9.5600000000000004E-2"/>
    <n v="102.4"/>
    <n v="17"/>
    <n v="296"/>
    <n v="7"/>
    <n v="320"/>
    <x v="19"/>
    <x v="60"/>
    <x v="95"/>
    <x v="10"/>
    <x v="3"/>
    <n v="60"/>
    <s v="Nao"/>
  </r>
  <r>
    <x v="1053"/>
    <x v="12"/>
    <x v="11"/>
    <n v="2080"/>
    <x v="219"/>
    <n v="7.1199999999999999E-2"/>
    <n v="47.36"/>
    <n v="19"/>
    <n v="127"/>
    <n v="2"/>
    <n v="148"/>
    <x v="20"/>
    <x v="36"/>
    <x v="518"/>
    <x v="10"/>
    <x v="3"/>
    <s v=""/>
    <s v="Nao"/>
  </r>
  <r>
    <x v="1053"/>
    <x v="9"/>
    <x v="9"/>
    <n v="3817"/>
    <x v="1218"/>
    <n v="7.0000000000000007E-2"/>
    <n v="69.42"/>
    <n v="16"/>
    <n v="248"/>
    <n v="3"/>
    <n v="267"/>
    <x v="20"/>
    <x v="36"/>
    <x v="741"/>
    <x v="10"/>
    <x v="3"/>
    <s v=""/>
    <s v="Nao"/>
  </r>
  <r>
    <x v="1054"/>
    <x v="3"/>
    <x v="3"/>
    <n v="3275"/>
    <x v="1219"/>
    <n v="4.3400000000000001E-2"/>
    <n v="39.76"/>
    <n v="4"/>
    <n v="136"/>
    <n v="2"/>
    <n v="142"/>
    <x v="20"/>
    <x v="37"/>
    <x v="381"/>
    <x v="10"/>
    <x v="3"/>
    <s v=""/>
    <s v="Nao"/>
  </r>
  <r>
    <x v="1054"/>
    <x v="13"/>
    <x v="9"/>
    <n v="2741"/>
    <x v="121"/>
    <n v="5.5500000000000001E-2"/>
    <n v="45.6"/>
    <n v="10"/>
    <n v="139"/>
    <n v="3"/>
    <n v="152"/>
    <x v="20"/>
    <x v="37"/>
    <x v="337"/>
    <x v="10"/>
    <x v="3"/>
    <s v=""/>
    <s v="Nao"/>
  </r>
  <r>
    <x v="1055"/>
    <x v="13"/>
    <x v="9"/>
    <n v="2235"/>
    <x v="1220"/>
    <n v="6.0900000000000003E-2"/>
    <n v="40.799999999999997"/>
    <n v="6"/>
    <n v="127"/>
    <n v="3"/>
    <n v="136"/>
    <x v="20"/>
    <x v="38"/>
    <x v="74"/>
    <x v="10"/>
    <x v="3"/>
    <s v=""/>
    <s v="Nao"/>
  </r>
  <r>
    <x v="1056"/>
    <x v="6"/>
    <x v="6"/>
    <n v="3982"/>
    <x v="1221"/>
    <n v="3.9699999999999999E-2"/>
    <n v="55.3"/>
    <n v="5"/>
    <n v="151"/>
    <n v="2"/>
    <n v="158"/>
    <x v="20"/>
    <x v="39"/>
    <x v="333"/>
    <x v="10"/>
    <x v="3"/>
    <s v=""/>
    <s v="Nao"/>
  </r>
  <r>
    <x v="1057"/>
    <x v="8"/>
    <x v="8"/>
    <n v="3349"/>
    <x v="1222"/>
    <n v="9.0800000000000006E-2"/>
    <n v="97.28"/>
    <n v="37"/>
    <n v="260"/>
    <n v="7"/>
    <n v="304"/>
    <x v="20"/>
    <x v="40"/>
    <x v="764"/>
    <x v="10"/>
    <x v="3"/>
    <s v=""/>
    <s v="Nao"/>
  </r>
  <r>
    <x v="1057"/>
    <x v="9"/>
    <x v="9"/>
    <n v="1878"/>
    <x v="210"/>
    <n v="6.1800000000000001E-2"/>
    <n v="30.16"/>
    <n v="6"/>
    <n v="108"/>
    <n v="2"/>
    <n v="116"/>
    <x v="20"/>
    <x v="40"/>
    <x v="812"/>
    <x v="10"/>
    <x v="3"/>
    <s v=""/>
    <s v="Nao"/>
  </r>
  <r>
    <x v="1058"/>
    <x v="4"/>
    <x v="4"/>
    <n v="1816"/>
    <x v="161"/>
    <n v="5.8900000000000001E-2"/>
    <n v="37.450000000000003"/>
    <n v="7"/>
    <n v="98"/>
    <n v="2"/>
    <n v="107"/>
    <x v="20"/>
    <x v="41"/>
    <x v="813"/>
    <x v="10"/>
    <x v="3"/>
    <s v=""/>
    <s v="Nao"/>
  </r>
  <r>
    <x v="1059"/>
    <x v="1"/>
    <x v="1"/>
    <n v="3905"/>
    <x v="1223"/>
    <n v="5.2200000000000003E-2"/>
    <n v="65.28"/>
    <n v="2"/>
    <n v="196"/>
    <n v="6"/>
    <n v="204"/>
    <x v="20"/>
    <x v="42"/>
    <x v="593"/>
    <x v="10"/>
    <x v="3"/>
    <s v=""/>
    <s v="Nao"/>
  </r>
  <r>
    <x v="1059"/>
    <x v="1"/>
    <x v="1"/>
    <n v="3676"/>
    <x v="65"/>
    <n v="6.1800000000000001E-2"/>
    <n v="72.64"/>
    <n v="7"/>
    <n v="217"/>
    <n v="3"/>
    <n v="227"/>
    <x v="20"/>
    <x v="42"/>
    <x v="165"/>
    <x v="10"/>
    <x v="3"/>
    <s v=""/>
    <s v="Nao"/>
  </r>
  <r>
    <x v="1060"/>
    <x v="7"/>
    <x v="7"/>
    <n v="2747"/>
    <x v="394"/>
    <n v="5.3900000000000003E-2"/>
    <n v="44.4"/>
    <n v="31"/>
    <n v="113"/>
    <n v="4"/>
    <n v="148"/>
    <x v="20"/>
    <x v="43"/>
    <x v="557"/>
    <x v="10"/>
    <x v="3"/>
    <s v=""/>
    <s v="Nao"/>
  </r>
  <r>
    <x v="1060"/>
    <x v="7"/>
    <x v="7"/>
    <n v="2330"/>
    <x v="1224"/>
    <n v="4.6399999999999997E-2"/>
    <n v="32.4"/>
    <n v="23"/>
    <n v="83"/>
    <n v="2"/>
    <n v="108"/>
    <x v="20"/>
    <x v="43"/>
    <x v="814"/>
    <x v="10"/>
    <x v="3"/>
    <s v=""/>
    <s v="Nao"/>
  </r>
  <r>
    <x v="1061"/>
    <x v="7"/>
    <x v="7"/>
    <n v="2045"/>
    <x v="318"/>
    <n v="6.6500000000000004E-2"/>
    <n v="40.799999999999997"/>
    <n v="34"/>
    <n v="99"/>
    <n v="3"/>
    <n v="136"/>
    <x v="20"/>
    <x v="44"/>
    <x v="697"/>
    <x v="10"/>
    <x v="3"/>
    <s v=""/>
    <s v="Nao"/>
  </r>
  <r>
    <x v="1061"/>
    <x v="3"/>
    <x v="3"/>
    <n v="2649"/>
    <x v="1225"/>
    <n v="5.5899999999999998E-2"/>
    <n v="41.44"/>
    <n v="5"/>
    <n v="139"/>
    <n v="4"/>
    <n v="148"/>
    <x v="20"/>
    <x v="44"/>
    <x v="815"/>
    <x v="10"/>
    <x v="3"/>
    <s v=""/>
    <s v="Nao"/>
  </r>
  <r>
    <x v="1062"/>
    <x v="14"/>
    <x v="12"/>
    <n v="3595"/>
    <x v="577"/>
    <n v="5.2900000000000003E-2"/>
    <n v="57"/>
    <n v="47"/>
    <n v="139"/>
    <n v="4"/>
    <n v="190"/>
    <x v="20"/>
    <x v="45"/>
    <x v="266"/>
    <x v="10"/>
    <x v="3"/>
    <s v=""/>
    <s v="Nao"/>
  </r>
  <r>
    <x v="1062"/>
    <x v="2"/>
    <x v="2"/>
    <n v="3477"/>
    <x v="1226"/>
    <n v="5.1499999999999997E-2"/>
    <n v="57.28"/>
    <n v="7"/>
    <n v="168"/>
    <n v="4"/>
    <n v="179"/>
    <x v="20"/>
    <x v="45"/>
    <x v="218"/>
    <x v="10"/>
    <x v="3"/>
    <s v=""/>
    <s v="Nao"/>
  </r>
  <r>
    <x v="1063"/>
    <x v="10"/>
    <x v="10"/>
    <n v="2873"/>
    <x v="851"/>
    <n v="8.2500000000000004E-2"/>
    <n v="75.84"/>
    <n v="27"/>
    <n v="203"/>
    <n v="7"/>
    <n v="237"/>
    <x v="20"/>
    <x v="46"/>
    <x v="523"/>
    <x v="10"/>
    <x v="3"/>
    <s v=""/>
    <s v="Nao"/>
  </r>
  <r>
    <x v="1064"/>
    <x v="13"/>
    <x v="9"/>
    <n v="4180"/>
    <x v="1227"/>
    <n v="0.06"/>
    <n v="75.3"/>
    <n v="8"/>
    <n v="239"/>
    <n v="4"/>
    <n v="251"/>
    <x v="20"/>
    <x v="47"/>
    <x v="6"/>
    <x v="10"/>
    <x v="3"/>
    <s v=""/>
    <s v="Nao"/>
  </r>
  <r>
    <x v="1064"/>
    <x v="9"/>
    <x v="9"/>
    <n v="3268"/>
    <x v="888"/>
    <n v="6.0299999999999999E-2"/>
    <n v="51.22"/>
    <n v="72"/>
    <n v="41"/>
    <n v="84"/>
    <n v="197"/>
    <x v="20"/>
    <x v="47"/>
    <x v="520"/>
    <x v="10"/>
    <x v="3"/>
    <s v=""/>
    <s v="Sim"/>
  </r>
  <r>
    <x v="1065"/>
    <x v="5"/>
    <x v="5"/>
    <n v="3081"/>
    <x v="1228"/>
    <n v="6.7199999999999996E-2"/>
    <n v="70.38"/>
    <n v="12"/>
    <n v="192"/>
    <n v="3"/>
    <n v="207"/>
    <x v="20"/>
    <x v="48"/>
    <x v="64"/>
    <x v="10"/>
    <x v="3"/>
    <s v=""/>
    <s v="Nao"/>
  </r>
  <r>
    <x v="1065"/>
    <x v="7"/>
    <x v="7"/>
    <n v="3858"/>
    <x v="1229"/>
    <n v="7.4399999999999994E-2"/>
    <n v="86.1"/>
    <n v="89"/>
    <n v="193"/>
    <n v="5"/>
    <n v="287"/>
    <x v="20"/>
    <x v="48"/>
    <x v="434"/>
    <x v="10"/>
    <x v="3"/>
    <s v=""/>
    <s v="Nao"/>
  </r>
  <r>
    <x v="1066"/>
    <x v="10"/>
    <x v="10"/>
    <n v="2211"/>
    <x v="1230"/>
    <n v="6.2399999999999997E-2"/>
    <n v="44.16"/>
    <n v="60"/>
    <n v="-3"/>
    <n v="81"/>
    <n v="138"/>
    <x v="20"/>
    <x v="49"/>
    <x v="195"/>
    <x v="11"/>
    <x v="3"/>
    <s v=""/>
    <s v="Sim"/>
  </r>
  <r>
    <x v="1066"/>
    <x v="2"/>
    <x v="2"/>
    <n v="3051"/>
    <x v="451"/>
    <n v="6.2899999999999998E-2"/>
    <n v="61.44"/>
    <n v="8"/>
    <n v="179"/>
    <n v="5"/>
    <n v="192"/>
    <x v="20"/>
    <x v="49"/>
    <x v="25"/>
    <x v="11"/>
    <x v="3"/>
    <s v=""/>
    <s v="Nao"/>
  </r>
  <r>
    <x v="1067"/>
    <x v="12"/>
    <x v="11"/>
    <n v="3397"/>
    <x v="37"/>
    <n v="6.54E-2"/>
    <n v="71.040000000000006"/>
    <n v="20"/>
    <n v="197"/>
    <n v="5"/>
    <n v="222"/>
    <x v="20"/>
    <x v="50"/>
    <x v="128"/>
    <x v="11"/>
    <x v="3"/>
    <s v=""/>
    <s v="Nao"/>
  </r>
  <r>
    <x v="1067"/>
    <x v="14"/>
    <x v="12"/>
    <n v="2333"/>
    <x v="1031"/>
    <n v="6.0400000000000002E-2"/>
    <n v="42.3"/>
    <n v="29"/>
    <n v="107"/>
    <n v="5"/>
    <n v="141"/>
    <x v="20"/>
    <x v="50"/>
    <x v="464"/>
    <x v="11"/>
    <x v="3"/>
    <s v=""/>
    <s v="Nao"/>
  </r>
  <r>
    <x v="1068"/>
    <x v="3"/>
    <x v="3"/>
    <n v="2805"/>
    <x v="1231"/>
    <n v="6.2E-2"/>
    <n v="48.72"/>
    <n v="9"/>
    <n v="161"/>
    <n v="4"/>
    <n v="174"/>
    <x v="20"/>
    <x v="0"/>
    <x v="61"/>
    <x v="11"/>
    <x v="3"/>
    <s v=""/>
    <s v="Nao"/>
  </r>
  <r>
    <x v="1069"/>
    <x v="10"/>
    <x v="10"/>
    <n v="4097"/>
    <x v="1232"/>
    <n v="8.5699999999999998E-2"/>
    <n v="112.32"/>
    <n v="33"/>
    <n v="314"/>
    <n v="4"/>
    <n v="351"/>
    <x v="20"/>
    <x v="1"/>
    <x v="122"/>
    <x v="11"/>
    <x v="3"/>
    <s v=""/>
    <s v="Nao"/>
  </r>
  <r>
    <x v="1069"/>
    <x v="12"/>
    <x v="11"/>
    <n v="4033"/>
    <x v="176"/>
    <n v="8.2100000000000006E-2"/>
    <n v="105.92"/>
    <n v="41"/>
    <n v="281"/>
    <n v="9"/>
    <n v="331"/>
    <x v="20"/>
    <x v="1"/>
    <x v="816"/>
    <x v="11"/>
    <x v="3"/>
    <s v=""/>
    <s v="Nao"/>
  </r>
  <r>
    <x v="1070"/>
    <x v="8"/>
    <x v="8"/>
    <n v="2574"/>
    <x v="1233"/>
    <n v="9.7100000000000006E-2"/>
    <n v="80"/>
    <n v="36"/>
    <n v="208"/>
    <n v="6"/>
    <n v="250"/>
    <x v="20"/>
    <x v="2"/>
    <x v="37"/>
    <x v="11"/>
    <x v="3"/>
    <s v=""/>
    <s v="Nao"/>
  </r>
  <r>
    <x v="1070"/>
    <x v="7"/>
    <x v="7"/>
    <n v="3630"/>
    <x v="1234"/>
    <n v="7.9899999999999999E-2"/>
    <n v="87"/>
    <n v="76"/>
    <n v="208"/>
    <n v="6"/>
    <n v="290"/>
    <x v="20"/>
    <x v="2"/>
    <x v="405"/>
    <x v="11"/>
    <x v="3"/>
    <s v=""/>
    <s v="Nao"/>
  </r>
  <r>
    <x v="1071"/>
    <x v="13"/>
    <x v="9"/>
    <n v="3442"/>
    <x v="1235"/>
    <n v="9.9699999999999997E-2"/>
    <n v="102.9"/>
    <n v="9"/>
    <n v="324"/>
    <n v="10"/>
    <n v="343"/>
    <x v="20"/>
    <x v="3"/>
    <x v="758"/>
    <x v="11"/>
    <x v="3"/>
    <s v=""/>
    <s v="Nao"/>
  </r>
  <r>
    <x v="1072"/>
    <x v="3"/>
    <x v="3"/>
    <n v="3677"/>
    <x v="577"/>
    <n v="7.3999999999999996E-2"/>
    <n v="76.16"/>
    <n v="5"/>
    <n v="260"/>
    <n v="7"/>
    <n v="272"/>
    <x v="20"/>
    <x v="4"/>
    <x v="28"/>
    <x v="11"/>
    <x v="3"/>
    <s v=""/>
    <s v="Nao"/>
  </r>
  <r>
    <x v="1073"/>
    <x v="9"/>
    <x v="9"/>
    <n v="2936"/>
    <x v="1007"/>
    <n v="7.1499999999999994E-2"/>
    <n v="54.6"/>
    <n v="10"/>
    <n v="196"/>
    <n v="4"/>
    <n v="210"/>
    <x v="20"/>
    <x v="5"/>
    <x v="392"/>
    <x v="11"/>
    <x v="3"/>
    <s v=""/>
    <s v="Nao"/>
  </r>
  <r>
    <x v="1074"/>
    <x v="8"/>
    <x v="8"/>
    <n v="3944"/>
    <x v="1236"/>
    <n v="0.1085"/>
    <n v="136.96"/>
    <n v="63"/>
    <n v="356"/>
    <n v="9"/>
    <n v="428"/>
    <x v="20"/>
    <x v="6"/>
    <x v="817"/>
    <x v="11"/>
    <x v="3"/>
    <s v=""/>
    <s v="Nao"/>
  </r>
  <r>
    <x v="1075"/>
    <x v="9"/>
    <x v="9"/>
    <n v="3571"/>
    <x v="1237"/>
    <n v="6.5500000000000003E-2"/>
    <n v="60.84"/>
    <n v="8"/>
    <n v="220"/>
    <n v="6"/>
    <n v="234"/>
    <x v="20"/>
    <x v="7"/>
    <x v="818"/>
    <x v="11"/>
    <x v="3"/>
    <s v=""/>
    <s v="Nao"/>
  </r>
  <r>
    <x v="1076"/>
    <x v="4"/>
    <x v="4"/>
    <n v="1904"/>
    <x v="434"/>
    <n v="7.51E-2"/>
    <n v="50.05"/>
    <n v="7"/>
    <n v="133"/>
    <n v="3"/>
    <n v="143"/>
    <x v="20"/>
    <x v="8"/>
    <x v="70"/>
    <x v="11"/>
    <x v="3"/>
    <s v=""/>
    <s v="Nao"/>
  </r>
  <r>
    <x v="1076"/>
    <x v="4"/>
    <x v="4"/>
    <n v="3300"/>
    <x v="424"/>
    <n v="5.2400000000000002E-2"/>
    <n v="60.55"/>
    <n v="6"/>
    <n v="165"/>
    <n v="2"/>
    <n v="173"/>
    <x v="20"/>
    <x v="8"/>
    <x v="256"/>
    <x v="11"/>
    <x v="3"/>
    <s v=""/>
    <s v="Nao"/>
  </r>
  <r>
    <x v="1077"/>
    <x v="0"/>
    <x v="0"/>
    <n v="3304"/>
    <x v="412"/>
    <n v="7.17E-2"/>
    <n v="75.84"/>
    <n v="5"/>
    <n v="226"/>
    <n v="6"/>
    <n v="237"/>
    <x v="20"/>
    <x v="9"/>
    <x v="406"/>
    <x v="11"/>
    <x v="3"/>
    <s v=""/>
    <s v="Nao"/>
  </r>
  <r>
    <x v="1077"/>
    <x v="2"/>
    <x v="2"/>
    <n v="2297"/>
    <x v="1238"/>
    <n v="7.8399999999999997E-2"/>
    <n v="57.6"/>
    <n v="9"/>
    <n v="167"/>
    <n v="4"/>
    <n v="180"/>
    <x v="20"/>
    <x v="9"/>
    <x v="502"/>
    <x v="11"/>
    <x v="3"/>
    <s v=""/>
    <s v="Nao"/>
  </r>
  <r>
    <x v="1078"/>
    <x v="2"/>
    <x v="2"/>
    <n v="3930"/>
    <x v="1239"/>
    <n v="7.0199999999999999E-2"/>
    <n v="88.32"/>
    <n v="19"/>
    <n v="251"/>
    <n v="6"/>
    <n v="276"/>
    <x v="20"/>
    <x v="10"/>
    <x v="253"/>
    <x v="11"/>
    <x v="3"/>
    <s v=""/>
    <s v="Nao"/>
  </r>
  <r>
    <x v="1078"/>
    <x v="6"/>
    <x v="6"/>
    <n v="3493"/>
    <x v="528"/>
    <n v="6.8099999999999994E-2"/>
    <n v="83.3"/>
    <n v="18"/>
    <n v="217"/>
    <n v="3"/>
    <n v="238"/>
    <x v="20"/>
    <x v="10"/>
    <x v="564"/>
    <x v="11"/>
    <x v="3"/>
    <s v=""/>
    <s v="Nao"/>
  </r>
  <r>
    <x v="1079"/>
    <x v="4"/>
    <x v="4"/>
    <n v="3088"/>
    <x v="1240"/>
    <n v="5.3400000000000003E-2"/>
    <n v="57.75"/>
    <n v="7"/>
    <n v="156"/>
    <n v="2"/>
    <n v="165"/>
    <x v="20"/>
    <x v="11"/>
    <x v="18"/>
    <x v="11"/>
    <x v="3"/>
    <s v=""/>
    <s v="Nao"/>
  </r>
  <r>
    <x v="1079"/>
    <x v="6"/>
    <x v="6"/>
    <n v="3951"/>
    <x v="1241"/>
    <n v="4.2999999999999997E-2"/>
    <n v="59.5"/>
    <n v="5"/>
    <n v="161"/>
    <n v="4"/>
    <n v="170"/>
    <x v="20"/>
    <x v="11"/>
    <x v="80"/>
    <x v="11"/>
    <x v="3"/>
    <s v=""/>
    <s v="Nao"/>
  </r>
  <r>
    <x v="1080"/>
    <x v="13"/>
    <x v="9"/>
    <n v="2582"/>
    <x v="132"/>
    <n v="9.3700000000000006E-2"/>
    <n v="72.599999999999994"/>
    <n v="6"/>
    <n v="229"/>
    <n v="7"/>
    <n v="242"/>
    <x v="20"/>
    <x v="12"/>
    <x v="119"/>
    <x v="11"/>
    <x v="3"/>
    <s v=""/>
    <s v="Nao"/>
  </r>
  <r>
    <x v="1080"/>
    <x v="0"/>
    <x v="0"/>
    <n v="2711"/>
    <x v="1242"/>
    <n v="5.3900000000000003E-2"/>
    <n v="46.72"/>
    <n v="5"/>
    <n v="138"/>
    <n v="3"/>
    <n v="146"/>
    <x v="20"/>
    <x v="12"/>
    <x v="819"/>
    <x v="11"/>
    <x v="3"/>
    <s v=""/>
    <s v="Nao"/>
  </r>
  <r>
    <x v="1081"/>
    <x v="13"/>
    <x v="9"/>
    <n v="2378"/>
    <x v="1243"/>
    <n v="8.1199999999999994E-2"/>
    <n v="57.9"/>
    <n v="8"/>
    <n v="181"/>
    <n v="4"/>
    <n v="193"/>
    <x v="20"/>
    <x v="13"/>
    <x v="493"/>
    <x v="11"/>
    <x v="3"/>
    <s v=""/>
    <s v="Nao"/>
  </r>
  <r>
    <x v="1081"/>
    <x v="11"/>
    <x v="0"/>
    <n v="2762"/>
    <x v="394"/>
    <n v="5.8999999999999997E-2"/>
    <n v="45.64"/>
    <n v="6"/>
    <n v="153"/>
    <n v="4"/>
    <n v="163"/>
    <x v="20"/>
    <x v="13"/>
    <x v="820"/>
    <x v="11"/>
    <x v="3"/>
    <s v=""/>
    <s v="Nao"/>
  </r>
  <r>
    <x v="1082"/>
    <x v="5"/>
    <x v="5"/>
    <n v="3996"/>
    <x v="788"/>
    <n v="6.08E-2"/>
    <n v="82.62"/>
    <n v="16"/>
    <n v="221"/>
    <n v="6"/>
    <n v="243"/>
    <x v="20"/>
    <x v="14"/>
    <x v="821"/>
    <x v="11"/>
    <x v="3"/>
    <s v=""/>
    <s v="Nao"/>
  </r>
  <r>
    <x v="1082"/>
    <x v="14"/>
    <x v="12"/>
    <n v="3272"/>
    <x v="1244"/>
    <n v="6.5100000000000005E-2"/>
    <n v="63.9"/>
    <n v="53"/>
    <n v="155"/>
    <n v="5"/>
    <n v="213"/>
    <x v="20"/>
    <x v="14"/>
    <x v="461"/>
    <x v="11"/>
    <x v="3"/>
    <s v=""/>
    <s v="Nao"/>
  </r>
  <r>
    <x v="1083"/>
    <x v="12"/>
    <x v="11"/>
    <n v="4106"/>
    <x v="684"/>
    <n v="8.0399999999999999E-2"/>
    <n v="105.6"/>
    <n v="41"/>
    <n v="283"/>
    <n v="6"/>
    <n v="330"/>
    <x v="20"/>
    <x v="15"/>
    <x v="822"/>
    <x v="11"/>
    <x v="3"/>
    <s v=""/>
    <s v="Nao"/>
  </r>
  <r>
    <x v="1083"/>
    <x v="6"/>
    <x v="6"/>
    <n v="2637"/>
    <x v="316"/>
    <n v="4.5900000000000003E-2"/>
    <n v="42.35"/>
    <n v="7"/>
    <n v="111"/>
    <n v="3"/>
    <n v="121"/>
    <x v="20"/>
    <x v="15"/>
    <x v="145"/>
    <x v="11"/>
    <x v="3"/>
    <s v=""/>
    <s v="Nao"/>
  </r>
  <r>
    <x v="1084"/>
    <x v="11"/>
    <x v="0"/>
    <n v="2345"/>
    <x v="252"/>
    <n v="6.7000000000000004E-2"/>
    <n v="43.96"/>
    <n v="5"/>
    <n v="149"/>
    <n v="3"/>
    <n v="157"/>
    <x v="20"/>
    <x v="16"/>
    <x v="155"/>
    <x v="11"/>
    <x v="3"/>
    <s v=""/>
    <s v="Nao"/>
  </r>
  <r>
    <x v="1085"/>
    <x v="13"/>
    <x v="9"/>
    <n v="2252"/>
    <x v="1245"/>
    <n v="9.2399999999999996E-2"/>
    <n v="62.4"/>
    <n v="12"/>
    <n v="191"/>
    <n v="5"/>
    <n v="208"/>
    <x v="20"/>
    <x v="17"/>
    <x v="680"/>
    <x v="11"/>
    <x v="3"/>
    <s v=""/>
    <s v="Nao"/>
  </r>
  <r>
    <x v="1086"/>
    <x v="6"/>
    <x v="6"/>
    <n v="2933"/>
    <x v="1246"/>
    <n v="7.4300000000000005E-2"/>
    <n v="76.3"/>
    <n v="12"/>
    <n v="204"/>
    <n v="2"/>
    <n v="218"/>
    <x v="20"/>
    <x v="18"/>
    <x v="613"/>
    <x v="11"/>
    <x v="3"/>
    <s v=""/>
    <s v="Nao"/>
  </r>
  <r>
    <x v="1086"/>
    <x v="2"/>
    <x v="2"/>
    <n v="3286"/>
    <x v="401"/>
    <n v="8.4000000000000005E-2"/>
    <n v="88.32"/>
    <n v="6"/>
    <n v="263"/>
    <n v="7"/>
    <n v="276"/>
    <x v="20"/>
    <x v="18"/>
    <x v="253"/>
    <x v="11"/>
    <x v="3"/>
    <s v=""/>
    <s v="Nao"/>
  </r>
  <r>
    <x v="1087"/>
    <x v="3"/>
    <x v="3"/>
    <n v="3057"/>
    <x v="415"/>
    <n v="6.4100000000000004E-2"/>
    <n v="54.88"/>
    <n v="12"/>
    <n v="181"/>
    <n v="3"/>
    <n v="196"/>
    <x v="20"/>
    <x v="19"/>
    <x v="701"/>
    <x v="11"/>
    <x v="3"/>
    <s v=""/>
    <s v="Nao"/>
  </r>
  <r>
    <x v="1087"/>
    <x v="0"/>
    <x v="0"/>
    <n v="2714"/>
    <x v="376"/>
    <n v="8.2900000000000001E-2"/>
    <n v="72"/>
    <n v="8"/>
    <n v="212"/>
    <n v="5"/>
    <n v="225"/>
    <x v="20"/>
    <x v="19"/>
    <x v="193"/>
    <x v="11"/>
    <x v="3"/>
    <s v=""/>
    <s v="Nao"/>
  </r>
  <r>
    <x v="1088"/>
    <x v="4"/>
    <x v="4"/>
    <n v="3215"/>
    <x v="320"/>
    <n v="7.3400000000000007E-2"/>
    <n v="82.6"/>
    <n v="7"/>
    <n v="223"/>
    <n v="6"/>
    <n v="236"/>
    <x v="20"/>
    <x v="20"/>
    <x v="823"/>
    <x v="11"/>
    <x v="3"/>
    <s v=""/>
    <s v="Nao"/>
  </r>
  <r>
    <x v="1089"/>
    <x v="13"/>
    <x v="9"/>
    <n v="4151"/>
    <x v="1247"/>
    <n v="7.4200000000000002E-2"/>
    <n v="92.4"/>
    <n v="14"/>
    <n v="290"/>
    <n v="4"/>
    <n v="308"/>
    <x v="20"/>
    <x v="21"/>
    <x v="321"/>
    <x v="11"/>
    <x v="3"/>
    <s v=""/>
    <s v="Nao"/>
  </r>
  <r>
    <x v="1089"/>
    <x v="13"/>
    <x v="9"/>
    <n v="3563"/>
    <x v="1157"/>
    <n v="9.8199999999999996E-2"/>
    <n v="105"/>
    <n v="15"/>
    <n v="327"/>
    <n v="8"/>
    <n v="350"/>
    <x v="20"/>
    <x v="21"/>
    <x v="30"/>
    <x v="11"/>
    <x v="3"/>
    <s v=""/>
    <s v="Nao"/>
  </r>
  <r>
    <x v="1090"/>
    <x v="11"/>
    <x v="0"/>
    <n v="2909"/>
    <x v="471"/>
    <n v="7.2900000000000006E-2"/>
    <n v="59.36"/>
    <n v="15"/>
    <n v="193"/>
    <n v="4"/>
    <n v="212"/>
    <x v="20"/>
    <x v="22"/>
    <x v="332"/>
    <x v="11"/>
    <x v="3"/>
    <s v=""/>
    <s v="Nao"/>
  </r>
  <r>
    <x v="1090"/>
    <x v="4"/>
    <x v="4"/>
    <n v="2784"/>
    <x v="254"/>
    <n v="6.7500000000000004E-2"/>
    <n v="65.8"/>
    <n v="13"/>
    <n v="172"/>
    <n v="3"/>
    <n v="188"/>
    <x v="20"/>
    <x v="22"/>
    <x v="110"/>
    <x v="11"/>
    <x v="3"/>
    <s v=""/>
    <s v="Nao"/>
  </r>
  <r>
    <x v="1091"/>
    <x v="7"/>
    <x v="7"/>
    <n v="3012"/>
    <x v="667"/>
    <n v="9.2999999999999999E-2"/>
    <n v="84"/>
    <n v="81"/>
    <n v="189"/>
    <n v="10"/>
    <n v="280"/>
    <x v="20"/>
    <x v="23"/>
    <x v="112"/>
    <x v="11"/>
    <x v="3"/>
    <s v=""/>
    <s v="Nao"/>
  </r>
  <r>
    <x v="1091"/>
    <x v="4"/>
    <x v="4"/>
    <n v="3265"/>
    <x v="438"/>
    <n v="7.6600000000000001E-2"/>
    <n v="87.5"/>
    <n v="11"/>
    <n v="233"/>
    <n v="6"/>
    <n v="250"/>
    <x v="20"/>
    <x v="23"/>
    <x v="824"/>
    <x v="11"/>
    <x v="3"/>
    <s v=""/>
    <s v="Nao"/>
  </r>
  <r>
    <x v="1092"/>
    <x v="6"/>
    <x v="6"/>
    <n v="3364"/>
    <x v="39"/>
    <n v="7.5800000000000006E-2"/>
    <n v="89.25"/>
    <n v="16"/>
    <n v="234"/>
    <n v="5"/>
    <n v="255"/>
    <x v="20"/>
    <x v="24"/>
    <x v="488"/>
    <x v="11"/>
    <x v="3"/>
    <s v=""/>
    <s v="Nao"/>
  </r>
  <r>
    <x v="1092"/>
    <x v="13"/>
    <x v="9"/>
    <n v="2013"/>
    <x v="581"/>
    <n v="7.4999999999999997E-2"/>
    <n v="45.3"/>
    <n v="5"/>
    <n v="144"/>
    <n v="2"/>
    <n v="151"/>
    <x v="20"/>
    <x v="24"/>
    <x v="452"/>
    <x v="11"/>
    <x v="3"/>
    <s v=""/>
    <s v="Nao"/>
  </r>
  <r>
    <x v="1093"/>
    <x v="12"/>
    <x v="11"/>
    <n v="2052"/>
    <x v="1023"/>
    <n v="9.5500000000000002E-2"/>
    <n v="62.72"/>
    <n v="29"/>
    <n v="164"/>
    <n v="3"/>
    <n v="196"/>
    <x v="20"/>
    <x v="25"/>
    <x v="569"/>
    <x v="11"/>
    <x v="3"/>
    <s v=""/>
    <s v="Nao"/>
  </r>
  <r>
    <x v="1093"/>
    <x v="0"/>
    <x v="0"/>
    <n v="3277"/>
    <x v="469"/>
    <n v="7.9299999999999995E-2"/>
    <n v="83.2"/>
    <n v="13"/>
    <n v="244"/>
    <n v="3"/>
    <n v="260"/>
    <x v="20"/>
    <x v="25"/>
    <x v="825"/>
    <x v="11"/>
    <x v="3"/>
    <s v=""/>
    <s v="Nao"/>
  </r>
  <r>
    <x v="1094"/>
    <x v="2"/>
    <x v="2"/>
    <n v="2824"/>
    <x v="1248"/>
    <n v="8.5000000000000006E-2"/>
    <n v="76.8"/>
    <n v="8"/>
    <n v="228"/>
    <n v="4"/>
    <n v="240"/>
    <x v="20"/>
    <x v="26"/>
    <x v="219"/>
    <x v="11"/>
    <x v="3"/>
    <s v=""/>
    <s v="Nao"/>
  </r>
  <r>
    <x v="1094"/>
    <x v="0"/>
    <x v="0"/>
    <n v="3704"/>
    <x v="1209"/>
    <n v="5.62E-2"/>
    <n v="66.56"/>
    <n v="10"/>
    <n v="195"/>
    <n v="3"/>
    <n v="208"/>
    <x v="20"/>
    <x v="26"/>
    <x v="251"/>
    <x v="11"/>
    <x v="3"/>
    <s v=""/>
    <s v="Nao"/>
  </r>
  <r>
    <x v="1095"/>
    <x v="2"/>
    <x v="2"/>
    <n v="3255"/>
    <x v="701"/>
    <n v="9.06E-2"/>
    <n v="94.4"/>
    <n v="21"/>
    <n v="271"/>
    <n v="3"/>
    <n v="295"/>
    <x v="20"/>
    <x v="27"/>
    <x v="823"/>
    <x v="11"/>
    <x v="3"/>
    <n v="42"/>
    <s v="Nao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name="Tabela Dinâmica8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0">
  <location ref="A154:C156" firstHeaderRow="0" firstDataRow="1" firstDataCol="1"/>
  <pivotFields count="21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6">
        <item x="11"/>
        <item x="1"/>
        <item x="7"/>
        <item x="9"/>
        <item x="2"/>
        <item x="14"/>
        <item x="6"/>
        <item x="4"/>
        <item x="8"/>
        <item x="3"/>
        <item x="12"/>
        <item x="10"/>
        <item x="5"/>
        <item x="0"/>
        <item x="13"/>
        <item t="default"/>
      </items>
    </pivotField>
    <pivotField axis="axisRow" showAll="0">
      <items count="14">
        <item h="1" x="12"/>
        <item h="1" x="7"/>
        <item h="1" x="0"/>
        <item x="3"/>
        <item h="1" x="10"/>
        <item h="1" x="8"/>
        <item h="1" x="6"/>
        <item h="1" x="1"/>
        <item h="1" x="2"/>
        <item h="1" x="5"/>
        <item h="1" x="4"/>
        <item h="1" x="9"/>
        <item h="1" x="11"/>
        <item t="default"/>
      </items>
    </pivotField>
    <pivotField showAll="0"/>
    <pivotField dataField="1" showAll="0">
      <items count="1250">
        <item x="540"/>
        <item x="853"/>
        <item x="102"/>
        <item x="371"/>
        <item x="981"/>
        <item x="119"/>
        <item x="373"/>
        <item x="686"/>
        <item x="657"/>
        <item x="1170"/>
        <item x="310"/>
        <item x="877"/>
        <item x="1119"/>
        <item x="196"/>
        <item x="151"/>
        <item x="882"/>
        <item x="575"/>
        <item x="33"/>
        <item x="201"/>
        <item x="87"/>
        <item x="979"/>
        <item x="526"/>
        <item x="1205"/>
        <item x="344"/>
        <item x="964"/>
        <item x="1189"/>
        <item x="330"/>
        <item x="161"/>
        <item x="1060"/>
        <item x="698"/>
        <item x="359"/>
        <item x="93"/>
        <item x="904"/>
        <item x="699"/>
        <item x="870"/>
        <item x="516"/>
        <item x="448"/>
        <item x="813"/>
        <item x="1111"/>
        <item x="493"/>
        <item x="530"/>
        <item x="766"/>
        <item x="305"/>
        <item x="504"/>
        <item x="647"/>
        <item x="155"/>
        <item x="20"/>
        <item x="878"/>
        <item x="527"/>
        <item x="937"/>
        <item x="557"/>
        <item x="1183"/>
        <item x="159"/>
        <item x="793"/>
        <item x="333"/>
        <item x="77"/>
        <item x="246"/>
        <item x="112"/>
        <item x="434"/>
        <item x="210"/>
        <item x="974"/>
        <item x="240"/>
        <item x="348"/>
        <item x="1153"/>
        <item x="1118"/>
        <item x="719"/>
        <item x="1132"/>
        <item x="887"/>
        <item x="594"/>
        <item x="835"/>
        <item x="293"/>
        <item x="644"/>
        <item x="1193"/>
        <item x="846"/>
        <item x="665"/>
        <item x="598"/>
        <item x="774"/>
        <item x="607"/>
        <item x="524"/>
        <item x="192"/>
        <item x="124"/>
        <item x="709"/>
        <item x="449"/>
        <item x="35"/>
        <item x="328"/>
        <item x="580"/>
        <item x="713"/>
        <item x="1000"/>
        <item x="67"/>
        <item x="624"/>
        <item x="560"/>
        <item x="10"/>
        <item x="260"/>
        <item x="481"/>
        <item x="470"/>
        <item x="514"/>
        <item x="827"/>
        <item x="828"/>
        <item x="296"/>
        <item x="655"/>
        <item x="1081"/>
        <item x="991"/>
        <item x="343"/>
        <item x="1049"/>
        <item x="1158"/>
        <item x="617"/>
        <item x="682"/>
        <item x="840"/>
        <item x="506"/>
        <item x="1023"/>
        <item x="486"/>
        <item x="1188"/>
        <item x="245"/>
        <item x="581"/>
        <item x="1114"/>
        <item x="760"/>
        <item x="593"/>
        <item x="1027"/>
        <item x="454"/>
        <item x="1088"/>
        <item x="243"/>
        <item x="439"/>
        <item x="584"/>
        <item x="720"/>
        <item x="423"/>
        <item x="801"/>
        <item x="1063"/>
        <item x="167"/>
        <item x="255"/>
        <item x="97"/>
        <item x="419"/>
        <item x="519"/>
        <item x="283"/>
        <item x="395"/>
        <item x="134"/>
        <item x="44"/>
        <item x="318"/>
        <item x="959"/>
        <item x="985"/>
        <item x="149"/>
        <item x="144"/>
        <item x="1069"/>
        <item x="694"/>
        <item x="718"/>
        <item x="1150"/>
        <item x="786"/>
        <item x="219"/>
        <item x="38"/>
        <item x="389"/>
        <item x="235"/>
        <item x="1092"/>
        <item x="569"/>
        <item x="160"/>
        <item x="282"/>
        <item x="222"/>
        <item x="779"/>
        <item x="377"/>
        <item x="1036"/>
        <item x="968"/>
        <item x="122"/>
        <item x="404"/>
        <item x="512"/>
        <item x="392"/>
        <item x="597"/>
        <item x="989"/>
        <item x="549"/>
        <item x="275"/>
        <item x="1105"/>
        <item x="109"/>
        <item x="116"/>
        <item x="533"/>
        <item x="468"/>
        <item x="634"/>
        <item x="1009"/>
        <item x="292"/>
        <item x="1216"/>
        <item x="632"/>
        <item x="710"/>
        <item x="880"/>
        <item x="782"/>
        <item x="5"/>
        <item x="980"/>
        <item x="896"/>
        <item x="752"/>
        <item x="455"/>
        <item x="440"/>
        <item x="1136"/>
        <item x="40"/>
        <item x="250"/>
        <item x="491"/>
        <item x="758"/>
        <item x="998"/>
        <item x="532"/>
        <item x="537"/>
        <item x="225"/>
        <item x="269"/>
        <item x="158"/>
        <item x="1245"/>
        <item x="792"/>
        <item x="518"/>
        <item x="1121"/>
        <item x="809"/>
        <item x="582"/>
        <item x="630"/>
        <item x="480"/>
        <item x="1148"/>
        <item x="492"/>
        <item x="295"/>
        <item x="1040"/>
        <item x="141"/>
        <item x="689"/>
        <item x="737"/>
        <item x="403"/>
        <item x="833"/>
        <item x="1230"/>
        <item x="1164"/>
        <item x="72"/>
        <item x="789"/>
        <item x="453"/>
        <item x="29"/>
        <item x="845"/>
        <item x="75"/>
        <item x="633"/>
        <item x="567"/>
        <item x="965"/>
        <item x="1011"/>
        <item x="1220"/>
        <item x="973"/>
        <item x="662"/>
        <item x="1010"/>
        <item x="78"/>
        <item x="484"/>
        <item x="1178"/>
        <item x="866"/>
        <item x="388"/>
        <item x="163"/>
        <item x="1238"/>
        <item x="978"/>
        <item x="336"/>
        <item x="286"/>
        <item x="756"/>
        <item x="535"/>
        <item x="368"/>
        <item x="262"/>
        <item x="1029"/>
        <item x="957"/>
        <item x="47"/>
        <item x="1127"/>
        <item x="189"/>
        <item x="869"/>
        <item x="906"/>
        <item x="207"/>
        <item x="821"/>
        <item x="762"/>
        <item x="956"/>
        <item x="1172"/>
        <item x="464"/>
        <item x="432"/>
        <item x="1039"/>
        <item x="94"/>
        <item x="284"/>
        <item x="308"/>
        <item x="462"/>
        <item x="114"/>
        <item x="755"/>
        <item x="732"/>
        <item x="402"/>
        <item x="485"/>
        <item x="551"/>
        <item x="1203"/>
        <item x="574"/>
        <item x="898"/>
        <item x="618"/>
        <item x="140"/>
        <item x="1243"/>
        <item x="252"/>
        <item x="274"/>
        <item x="852"/>
        <item x="1031"/>
        <item x="257"/>
        <item x="1035"/>
        <item x="905"/>
        <item x="184"/>
        <item x="963"/>
        <item x="418"/>
        <item x="1051"/>
        <item x="673"/>
        <item x="212"/>
        <item x="387"/>
        <item x="936"/>
        <item x="382"/>
        <item x="1180"/>
        <item x="73"/>
        <item x="1090"/>
        <item x="27"/>
        <item x="972"/>
        <item x="241"/>
        <item x="736"/>
        <item x="1224"/>
        <item x="145"/>
        <item x="754"/>
        <item x="648"/>
        <item x="911"/>
        <item x="0"/>
        <item x="17"/>
        <item x="1098"/>
        <item x="396"/>
        <item x="180"/>
        <item x="733"/>
        <item x="146"/>
        <item x="725"/>
        <item x="363"/>
        <item x="1"/>
        <item x="1100"/>
        <item x="446"/>
        <item x="841"/>
        <item x="98"/>
        <item x="868"/>
        <item x="555"/>
        <item x="777"/>
        <item x="1071"/>
        <item x="946"/>
        <item x="277"/>
        <item x="746"/>
        <item x="596"/>
        <item x="826"/>
        <item x="671"/>
        <item x="476"/>
        <item x="903"/>
        <item x="1176"/>
        <item x="249"/>
        <item x="126"/>
        <item x="976"/>
        <item x="190"/>
        <item x="856"/>
        <item x="659"/>
        <item x="1146"/>
        <item x="227"/>
        <item x="366"/>
        <item x="939"/>
        <item x="722"/>
        <item x="656"/>
        <item x="1179"/>
        <item x="413"/>
        <item x="829"/>
        <item x="138"/>
        <item x="1095"/>
        <item x="587"/>
        <item x="590"/>
        <item x="317"/>
        <item x="1186"/>
        <item x="780"/>
        <item x="805"/>
        <item x="794"/>
        <item x="854"/>
        <item x="1233"/>
        <item x="1074"/>
        <item x="259"/>
        <item x="327"/>
        <item x="1097"/>
        <item x="672"/>
        <item x="912"/>
        <item x="18"/>
        <item x="822"/>
        <item x="1115"/>
        <item x="463"/>
        <item x="1124"/>
        <item x="132"/>
        <item x="704"/>
        <item x="89"/>
        <item x="1096"/>
        <item x="1019"/>
        <item x="355"/>
        <item x="1199"/>
        <item x="545"/>
        <item x="1198"/>
        <item x="79"/>
        <item x="15"/>
        <item x="281"/>
        <item x="750"/>
        <item x="748"/>
        <item x="873"/>
        <item x="422"/>
        <item x="165"/>
        <item x="59"/>
        <item x="398"/>
        <item x="606"/>
        <item x="723"/>
        <item x="337"/>
        <item x="1026"/>
        <item x="384"/>
        <item x="341"/>
        <item x="442"/>
        <item x="445"/>
        <item x="1168"/>
        <item x="900"/>
        <item x="313"/>
        <item x="652"/>
        <item x="642"/>
        <item x="843"/>
        <item x="375"/>
        <item x="749"/>
        <item x="131"/>
        <item x="56"/>
        <item x="693"/>
        <item x="397"/>
        <item x="339"/>
        <item x="543"/>
        <item x="386"/>
        <item x="133"/>
        <item x="497"/>
        <item x="55"/>
        <item x="43"/>
        <item x="679"/>
        <item x="932"/>
        <item x="1067"/>
        <item x="457"/>
        <item x="962"/>
        <item x="136"/>
        <item x="139"/>
        <item x="188"/>
        <item x="307"/>
        <item x="169"/>
        <item x="636"/>
        <item x="1047"/>
        <item x="291"/>
        <item x="271"/>
        <item x="385"/>
        <item x="876"/>
        <item x="929"/>
        <item x="215"/>
        <item x="137"/>
        <item x="76"/>
        <item x="547"/>
        <item x="315"/>
        <item x="258"/>
        <item x="927"/>
        <item x="86"/>
        <item x="1043"/>
        <item x="548"/>
        <item x="198"/>
        <item x="895"/>
        <item x="837"/>
        <item x="70"/>
        <item x="128"/>
        <item x="554"/>
        <item x="376"/>
        <item x="231"/>
        <item x="242"/>
        <item x="1129"/>
        <item x="572"/>
        <item x="568"/>
        <item x="170"/>
        <item x="1102"/>
        <item x="1225"/>
        <item x="894"/>
        <item x="1080"/>
        <item x="356"/>
        <item x="1055"/>
        <item x="917"/>
        <item x="910"/>
        <item x="836"/>
        <item x="945"/>
        <item x="298"/>
        <item x="790"/>
        <item x="316"/>
        <item x="226"/>
        <item x="529"/>
        <item x="559"/>
        <item x="1214"/>
        <item x="205"/>
        <item x="68"/>
        <item x="361"/>
        <item x="635"/>
        <item x="430"/>
        <item x="496"/>
        <item x="494"/>
        <item x="947"/>
        <item x="874"/>
        <item x="182"/>
        <item x="674"/>
        <item x="1006"/>
        <item x="556"/>
        <item x="290"/>
        <item x="48"/>
        <item x="458"/>
        <item x="482"/>
        <item x="502"/>
        <item x="1165"/>
        <item x="186"/>
        <item x="224"/>
        <item x="1242"/>
        <item x="173"/>
        <item x="69"/>
        <item x="741"/>
        <item x="639"/>
        <item x="346"/>
        <item x="503"/>
        <item x="523"/>
        <item x="63"/>
        <item x="9"/>
        <item x="651"/>
        <item x="1033"/>
        <item x="691"/>
        <item x="1248"/>
        <item x="13"/>
        <item x="473"/>
        <item x="558"/>
        <item x="988"/>
        <item x="121"/>
        <item x="19"/>
        <item x="426"/>
        <item x="254"/>
        <item x="230"/>
        <item x="394"/>
        <item x="353"/>
        <item x="57"/>
        <item x="763"/>
        <item x="739"/>
        <item x="544"/>
        <item x="643"/>
        <item x="941"/>
        <item x="46"/>
        <item x="608"/>
        <item x="626"/>
        <item x="1108"/>
        <item x="715"/>
        <item x="892"/>
        <item x="156"/>
        <item x="478"/>
        <item x="181"/>
        <item x="734"/>
        <item x="220"/>
        <item x="1231"/>
        <item x="1014"/>
        <item x="1171"/>
        <item x="851"/>
        <item x="810"/>
        <item x="768"/>
        <item x="383"/>
        <item x="232"/>
        <item x="1058"/>
        <item x="507"/>
        <item x="525"/>
        <item x="702"/>
        <item x="429"/>
        <item x="787"/>
        <item x="221"/>
        <item x="1109"/>
        <item x="1064"/>
        <item x="42"/>
        <item x="1103"/>
        <item x="933"/>
        <item x="1144"/>
        <item x="931"/>
        <item x="862"/>
        <item x="322"/>
        <item x="819"/>
        <item x="53"/>
        <item x="3"/>
        <item x="294"/>
        <item x="425"/>
        <item x="834"/>
        <item x="1061"/>
        <item x="714"/>
        <item x="627"/>
        <item x="660"/>
        <item x="200"/>
        <item x="154"/>
        <item x="1017"/>
        <item x="708"/>
        <item x="352"/>
        <item x="195"/>
        <item x="444"/>
        <item x="471"/>
        <item x="1013"/>
        <item x="744"/>
        <item x="958"/>
        <item x="244"/>
        <item x="510"/>
        <item x="565"/>
        <item x="1021"/>
        <item x="127"/>
        <item x="1154"/>
        <item x="771"/>
        <item x="1246"/>
        <item x="640"/>
        <item x="1041"/>
        <item x="570"/>
        <item x="1169"/>
        <item x="489"/>
        <item x="1007"/>
        <item x="1185"/>
        <item x="414"/>
        <item x="45"/>
        <item x="667"/>
        <item x="41"/>
        <item x="697"/>
        <item x="347"/>
        <item x="1104"/>
        <item x="811"/>
        <item x="1042"/>
        <item x="490"/>
        <item x="770"/>
        <item x="589"/>
        <item x="591"/>
        <item x="12"/>
        <item x="727"/>
        <item x="147"/>
        <item x="867"/>
        <item x="50"/>
        <item x="622"/>
        <item x="658"/>
        <item x="505"/>
        <item x="1120"/>
        <item x="913"/>
        <item x="83"/>
        <item x="171"/>
        <item x="515"/>
        <item x="961"/>
        <item x="1173"/>
        <item x="30"/>
        <item x="49"/>
        <item x="101"/>
        <item x="726"/>
        <item x="1083"/>
        <item x="1008"/>
        <item x="814"/>
        <item x="6"/>
        <item x="747"/>
        <item x="1073"/>
        <item x="538"/>
        <item x="983"/>
        <item x="844"/>
        <item x="218"/>
        <item x="379"/>
        <item x="238"/>
        <item x="1191"/>
        <item x="1068"/>
        <item x="541"/>
        <item x="111"/>
        <item x="816"/>
        <item x="812"/>
        <item x="96"/>
        <item x="16"/>
        <item x="864"/>
        <item x="435"/>
        <item x="223"/>
        <item x="539"/>
        <item x="1072"/>
        <item x="62"/>
        <item x="883"/>
        <item x="338"/>
        <item x="599"/>
        <item x="370"/>
        <item x="129"/>
        <item x="621"/>
        <item x="661"/>
        <item x="1101"/>
        <item x="761"/>
        <item x="1085"/>
        <item x="875"/>
        <item x="623"/>
        <item x="135"/>
        <item x="1066"/>
        <item x="728"/>
        <item x="1130"/>
        <item x="264"/>
        <item x="477"/>
        <item x="74"/>
        <item x="944"/>
        <item x="451"/>
        <item x="522"/>
        <item x="415"/>
        <item x="123"/>
        <item x="174"/>
        <item x="997"/>
        <item x="393"/>
        <item x="629"/>
        <item x="1131"/>
        <item x="820"/>
        <item x="1005"/>
        <item x="1228"/>
        <item x="592"/>
        <item x="237"/>
        <item x="670"/>
        <item x="1028"/>
        <item x="1215"/>
        <item x="193"/>
        <item x="1200"/>
        <item x="926"/>
        <item x="536"/>
        <item x="769"/>
        <item x="441"/>
        <item x="278"/>
        <item x="920"/>
        <item x="54"/>
        <item x="885"/>
        <item x="304"/>
        <item x="287"/>
        <item x="321"/>
        <item x="889"/>
        <item x="600"/>
        <item x="680"/>
        <item x="299"/>
        <item x="302"/>
        <item x="717"/>
        <item x="918"/>
        <item x="550"/>
        <item x="666"/>
        <item x="742"/>
        <item x="1240"/>
        <item x="928"/>
        <item x="85"/>
        <item x="84"/>
        <item x="1152"/>
        <item x="605"/>
        <item x="890"/>
        <item x="938"/>
        <item x="773"/>
        <item x="842"/>
        <item x="2"/>
        <item x="930"/>
        <item x="677"/>
        <item x="706"/>
        <item x="513"/>
        <item x="891"/>
        <item x="1093"/>
        <item x="705"/>
        <item x="1194"/>
        <item x="1122"/>
        <item x="179"/>
        <item x="808"/>
        <item x="357"/>
        <item x="783"/>
        <item x="701"/>
        <item x="1045"/>
        <item x="685"/>
        <item x="907"/>
        <item x="472"/>
        <item x="360"/>
        <item x="784"/>
        <item x="785"/>
        <item x="613"/>
        <item x="1016"/>
        <item x="320"/>
        <item x="309"/>
        <item x="1024"/>
        <item x="799"/>
        <item x="637"/>
        <item x="611"/>
        <item x="1197"/>
        <item x="115"/>
        <item x="1140"/>
        <item x="1141"/>
        <item x="1046"/>
        <item x="619"/>
        <item x="952"/>
        <item x="767"/>
        <item x="692"/>
        <item x="1142"/>
        <item x="153"/>
        <item x="721"/>
        <item x="64"/>
        <item x="401"/>
        <item x="751"/>
        <item x="886"/>
        <item x="438"/>
        <item x="469"/>
        <item x="340"/>
        <item x="1078"/>
        <item x="948"/>
        <item x="586"/>
        <item x="1166"/>
        <item x="1217"/>
        <item x="433"/>
        <item x="331"/>
        <item x="61"/>
        <item x="1184"/>
        <item x="172"/>
        <item x="253"/>
        <item x="1222"/>
        <item x="125"/>
        <item x="871"/>
        <item x="1125"/>
        <item x="950"/>
        <item x="604"/>
        <item x="28"/>
        <item x="1244"/>
        <item x="901"/>
        <item x="695"/>
        <item x="1137"/>
        <item x="412"/>
        <item x="888"/>
        <item x="645"/>
        <item x="380"/>
        <item x="187"/>
        <item x="815"/>
        <item x="268"/>
        <item x="583"/>
        <item x="1053"/>
        <item x="1018"/>
        <item x="817"/>
        <item x="110"/>
        <item x="90"/>
        <item x="1138"/>
        <item x="625"/>
        <item x="428"/>
        <item x="849"/>
        <item x="1235"/>
        <item x="919"/>
        <item x="349"/>
        <item x="1128"/>
        <item x="631"/>
        <item x="1213"/>
        <item x="39"/>
        <item x="14"/>
        <item x="1079"/>
        <item x="743"/>
        <item x="143"/>
        <item x="1210"/>
        <item x="818"/>
        <item x="4"/>
        <item x="152"/>
        <item x="51"/>
        <item x="424"/>
        <item x="863"/>
        <item x="1219"/>
        <item x="745"/>
        <item x="1001"/>
        <item x="1139"/>
        <item x="1052"/>
        <item x="409"/>
        <item x="117"/>
        <item x="456"/>
        <item x="823"/>
        <item x="247"/>
        <item x="1143"/>
        <item x="390"/>
        <item x="81"/>
        <item x="1084"/>
        <item x="595"/>
        <item x="508"/>
        <item x="37"/>
        <item x="753"/>
        <item x="1145"/>
        <item x="865"/>
        <item x="675"/>
        <item x="178"/>
        <item x="825"/>
        <item x="362"/>
        <item x="1091"/>
        <item x="58"/>
        <item x="615"/>
        <item x="879"/>
        <item x="781"/>
        <item x="975"/>
        <item x="1157"/>
        <item x="1054"/>
        <item x="261"/>
        <item x="987"/>
        <item x="969"/>
        <item x="208"/>
        <item x="479"/>
        <item x="765"/>
        <item x="34"/>
        <item x="465"/>
        <item x="995"/>
        <item x="610"/>
        <item x="915"/>
        <item x="1062"/>
        <item x="992"/>
        <item x="776"/>
        <item x="664"/>
        <item x="807"/>
        <item x="775"/>
        <item x="1012"/>
        <item x="447"/>
        <item x="528"/>
        <item x="1159"/>
        <item x="1059"/>
        <item x="1087"/>
        <item x="934"/>
        <item x="60"/>
        <item x="1206"/>
        <item x="1086"/>
        <item x="806"/>
        <item x="601"/>
        <item x="1002"/>
        <item x="1160"/>
        <item x="36"/>
        <item x="1163"/>
        <item x="654"/>
        <item x="280"/>
        <item x="603"/>
        <item x="358"/>
        <item x="542"/>
        <item x="897"/>
        <item x="1022"/>
        <item x="616"/>
        <item x="1226"/>
        <item x="676"/>
        <item x="724"/>
        <item x="289"/>
        <item x="971"/>
        <item x="1161"/>
        <item x="11"/>
        <item x="1182"/>
        <item x="8"/>
        <item x="108"/>
        <item x="902"/>
        <item x="1032"/>
        <item x="802"/>
        <item x="369"/>
        <item x="641"/>
        <item x="772"/>
        <item x="1237"/>
        <item x="520"/>
        <item x="1181"/>
        <item x="1234"/>
        <item x="416"/>
        <item x="1162"/>
        <item x="1204"/>
        <item x="191"/>
        <item x="185"/>
        <item x="267"/>
        <item x="735"/>
        <item x="588"/>
        <item x="832"/>
        <item x="1208"/>
        <item x="1044"/>
        <item x="893"/>
        <item x="982"/>
        <item x="986"/>
        <item x="791"/>
        <item x="653"/>
        <item x="563"/>
        <item x="1192"/>
        <item x="546"/>
        <item x="1099"/>
        <item x="251"/>
        <item x="311"/>
        <item x="142"/>
        <item x="276"/>
        <item x="301"/>
        <item x="740"/>
        <item x="534"/>
        <item x="66"/>
        <item x="233"/>
        <item x="495"/>
        <item x="400"/>
        <item x="1089"/>
        <item x="668"/>
        <item x="884"/>
        <item x="1077"/>
        <item x="578"/>
        <item x="436"/>
        <item x="203"/>
        <item x="649"/>
        <item x="82"/>
        <item x="279"/>
        <item x="577"/>
        <item x="511"/>
        <item x="916"/>
        <item x="703"/>
        <item x="95"/>
        <item x="303"/>
        <item x="729"/>
        <item x="858"/>
        <item x="953"/>
        <item x="940"/>
        <item x="690"/>
        <item x="831"/>
        <item x="411"/>
        <item x="914"/>
        <item x="99"/>
        <item x="329"/>
        <item x="332"/>
        <item x="993"/>
        <item x="1116"/>
        <item x="168"/>
        <item x="1126"/>
        <item x="1167"/>
        <item x="420"/>
        <item x="365"/>
        <item x="562"/>
        <item x="65"/>
        <item x="795"/>
        <item x="553"/>
        <item x="488"/>
        <item x="612"/>
        <item x="22"/>
        <item x="500"/>
        <item x="855"/>
        <item x="26"/>
        <item x="921"/>
        <item x="1151"/>
        <item x="561"/>
        <item x="1174"/>
        <item x="459"/>
        <item x="467"/>
        <item x="162"/>
        <item x="850"/>
        <item x="273"/>
        <item x="620"/>
        <item x="367"/>
        <item x="803"/>
        <item x="113"/>
        <item x="88"/>
        <item x="966"/>
        <item x="1135"/>
        <item x="646"/>
        <item x="325"/>
        <item x="650"/>
        <item x="1209"/>
        <item x="860"/>
        <item x="1175"/>
        <item x="700"/>
        <item x="166"/>
        <item x="1156"/>
        <item x="421"/>
        <item x="824"/>
        <item x="194"/>
        <item x="759"/>
        <item x="107"/>
        <item x="800"/>
        <item x="1236"/>
        <item x="609"/>
        <item x="256"/>
        <item x="381"/>
        <item x="730"/>
        <item x="960"/>
        <item x="585"/>
        <item x="1133"/>
        <item x="91"/>
        <item x="881"/>
        <item x="499"/>
        <item x="300"/>
        <item x="483"/>
        <item x="954"/>
        <item x="106"/>
        <item x="1057"/>
        <item x="175"/>
        <item x="738"/>
        <item x="943"/>
        <item x="1218"/>
        <item x="1123"/>
        <item x="1075"/>
        <item x="935"/>
        <item x="990"/>
        <item x="204"/>
        <item x="579"/>
        <item x="265"/>
        <item x="460"/>
        <item x="1202"/>
        <item x="319"/>
        <item x="211"/>
        <item x="103"/>
        <item x="406"/>
        <item x="669"/>
        <item x="798"/>
        <item x="848"/>
        <item x="1229"/>
        <item x="297"/>
        <item x="120"/>
        <item x="716"/>
        <item x="450"/>
        <item x="531"/>
        <item x="1065"/>
        <item x="908"/>
        <item x="707"/>
        <item x="148"/>
        <item x="326"/>
        <item x="202"/>
        <item x="25"/>
        <item x="498"/>
        <item x="1050"/>
        <item x="312"/>
        <item x="521"/>
        <item x="566"/>
        <item x="372"/>
        <item x="354"/>
        <item x="638"/>
        <item x="909"/>
        <item x="1190"/>
        <item x="1025"/>
        <item x="391"/>
        <item x="71"/>
        <item x="24"/>
        <item x="1207"/>
        <item x="1030"/>
        <item x="1110"/>
        <item x="150"/>
        <item x="239"/>
        <item x="7"/>
        <item x="80"/>
        <item x="431"/>
        <item x="351"/>
        <item x="285"/>
        <item x="92"/>
        <item x="564"/>
        <item x="487"/>
        <item x="984"/>
        <item x="216"/>
        <item x="417"/>
        <item x="443"/>
        <item x="214"/>
        <item x="778"/>
        <item x="1070"/>
        <item x="712"/>
        <item x="1239"/>
        <item x="183"/>
        <item x="427"/>
        <item x="31"/>
        <item x="1149"/>
        <item x="199"/>
        <item x="475"/>
        <item x="1201"/>
        <item x="209"/>
        <item x="1048"/>
        <item x="21"/>
        <item x="272"/>
        <item x="977"/>
        <item x="576"/>
        <item x="602"/>
        <item x="335"/>
        <item x="696"/>
        <item x="288"/>
        <item x="949"/>
        <item x="838"/>
        <item x="711"/>
        <item x="859"/>
        <item x="1223"/>
        <item x="176"/>
        <item x="164"/>
        <item x="345"/>
        <item x="1147"/>
        <item x="364"/>
        <item x="552"/>
        <item x="270"/>
        <item x="731"/>
        <item x="105"/>
        <item x="1037"/>
        <item x="234"/>
        <item x="951"/>
        <item x="399"/>
        <item x="104"/>
        <item x="967"/>
        <item x="924"/>
        <item x="970"/>
        <item x="1076"/>
        <item x="922"/>
        <item x="374"/>
        <item x="229"/>
        <item x="681"/>
        <item x="263"/>
        <item x="1020"/>
        <item x="1232"/>
        <item x="1082"/>
        <item x="177"/>
        <item x="217"/>
        <item x="788"/>
        <item x="378"/>
        <item x="118"/>
        <item x="228"/>
        <item x="1034"/>
        <item x="52"/>
        <item x="1004"/>
        <item x="764"/>
        <item x="683"/>
        <item x="923"/>
        <item x="461"/>
        <item x="466"/>
        <item x="1106"/>
        <item x="684"/>
        <item x="197"/>
        <item x="1015"/>
        <item x="517"/>
        <item x="1212"/>
        <item x="1241"/>
        <item x="1196"/>
        <item x="1112"/>
        <item x="130"/>
        <item x="872"/>
        <item x="925"/>
        <item x="306"/>
        <item x="857"/>
        <item x="408"/>
        <item x="32"/>
        <item x="628"/>
        <item x="1117"/>
        <item x="1094"/>
        <item x="1187"/>
        <item x="1195"/>
        <item x="571"/>
        <item x="213"/>
        <item x="999"/>
        <item x="501"/>
        <item x="687"/>
        <item x="236"/>
        <item x="1221"/>
        <item x="324"/>
        <item x="994"/>
        <item x="797"/>
        <item x="1107"/>
        <item x="314"/>
        <item x="437"/>
        <item x="100"/>
        <item x="509"/>
        <item x="573"/>
        <item x="1247"/>
        <item x="206"/>
        <item x="452"/>
        <item x="942"/>
        <item x="1056"/>
        <item x="1134"/>
        <item x="1155"/>
        <item x="342"/>
        <item x="847"/>
        <item x="1003"/>
        <item x="757"/>
        <item x="955"/>
        <item x="157"/>
        <item x="663"/>
        <item x="996"/>
        <item x="323"/>
        <item x="407"/>
        <item x="410"/>
        <item x="474"/>
        <item x="1211"/>
        <item x="23"/>
        <item x="678"/>
        <item x="614"/>
        <item x="1227"/>
        <item x="350"/>
        <item x="405"/>
        <item x="899"/>
        <item x="796"/>
        <item x="830"/>
        <item x="839"/>
        <item x="1113"/>
        <item x="334"/>
        <item x="1177"/>
        <item x="804"/>
        <item x="688"/>
        <item x="861"/>
        <item x="266"/>
        <item x="248"/>
        <item x="1038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5"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dataField="1" showAll="0">
      <items count="827">
        <item x="639"/>
        <item x="278"/>
        <item x="769"/>
        <item x="225"/>
        <item x="643"/>
        <item x="146"/>
        <item x="448"/>
        <item x="150"/>
        <item x="232"/>
        <item x="338"/>
        <item x="743"/>
        <item x="719"/>
        <item x="788"/>
        <item x="648"/>
        <item x="52"/>
        <item x="559"/>
        <item x="53"/>
        <item x="739"/>
        <item x="790"/>
        <item x="508"/>
        <item x="151"/>
        <item x="565"/>
        <item x="550"/>
        <item x="572"/>
        <item x="812"/>
        <item x="159"/>
        <item x="148"/>
        <item x="55"/>
        <item x="720"/>
        <item x="516"/>
        <item x="349"/>
        <item x="470"/>
        <item x="446"/>
        <item x="509"/>
        <item x="503"/>
        <item x="276"/>
        <item x="38"/>
        <item x="443"/>
        <item x="29"/>
        <item x="297"/>
        <item x="286"/>
        <item x="442"/>
        <item x="295"/>
        <item x="451"/>
        <item x="716"/>
        <item x="674"/>
        <item x="698"/>
        <item x="416"/>
        <item x="226"/>
        <item x="174"/>
        <item x="742"/>
        <item x="640"/>
        <item x="421"/>
        <item x="551"/>
        <item x="814"/>
        <item x="473"/>
        <item x="725"/>
        <item x="33"/>
        <item x="454"/>
        <item x="726"/>
        <item x="345"/>
        <item x="496"/>
        <item x="554"/>
        <item x="220"/>
        <item x="594"/>
        <item x="504"/>
        <item x="661"/>
        <item x="17"/>
        <item x="793"/>
        <item x="616"/>
        <item x="105"/>
        <item x="357"/>
        <item x="642"/>
        <item x="449"/>
        <item x="552"/>
        <item x="621"/>
        <item x="570"/>
        <item x="230"/>
        <item x="72"/>
        <item x="460"/>
        <item x="617"/>
        <item x="510"/>
        <item x="178"/>
        <item x="186"/>
        <item x="398"/>
        <item x="444"/>
        <item x="27"/>
        <item x="147"/>
        <item x="161"/>
        <item x="74"/>
        <item x="691"/>
        <item x="76"/>
        <item x="215"/>
        <item x="87"/>
        <item x="696"/>
        <item x="618"/>
        <item x="35"/>
        <item x="56"/>
        <item x="721"/>
        <item x="386"/>
        <item x="280"/>
        <item x="167"/>
        <item x="702"/>
        <item x="277"/>
        <item x="331"/>
        <item x="249"/>
        <item x="498"/>
        <item x="381"/>
        <item x="803"/>
        <item x="90"/>
        <item x="293"/>
        <item x="155"/>
        <item x="697"/>
        <item x="382"/>
        <item x="546"/>
        <item x="164"/>
        <item x="259"/>
        <item x="586"/>
        <item x="228"/>
        <item x="815"/>
        <item x="343"/>
        <item x="736"/>
        <item x="745"/>
        <item x="452"/>
        <item x="522"/>
        <item x="723"/>
        <item x="337"/>
        <item x="820"/>
        <item x="0"/>
        <item x="221"/>
        <item x="290"/>
        <item x="579"/>
        <item x="149"/>
        <item x="753"/>
        <item x="341"/>
        <item x="234"/>
        <item x="358"/>
        <item x="703"/>
        <item x="73"/>
        <item x="447"/>
        <item x="520"/>
        <item x="668"/>
        <item x="465"/>
        <item x="499"/>
        <item x="409"/>
        <item x="578"/>
        <item x="415"/>
        <item x="158"/>
        <item x="66"/>
        <item x="587"/>
        <item x="557"/>
        <item x="82"/>
        <item x="418"/>
        <item x="620"/>
        <item x="216"/>
        <item x="94"/>
        <item x="429"/>
        <item x="760"/>
        <item x="395"/>
        <item x="527"/>
        <item x="223"/>
        <item x="353"/>
        <item x="214"/>
        <item x="710"/>
        <item x="777"/>
        <item x="144"/>
        <item x="555"/>
        <item x="553"/>
        <item x="813"/>
        <item x="459"/>
        <item x="392"/>
        <item x="597"/>
        <item x="394"/>
        <item x="170"/>
        <item x="819"/>
        <item x="581"/>
        <item x="83"/>
        <item x="299"/>
        <item x="279"/>
        <item x="160"/>
        <item x="195"/>
        <item x="445"/>
        <item x="453"/>
        <item x="478"/>
        <item x="364"/>
        <item x="58"/>
        <item x="786"/>
        <item x="771"/>
        <item x="600"/>
        <item x="787"/>
        <item x="336"/>
        <item x="233"/>
        <item x="61"/>
        <item x="464"/>
        <item x="145"/>
        <item x="401"/>
        <item x="248"/>
        <item x="471"/>
        <item x="699"/>
        <item x="103"/>
        <item x="422"/>
        <item x="542"/>
        <item x="667"/>
        <item x="57"/>
        <item x="69"/>
        <item x="65"/>
        <item x="662"/>
        <item x="227"/>
        <item x="162"/>
        <item x="450"/>
        <item x="664"/>
        <item x="258"/>
        <item x="521"/>
        <item x="596"/>
        <item x="518"/>
        <item x="472"/>
        <item x="359"/>
        <item x="818"/>
        <item x="3"/>
        <item x="654"/>
        <item x="666"/>
        <item x="1"/>
        <item x="242"/>
        <item x="229"/>
        <item x="624"/>
        <item x="129"/>
        <item x="152"/>
        <item x="335"/>
        <item x="309"/>
        <item x="375"/>
        <item x="729"/>
        <item x="567"/>
        <item x="476"/>
        <item x="537"/>
        <item x="402"/>
        <item x="410"/>
        <item x="330"/>
        <item x="493"/>
        <item x="363"/>
        <item x="100"/>
        <item x="5"/>
        <item x="773"/>
        <item x="40"/>
        <item x="513"/>
        <item x="519"/>
        <item x="484"/>
        <item x="77"/>
        <item x="211"/>
        <item x="675"/>
        <item x="332"/>
        <item x="701"/>
        <item x="679"/>
        <item x="314"/>
        <item x="305"/>
        <item x="213"/>
        <item x="479"/>
        <item x="512"/>
        <item x="11"/>
        <item x="115"/>
        <item x="455"/>
        <item x="517"/>
        <item x="194"/>
        <item x="797"/>
        <item x="632"/>
        <item x="577"/>
        <item x="799"/>
        <item x="236"/>
        <item x="628"/>
        <item x="217"/>
        <item x="663"/>
        <item x="356"/>
        <item x="568"/>
        <item x="91"/>
        <item x="680"/>
        <item x="507"/>
        <item x="63"/>
        <item x="770"/>
        <item x="558"/>
        <item x="396"/>
        <item x="582"/>
        <item x="245"/>
        <item x="334"/>
        <item x="730"/>
        <item x="741"/>
        <item x="287"/>
        <item x="75"/>
        <item x="789"/>
        <item x="352"/>
        <item x="206"/>
        <item x="672"/>
        <item x="400"/>
        <item x="545"/>
        <item x="598"/>
        <item x="176"/>
        <item x="62"/>
        <item x="403"/>
        <item x="526"/>
        <item x="561"/>
        <item x="42"/>
        <item x="435"/>
        <item x="641"/>
        <item x="255"/>
        <item x="125"/>
        <item x="210"/>
        <item x="282"/>
        <item x="603"/>
        <item x="10"/>
        <item x="15"/>
        <item x="67"/>
        <item x="70"/>
        <item x="218"/>
        <item x="619"/>
        <item x="134"/>
        <item x="497"/>
        <item x="502"/>
        <item x="580"/>
        <item x="700"/>
        <item x="188"/>
        <item x="306"/>
        <item x="468"/>
        <item x="495"/>
        <item x="154"/>
        <item x="298"/>
        <item x="339"/>
        <item x="426"/>
        <item x="511"/>
        <item x="342"/>
        <item x="437"/>
        <item x="589"/>
        <item x="374"/>
        <item x="184"/>
        <item x="333"/>
        <item x="535"/>
        <item x="243"/>
        <item x="683"/>
        <item x="440"/>
        <item x="656"/>
        <item x="622"/>
        <item x="20"/>
        <item x="231"/>
        <item x="283"/>
        <item x="482"/>
        <item x="181"/>
        <item x="238"/>
        <item x="22"/>
        <item x="645"/>
        <item x="549"/>
        <item x="296"/>
        <item x="755"/>
        <item x="266"/>
        <item x="383"/>
        <item x="717"/>
        <item x="322"/>
        <item x="783"/>
        <item x="25"/>
        <item x="302"/>
        <item x="237"/>
        <item x="650"/>
        <item x="251"/>
        <item x="168"/>
        <item x="612"/>
        <item x="71"/>
        <item x="408"/>
        <item x="123"/>
        <item x="119"/>
        <item x="791"/>
        <item x="294"/>
        <item x="569"/>
        <item x="762"/>
        <item x="301"/>
        <item x="371"/>
        <item x="68"/>
        <item x="47"/>
        <item x="390"/>
        <item x="646"/>
        <item x="389"/>
        <item x="224"/>
        <item x="500"/>
        <item x="80"/>
        <item x="199"/>
        <item x="41"/>
        <item x="44"/>
        <item x="313"/>
        <item x="738"/>
        <item x="84"/>
        <item x="373"/>
        <item x="291"/>
        <item x="241"/>
        <item x="6"/>
        <item x="143"/>
        <item x="712"/>
        <item x="78"/>
        <item x="113"/>
        <item x="264"/>
        <item x="163"/>
        <item x="222"/>
        <item x="593"/>
        <item x="45"/>
        <item x="436"/>
        <item x="54"/>
        <item x="653"/>
        <item x="303"/>
        <item x="538"/>
        <item x="18"/>
        <item x="180"/>
        <item x="4"/>
        <item x="562"/>
        <item x="724"/>
        <item x="354"/>
        <item x="169"/>
        <item x="804"/>
        <item x="704"/>
        <item x="193"/>
        <item x="506"/>
        <item x="16"/>
        <item x="93"/>
        <item x="772"/>
        <item x="530"/>
        <item x="183"/>
        <item x="573"/>
        <item x="284"/>
        <item x="670"/>
        <item x="461"/>
        <item x="235"/>
        <item x="315"/>
        <item x="644"/>
        <item x="289"/>
        <item x="659"/>
        <item x="14"/>
        <item x="9"/>
        <item x="200"/>
        <item x="256"/>
        <item x="795"/>
        <item x="514"/>
        <item x="173"/>
        <item x="765"/>
        <item x="438"/>
        <item x="387"/>
        <item x="524"/>
        <item x="794"/>
        <item x="104"/>
        <item x="515"/>
        <item x="64"/>
        <item x="406"/>
        <item x="28"/>
        <item x="802"/>
        <item x="647"/>
        <item x="310"/>
        <item x="128"/>
        <item x="623"/>
        <item x="166"/>
        <item x="399"/>
        <item x="718"/>
        <item x="629"/>
        <item x="425"/>
        <item x="483"/>
        <item x="768"/>
        <item x="2"/>
        <item x="124"/>
        <item x="135"/>
        <item x="365"/>
        <item x="49"/>
        <item x="165"/>
        <item x="300"/>
        <item x="404"/>
        <item x="481"/>
        <item x="749"/>
        <item x="671"/>
        <item x="714"/>
        <item x="532"/>
        <item x="792"/>
        <item x="273"/>
        <item x="746"/>
        <item x="424"/>
        <item x="689"/>
        <item x="591"/>
        <item x="391"/>
        <item x="285"/>
        <item x="39"/>
        <item x="268"/>
        <item x="722"/>
        <item x="262"/>
        <item x="110"/>
        <item x="329"/>
        <item x="423"/>
        <item x="384"/>
        <item x="523"/>
        <item x="560"/>
        <item x="752"/>
        <item x="107"/>
        <item x="528"/>
        <item x="281"/>
        <item x="458"/>
        <item x="219"/>
        <item x="649"/>
        <item x="171"/>
        <item x="307"/>
        <item x="533"/>
        <item x="825"/>
        <item x="566"/>
        <item x="153"/>
        <item x="796"/>
        <item x="106"/>
        <item x="85"/>
        <item x="774"/>
        <item x="112"/>
        <item x="346"/>
        <item x="779"/>
        <item x="609"/>
        <item x="198"/>
        <item x="12"/>
        <item x="130"/>
        <item x="715"/>
        <item x="101"/>
        <item x="136"/>
        <item x="197"/>
        <item x="321"/>
        <item x="50"/>
        <item x="48"/>
        <item x="744"/>
        <item x="372"/>
        <item x="637"/>
        <item x="434"/>
        <item x="37"/>
        <item x="385"/>
        <item x="669"/>
        <item x="328"/>
        <item x="263"/>
        <item x="43"/>
        <item x="405"/>
        <item x="735"/>
        <item x="21"/>
        <item x="486"/>
        <item x="348"/>
        <item x="727"/>
        <item x="613"/>
        <item x="687"/>
        <item x="96"/>
        <item x="267"/>
        <item x="543"/>
        <item x="740"/>
        <item x="750"/>
        <item x="212"/>
        <item x="362"/>
        <item x="821"/>
        <item x="79"/>
        <item x="246"/>
        <item x="681"/>
        <item x="60"/>
        <item x="709"/>
        <item x="192"/>
        <item x="505"/>
        <item x="131"/>
        <item x="761"/>
        <item x="747"/>
        <item x="655"/>
        <item x="377"/>
        <item x="417"/>
        <item x="368"/>
        <item x="809"/>
        <item x="556"/>
        <item x="344"/>
        <item x="529"/>
        <item x="541"/>
        <item x="658"/>
        <item x="13"/>
        <item x="610"/>
        <item x="492"/>
        <item x="540"/>
        <item x="351"/>
        <item x="340"/>
        <item x="317"/>
        <item x="157"/>
        <item x="694"/>
        <item x="462"/>
        <item x="480"/>
        <item x="140"/>
        <item x="127"/>
        <item x="544"/>
        <item x="690"/>
        <item x="657"/>
        <item x="388"/>
        <item x="798"/>
        <item x="316"/>
        <item x="754"/>
        <item x="576"/>
        <item x="407"/>
        <item x="758"/>
        <item x="253"/>
        <item x="254"/>
        <item x="585"/>
        <item x="397"/>
        <item x="324"/>
        <item x="308"/>
        <item x="776"/>
        <item x="676"/>
        <item x="564"/>
        <item x="588"/>
        <item x="625"/>
        <item x="469"/>
        <item x="491"/>
        <item x="731"/>
        <item x="501"/>
        <item x="117"/>
        <item x="30"/>
        <item x="89"/>
        <item x="393"/>
        <item x="275"/>
        <item x="187"/>
        <item x="311"/>
        <item x="8"/>
        <item x="19"/>
        <item x="638"/>
        <item x="376"/>
        <item x="660"/>
        <item x="665"/>
        <item x="810"/>
        <item x="201"/>
        <item x="563"/>
        <item x="92"/>
        <item x="633"/>
        <item x="350"/>
        <item x="97"/>
        <item x="592"/>
        <item x="81"/>
        <item x="775"/>
        <item x="431"/>
        <item x="433"/>
        <item x="608"/>
        <item x="706"/>
        <item x="261"/>
        <item x="413"/>
        <item x="767"/>
        <item x="601"/>
        <item x="673"/>
        <item x="652"/>
        <item x="412"/>
        <item x="678"/>
        <item x="823"/>
        <item x="88"/>
        <item x="677"/>
        <item x="156"/>
        <item x="711"/>
        <item x="414"/>
        <item x="304"/>
        <item x="191"/>
        <item x="488"/>
        <item x="590"/>
        <item x="208"/>
        <item x="288"/>
        <item x="651"/>
        <item x="607"/>
        <item x="477"/>
        <item x="571"/>
        <item x="7"/>
        <item x="764"/>
        <item x="595"/>
        <item x="748"/>
        <item x="247"/>
        <item x="102"/>
        <item x="355"/>
        <item x="204"/>
        <item x="244"/>
        <item x="312"/>
        <item x="182"/>
        <item x="318"/>
        <item x="46"/>
        <item x="175"/>
        <item x="108"/>
        <item x="489"/>
        <item x="432"/>
        <item x="584"/>
        <item x="32"/>
        <item x="824"/>
        <item x="583"/>
        <item x="733"/>
        <item x="599"/>
        <item x="419"/>
        <item x="239"/>
        <item x="605"/>
        <item x="630"/>
        <item x="456"/>
        <item x="23"/>
        <item x="95"/>
        <item x="121"/>
        <item x="474"/>
        <item x="494"/>
        <item x="252"/>
        <item x="626"/>
        <item x="257"/>
        <item x="757"/>
        <item x="734"/>
        <item x="370"/>
        <item x="126"/>
        <item x="807"/>
        <item x="109"/>
        <item x="811"/>
        <item x="759"/>
        <item x="272"/>
        <item x="615"/>
        <item x="822"/>
        <item x="475"/>
        <item x="816"/>
        <item x="695"/>
        <item x="292"/>
        <item x="138"/>
        <item x="692"/>
        <item x="686"/>
        <item x="172"/>
        <item x="427"/>
        <item x="684"/>
        <item x="361"/>
        <item x="737"/>
        <item x="457"/>
        <item x="196"/>
        <item x="36"/>
        <item x="270"/>
        <item x="756"/>
        <item x="327"/>
        <item x="685"/>
        <item x="34"/>
        <item x="631"/>
        <item x="782"/>
        <item x="111"/>
        <item x="118"/>
        <item x="240"/>
        <item x="682"/>
        <item x="360"/>
        <item x="463"/>
        <item x="380"/>
        <item x="708"/>
        <item x="688"/>
        <item x="137"/>
        <item x="98"/>
        <item x="525"/>
        <item x="536"/>
        <item x="367"/>
        <item x="369"/>
        <item x="179"/>
        <item x="122"/>
        <item x="189"/>
        <item x="202"/>
        <item x="59"/>
        <item x="428"/>
        <item x="274"/>
        <item x="141"/>
        <item x="487"/>
        <item x="602"/>
        <item x="466"/>
        <item x="347"/>
        <item x="634"/>
        <item x="203"/>
        <item x="766"/>
        <item x="808"/>
        <item x="326"/>
        <item x="366"/>
        <item x="728"/>
        <item x="190"/>
        <item x="751"/>
        <item x="120"/>
        <item x="548"/>
        <item x="778"/>
        <item x="114"/>
        <item x="320"/>
        <item x="732"/>
        <item x="800"/>
        <item x="250"/>
        <item x="693"/>
        <item x="611"/>
        <item x="116"/>
        <item x="636"/>
        <item x="713"/>
        <item x="467"/>
        <item x="604"/>
        <item x="24"/>
        <item x="635"/>
        <item x="133"/>
        <item x="806"/>
        <item x="705"/>
        <item x="539"/>
        <item x="606"/>
        <item x="575"/>
        <item x="271"/>
        <item x="801"/>
        <item x="485"/>
        <item x="26"/>
        <item x="207"/>
        <item x="781"/>
        <item x="420"/>
        <item x="531"/>
        <item x="378"/>
        <item x="265"/>
        <item x="805"/>
        <item x="627"/>
        <item x="142"/>
        <item x="51"/>
        <item x="177"/>
        <item x="785"/>
        <item x="547"/>
        <item x="430"/>
        <item x="260"/>
        <item x="780"/>
        <item x="323"/>
        <item x="205"/>
        <item x="439"/>
        <item x="31"/>
        <item x="325"/>
        <item x="86"/>
        <item x="817"/>
        <item x="784"/>
        <item x="411"/>
        <item x="763"/>
        <item x="319"/>
        <item x="441"/>
        <item x="534"/>
        <item x="707"/>
        <item x="269"/>
        <item x="379"/>
        <item x="614"/>
        <item x="209"/>
        <item x="574"/>
        <item x="132"/>
        <item x="99"/>
        <item x="490"/>
        <item x="185"/>
        <item x="139"/>
        <item t="default"/>
      </items>
    </pivotField>
    <pivotField showAll="0" defaultSubtotal="0">
      <items count="12">
        <item x="3"/>
        <item x="4"/>
        <item x="5"/>
        <item x="6"/>
        <item x="7"/>
        <item x="8"/>
        <item x="9"/>
        <item x="10"/>
        <item x="11"/>
        <item x="0"/>
        <item x="1"/>
        <item x="2"/>
      </items>
    </pivotField>
    <pivotField showAll="0" defaultSubtotal="0">
      <items count="4">
        <item h="1" x="0"/>
        <item h="1" x="1"/>
        <item x="2"/>
        <item h="1" x="3"/>
      </items>
    </pivotField>
    <pivotField showAll="0" defaultSubtota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"/>
  </rowFields>
  <rowItems count="2"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custo_desperdicio_eur" fld="13" baseField="0" baseItem="0"/>
    <dataField name="Soma de quantidade_real_produzida" fld="4" baseField="0" baseItem="0"/>
  </dataFields>
  <formats count="5">
    <format dxfId="136">
      <pivotArea grandRow="1" outline="0" collapsedLevelsAreSubtotals="1" fieldPosition="0"/>
    </format>
    <format dxfId="129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8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27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26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purl.oclc.org/ooxml/spreadsheetml/main" name="Tabela Dinâmica5" cacheId="3" dataOnRows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0">
  <location ref="A80:B108" firstHeaderRow="1" firstDataRow="1" firstDataCol="1"/>
  <pivotFields count="21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14">
        <item h="1" x="12"/>
        <item h="1" x="7"/>
        <item h="1" x="0"/>
        <item x="3"/>
        <item h="1" x="10"/>
        <item h="1" x="8"/>
        <item h="1" x="6"/>
        <item h="1" x="1"/>
        <item h="1" x="2"/>
        <item h="1" x="5"/>
        <item h="1" x="4"/>
        <item h="1" x="9"/>
        <item h="1" x="1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5"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showAll="0"/>
    <pivotField showAll="0" defaultSubtotal="0">
      <items count="12">
        <item x="3"/>
        <item x="4"/>
        <item x="5"/>
        <item x="6"/>
        <item x="7"/>
        <item x="8"/>
        <item x="9"/>
        <item x="10"/>
        <item x="11"/>
        <item x="0"/>
        <item x="1"/>
        <item x="2"/>
      </items>
    </pivotField>
    <pivotField showAll="0" defaultSubtotal="0">
      <items count="4">
        <item h="1" x="0"/>
        <item h="1" x="1"/>
        <item x="2"/>
        <item h="1" x="3"/>
      </items>
    </pivotField>
    <pivotField showAll="0" defaultSubtota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12"/>
  </rowFields>
  <rowItems count="28">
    <i>
      <x/>
    </i>
    <i>
      <x v="1"/>
    </i>
    <i>
      <x v="7"/>
    </i>
    <i>
      <x v="8"/>
    </i>
    <i>
      <x v="10"/>
    </i>
    <i>
      <x v="12"/>
    </i>
    <i>
      <x v="13"/>
    </i>
    <i>
      <x v="16"/>
    </i>
    <i>
      <x v="17"/>
    </i>
    <i>
      <x v="20"/>
    </i>
    <i>
      <x v="22"/>
    </i>
    <i>
      <x v="23"/>
    </i>
    <i>
      <x v="24"/>
    </i>
    <i>
      <x v="26"/>
    </i>
    <i>
      <x v="28"/>
    </i>
    <i>
      <x v="30"/>
    </i>
    <i>
      <x v="32"/>
    </i>
    <i>
      <x v="33"/>
    </i>
    <i>
      <x v="36"/>
    </i>
    <i>
      <x v="38"/>
    </i>
    <i>
      <x v="39"/>
    </i>
    <i>
      <x v="41"/>
    </i>
    <i>
      <x v="43"/>
    </i>
    <i>
      <x v="44"/>
    </i>
    <i>
      <x v="45"/>
    </i>
    <i>
      <x v="46"/>
    </i>
    <i>
      <x v="53"/>
    </i>
    <i t="grand">
      <x/>
    </i>
  </rowItems>
  <colItems count="1">
    <i/>
  </colItems>
  <dataFields count="1">
    <dataField name="Média de desperdicio_pct" fld="5" subtotal="average" baseField="11" baseItem="0"/>
  </dataFields>
  <formats count="2">
    <format dxfId="149">
      <pivotArea grandRow="1" outline="0" collapsedLevelsAreSubtotals="1" fieldPosition="0"/>
    </format>
    <format dxfId="148">
      <pivotArea collapsedLevelsAreSubtotals="1" fieldPosition="0">
        <references count="1">
          <reference field="12" count="0"/>
        </references>
      </pivotArea>
    </format>
  </formats>
  <chartFormats count="4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purl.oclc.org/ooxml/spreadsheetml/main" name="Tabela Dinâmica4" cacheId="3" dataOnRows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5">
  <location ref="A44:B47" firstHeaderRow="1" firstDataRow="1" firstDataCol="1"/>
  <pivotFields count="21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14">
        <item h="1" x="12"/>
        <item h="1" x="7"/>
        <item h="1" x="0"/>
        <item x="3"/>
        <item h="1" x="10"/>
        <item h="1" x="8"/>
        <item h="1" x="6"/>
        <item h="1" x="1"/>
        <item h="1" x="2"/>
        <item h="1" x="5"/>
        <item h="1" x="4"/>
        <item h="1" x="9"/>
        <item h="1" x="11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 defaultSubtota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 defaultSubtotal="0">
      <items count="12">
        <item x="3"/>
        <item x="4"/>
        <item x="5"/>
        <item x="6"/>
        <item x="7"/>
        <item x="8"/>
        <item x="9"/>
        <item x="10"/>
        <item x="11"/>
        <item x="0"/>
        <item x="1"/>
        <item x="2"/>
      </items>
    </pivotField>
    <pivotField showAll="0" defaultSubtotal="0">
      <items count="4">
        <item h="1" x="0"/>
        <item h="1" x="1"/>
        <item x="2"/>
        <item h="1" x="3"/>
      </items>
    </pivotField>
    <pivotField showAll="0" defaultSubtota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name="Impressão com defeito/erro" fld="9" baseField="0" baseItem="394181976"/>
    <dataField name="Embalagens danificadas" fld="7" baseField="0" baseItem="552061560"/>
    <dataField name="Peso não conforme" fld="8" baseField="0" baseItem="528748064"/>
  </dataFields>
  <formats count="2">
    <format dxfId="125">
      <pivotArea outline="0" collapsedLevelsAreSubtotals="1" fieldPosition="0"/>
    </format>
    <format dxfId="124">
      <pivotArea outline="0" collapsedLevelsAreSubtotals="1" fieldPosition="0"/>
    </format>
  </formats>
  <chartFormats count="16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9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2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3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0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3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6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8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purl.oclc.org/ooxml/spreadsheetml/main" name="Tabela Dinâmica3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1">
  <location ref="A61:C75" firstHeaderRow="1" firstDataRow="2" firstDataCol="1"/>
  <pivotFields count="21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 sortType="descending">
      <items count="14">
        <item h="1" x="12"/>
        <item h="1" x="7"/>
        <item h="1" x="0"/>
        <item x="3"/>
        <item h="1" x="10"/>
        <item h="1" x="8"/>
        <item h="1" x="6"/>
        <item h="1" x="1"/>
        <item h="1" x="2"/>
        <item h="1" x="5"/>
        <item h="1" x="4"/>
        <item h="1" x="9"/>
        <item h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/>
    <pivotField axis="axisRow" showAll="0" defaultSubtotal="0">
      <items count="12">
        <item x="3"/>
        <item sd="0" x="4"/>
        <item sd="0" x="5"/>
        <item sd="0" x="6"/>
        <item sd="0" x="7"/>
        <item sd="0" x="8"/>
        <item sd="0" x="9"/>
        <item sd="0" x="10"/>
        <item sd="0" x="11"/>
        <item sd="0" x="0"/>
        <item sd="0" x="1"/>
        <item sd="0" x="2"/>
      </items>
    </pivotField>
    <pivotField axis="axisCol" showAll="0" defaultSubtotal="0">
      <items count="4">
        <item h="1" x="0"/>
        <item h="1" x="1"/>
        <item x="2"/>
        <item h="1" x="3"/>
      </items>
    </pivotField>
    <pivotField showAll="0" defaultSubtotal="0"/>
    <pivotField showAll="0"/>
    <pivotField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5"/>
  </colFields>
  <colItems count="2">
    <i>
      <x v="2"/>
    </i>
    <i t="grand">
      <x/>
    </i>
  </colItems>
  <dataFields count="1">
    <dataField name="Soma de custo_desperdicio_eur" fld="13" baseField="2" baseItem="0" numFmtId="164"/>
  </dataFields>
  <chartFormats count="1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6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purl.oclc.org/ooxml/spreadsheetml/main" name="Tabela Dinâmica2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2">
  <location ref="A20:B22" firstHeaderRow="1" firstDataRow="1" firstDataCol="1"/>
  <pivotFields count="21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 sortType="descending">
      <items count="14">
        <item h="1" x="12"/>
        <item h="1" x="7"/>
        <item h="1" x="0"/>
        <item x="3"/>
        <item h="1" x="10"/>
        <item h="1" x="8"/>
        <item h="1" x="6"/>
        <item h="1" x="1"/>
        <item h="1" x="2"/>
        <item h="1" x="5"/>
        <item h="1" x="4"/>
        <item h="1" x="9"/>
        <item h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/>
    <pivotField showAll="0" defaultSubtotal="0">
      <items count="12">
        <item x="3"/>
        <item x="4"/>
        <item x="5"/>
        <item x="6"/>
        <item x="7"/>
        <item x="8"/>
        <item x="9"/>
        <item x="10"/>
        <item x="11"/>
        <item x="0"/>
        <item x="1"/>
        <item x="2"/>
      </items>
    </pivotField>
    <pivotField showAll="0" defaultSubtotal="0">
      <items count="4">
        <item h="1" x="0"/>
        <item h="1" x="1"/>
        <item x="2"/>
        <item h="1" x="3"/>
      </items>
    </pivotField>
    <pivotField showAll="0" defaultSubtota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2">
    <i>
      <x v="3"/>
    </i>
    <i t="grand">
      <x/>
    </i>
  </rowItems>
  <colItems count="1">
    <i/>
  </colItems>
  <dataFields count="1">
    <dataField name="Soma de custo_desperdicio_eur" fld="13" baseField="2" baseItem="0" numFmtId="164"/>
  </dataFields>
  <chartFormats count="3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purl.oclc.org/ooxml/spreadsheetml/main" name="Tabela Dinâmica7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0">
  <location ref="E3:G5" firstHeaderRow="0" firstDataRow="1" firstDataCol="1"/>
  <pivotFields count="21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14">
        <item h="1" x="12"/>
        <item h="1" x="7"/>
        <item h="1" x="0"/>
        <item x="3"/>
        <item h="1" x="10"/>
        <item h="1" x="8"/>
        <item h="1" x="6"/>
        <item h="1" x="1"/>
        <item h="1" x="2"/>
        <item h="1" x="5"/>
        <item h="1" x="4"/>
        <item h="1" x="9"/>
        <item h="1" x="1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/>
    <pivotField showAll="0" defaultSubtotal="0">
      <items count="12">
        <item x="3"/>
        <item x="4"/>
        <item x="5"/>
        <item x="6"/>
        <item x="7"/>
        <item x="8"/>
        <item x="9"/>
        <item x="10"/>
        <item x="11"/>
        <item x="0"/>
        <item x="1"/>
        <item x="2"/>
      </items>
    </pivotField>
    <pivotField showAll="0" defaultSubtotal="0">
      <items count="4">
        <item h="1" x="0"/>
        <item h="1" x="1"/>
        <item x="2"/>
        <item h="1" x="3"/>
      </items>
    </pivotField>
    <pivotField showAll="0" defaultSubtota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2"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custo_desperdicio_eur" fld="13" baseField="0" baseItem="0"/>
    <dataField name="Soma de desperdicio_m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purl.oclc.org/ooxml/spreadsheetml/main" name="Tabela Dinâmica6" cacheId="3" dataOnRows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A37:A38" firstHeaderRow="1" firstDataRow="1" firstDataCol="0"/>
  <pivotFields count="21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 defaultSubtotal="0">
      <items count="12">
        <item x="3"/>
        <item x="4"/>
        <item x="5"/>
        <item x="6"/>
        <item x="7"/>
        <item x="8"/>
        <item x="9"/>
        <item x="10"/>
        <item x="11"/>
        <item x="0"/>
        <item x="1"/>
        <item x="2"/>
      </items>
    </pivotField>
    <pivotField showAll="0" defaultSubtotal="0">
      <items count="4">
        <item h="1" x="0"/>
        <item h="1" x="1"/>
        <item x="2"/>
        <item h="1" x="3"/>
      </items>
    </pivotField>
    <pivotField dataField="1" showAll="0" defaultSubtota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Média de dias_desde_ultima data" fld="16" subtotal="average" baseField="0" baseItem="555884920" numFmtId="1"/>
  </dataFields>
  <formats count="1">
    <format dxfId="15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purl.oclc.org/ooxml/spreadsheetml/main" name="Tabela Dinâmica1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8">
  <location ref="A3:C5" firstHeaderRow="0" firstDataRow="1" firstDataCol="1"/>
  <pivotFields count="21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14">
        <item h="1" x="12"/>
        <item h="1" x="7"/>
        <item h="1" x="0"/>
        <item x="3"/>
        <item h="1" x="10"/>
        <item h="1" x="8"/>
        <item h="1" x="6"/>
        <item h="1" x="1"/>
        <item h="1" x="2"/>
        <item h="1" x="5"/>
        <item h="1" x="4"/>
        <item h="1" x="9"/>
        <item h="1"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dataField="1" showAll="0" defaultSubtota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 defaultSubtotal="0">
      <items count="12">
        <item x="3"/>
        <item x="4"/>
        <item x="5"/>
        <item x="6"/>
        <item x="7"/>
        <item x="8"/>
        <item x="9"/>
        <item x="10"/>
        <item x="11"/>
        <item x="0"/>
        <item x="1"/>
        <item x="2"/>
      </items>
    </pivotField>
    <pivotField showAll="0" defaultSubtotal="0">
      <items count="4">
        <item h="1" x="0"/>
        <item h="1" x="1"/>
        <item x="2"/>
        <item h="1" x="3"/>
      </items>
    </pivotField>
    <pivotField showAll="0" defaultSubtota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2"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Embalagens Conforme" fld="4" baseField="0" baseItem="557988520"/>
    <dataField name="Total Embalagens Não Conforme" fld="10" baseField="0" baseItem="557986232"/>
  </dataFields>
  <formats count="1">
    <format dxfId="123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10"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purl.oclc.org/ooxml/spreadsheetml/main" mc:Ignorable="x" name="SegmentaçãoDeDados_designacao_produto" sourceName="designacao_produto">
  <pivotTables>
    <pivotTable tabId="4" name="Tabela Dinâmica2"/>
    <pivotTable tabId="4" name="Tabela Dinâmica1"/>
    <pivotTable tabId="4" name="Tabela Dinâmica3"/>
    <pivotTable tabId="4" name="Tabela Dinâmica4"/>
    <pivotTable tabId="4" name="Tabela Dinâmica5"/>
    <pivotTable tabId="4" name="Tabela Dinâmica7"/>
    <pivotTable tabId="4" name="Tabela Dinâmica8"/>
  </pivotTables>
  <data>
    <tabular pivotCacheId="1">
      <items count="13">
        <i x="12"/>
        <i x="7"/>
        <i x="0"/>
        <i x="3" s="1"/>
        <i x="10"/>
        <i x="8"/>
        <i x="6"/>
        <i x="1"/>
        <i x="2"/>
        <i x="5"/>
        <i x="4"/>
        <i x="9"/>
        <i x="1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purl.oclc.org/ooxml/spreadsheetml/main" mc:Ignorable="x" name="SegmentaçãoDeDados_mês" sourceName="mês">
  <pivotTables>
    <pivotTable tabId="4" name="Tabela Dinâmica2"/>
    <pivotTable tabId="4" name="Tabela Dinâmica1"/>
    <pivotTable tabId="4" name="Tabela Dinâmica3"/>
    <pivotTable tabId="4" name="Tabela Dinâmica4"/>
    <pivotTable tabId="4" name="Tabela Dinâmica5"/>
    <pivotTable tabId="4" name="Tabela Dinâmica7"/>
    <pivotTable tabId="4" name="Tabela Dinâmica8"/>
  </pivotTables>
  <data>
    <tabular pivotCacheId="1">
      <items count="12">
        <i x="3" s="1"/>
        <i x="4" s="1"/>
        <i x="5" s="1"/>
        <i x="6" s="1"/>
        <i x="7" s="1"/>
        <i x="8" s="1"/>
        <i x="9" s="1"/>
        <i x="10" s="1"/>
        <i x="11" s="1"/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purl.oclc.org/ooxml/spreadsheetml/main" mc:Ignorable="x" name="SegmentaçãoDeDados_ano" sourceName="ano">
  <pivotTables>
    <pivotTable tabId="4" name="Tabela Dinâmica2"/>
    <pivotTable tabId="4" name="Tabela Dinâmica1"/>
    <pivotTable tabId="4" name="Tabela Dinâmica3"/>
    <pivotTable tabId="4" name="Tabela Dinâmica4"/>
    <pivotTable tabId="4" name="Tabela Dinâmica5"/>
    <pivotTable tabId="4" name="Tabela Dinâmica7"/>
    <pivotTable tabId="4" name="Tabela Dinâmica6"/>
    <pivotTable tabId="4" name="Tabela Dinâmica8"/>
  </pivotTables>
  <data>
    <tabular pivotCacheId="1">
      <items count="4">
        <i x="0"/>
        <i x="1"/>
        <i x="2" s="1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purl.oclc.org/ooxml/spreadsheetml/main" mc:Ignorable="x">
  <slicer name="mês" cache="SegmentaçãoDeDados_mês" caption="mês" columnCount="3" rowHeight="234950"/>
  <slicer name="ano" cache="SegmentaçãoDeDados_ano" caption="ano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purl.oclc.org/ooxml/spreadsheetml/main" mc:Ignorable="x">
  <slicer name="designacao_produto 1" cache="SegmentaçãoDeDados_designacao_produto" caption="designacao_produto" columnCount="2" rowHeight="234950"/>
  <slicer name="mês 1" cache="SegmentaçãoDeDados_mês" caption="mês" columnCount="3" rowHeight="234950"/>
  <slicer name="ano 1" cache="SegmentaçãoDeDados_ano" caption="ano" columnCount="4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purl.oclc.org/ooxml/spreadsheetml/main" mc:Ignorable="x">
  <slicer name="designacao_produto 2" cache="SegmentaçãoDeDados_designacao_produto" caption="designacao_produto" columnCount="7" rowHeight="234950"/>
  <slicer name="mês 2" cache="SegmentaçãoDeDados_mês" caption="mês" columnCount="3" rowHeight="234950"/>
  <slicer name="ano 2" cache="SegmentaçãoDeDados_ano" caption="ano" columnCount="4" rowHeight="234950"/>
</slicers>
</file>

<file path=xl/tables/table1.xml><?xml version="1.0" encoding="utf-8"?>
<table xmlns="http://purl.oclc.org/ooxml/spreadsheetml/main" id="1" name="Fato_Producao" displayName="Fato_Producao" ref="A1:R1793" totalsRowShown="0">
  <autoFilter ref="A1:R1793"/>
  <tableColumns count="18">
    <tableColumn id="1" name="data" dataDxfId="147"/>
    <tableColumn id="2" name="referencia"/>
    <tableColumn id="20" name="designacao_produto" dataDxfId="146">
      <calculatedColumnFormula>VLOOKUP(Fato_Producao[[#This Row],[referencia]], Dim_Produtos!A:B,2,FALSE)</calculatedColumnFormula>
    </tableColumn>
    <tableColumn id="8" name="contador_maquina"/>
    <tableColumn id="9" name="quantidade_real_produzida"/>
    <tableColumn id="10" name="desperdicio_pct" dataDxfId="145"/>
    <tableColumn id="11" name="desperdicio_m" dataDxfId="144"/>
    <tableColumn id="12" name="embalagens_danificadas"/>
    <tableColumn id="13" name="peso_errado"/>
    <tableColumn id="14" name="impressao"/>
    <tableColumn id="6" name="total_embalagens_nao_conforme" dataDxfId="143">
      <calculatedColumnFormula>Fato_Producao[[#This Row],[embalagens_danificadas]]+Fato_Producao[[#This Row],[peso_errado]]+Fato_Producao[[#This Row],[impressao]]</calculatedColumnFormula>
    </tableColumn>
    <tableColumn id="15" name="data_ultima_revisao" dataDxfId="142"/>
    <tableColumn id="16" name="dias_desde_revisao"/>
    <tableColumn id="18" name="custo_desperdicio_eur" dataDxfId="141"/>
    <tableColumn id="4" name="mês" dataDxfId="140">
      <calculatedColumnFormula>TEXT(A2, "mmmm")</calculatedColumnFormula>
    </tableColumn>
    <tableColumn id="3" name="ano" dataDxfId="139">
      <calculatedColumnFormula>YEAR(A2)</calculatedColumnFormula>
    </tableColumn>
    <tableColumn id="5" name="dias_desde_ultima data" dataDxfId="138">
      <calculatedColumnFormula>IF(M3 &gt;= M2, "", M2)</calculatedColumnFormula>
    </tableColumn>
    <tableColumn id="19" name="flag_avaria_erro"/>
  </tableColumns>
  <tableStyleInfo name="TableStyleMedium2" showFirstColumn="0" showLastColumn="0" showRowStripes="1" showColumnStripes="0"/>
</table>
</file>

<file path=xl/tables/table2.xml><?xml version="1.0" encoding="utf-8"?>
<table xmlns="http://purl.oclc.org/ooxml/spreadsheetml/main" id="2" name="Dim_Produtos" displayName="Dim_Produtos" ref="A1:G1793" totalsRowShown="0">
  <autoFilter ref="A1:G1793"/>
  <tableColumns count="7">
    <tableColumn id="2" name="referencia"/>
    <tableColumn id="3" name="designacao"/>
    <tableColumn id="4" name="tipo"/>
    <tableColumn id="5" name="tamanho"/>
    <tableColumn id="6" name="peso_alvo"/>
    <tableColumn id="7" name="tamanho_embalagem"/>
    <tableColumn id="17" name="custo_metro_filme"/>
  </tableColumns>
  <tableStyleInfo name="TableStyleMedium2" showFirstColumn="0" showLastColumn="0" showRowStripes="1" showColumnStripes="0"/>
</table>
</file>

<file path=xl/tables/table3.xml><?xml version="1.0" encoding="utf-8"?>
<table xmlns="http://purl.oclc.org/ooxml/spreadsheetml/main" id="3" name="Dim_Calendario" displayName="Dim_Calendario" ref="A1:E1097" totalsRowShown="0">
  <autoFilter ref="A1:E1097"/>
  <tableColumns count="5">
    <tableColumn id="1" name="Data" dataDxfId="137"/>
    <tableColumn id="2" name="Ano">
      <calculatedColumnFormula>YEAR(A2)</calculatedColumnFormula>
    </tableColumn>
    <tableColumn id="3" name="MesNum">
      <calculatedColumnFormula>MONTH(A2)</calculatedColumnFormula>
    </tableColumn>
    <tableColumn id="4" name="NomeMes">
      <calculatedColumnFormula>TEXT(A2, "mmmm")</calculatedColumnFormula>
    </tableColumn>
    <tableColumn id="5" name="AnoMes">
      <calculatedColumnFormula>TEXT(A2, "aaaa-mm")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purl.oclc.org/ooxml/officeDocument/relationships/pivotTable" Target="../pivotTables/pivotTable8.xml"/><Relationship Id="rId3" Type="http://purl.oclc.org/ooxml/officeDocument/relationships/pivotTable" Target="../pivotTables/pivotTable3.xml"/><Relationship Id="rId7" Type="http://purl.oclc.org/ooxml/officeDocument/relationships/pivotTable" Target="../pivotTables/pivotTable7.xml"/><Relationship Id="rId2" Type="http://purl.oclc.org/ooxml/officeDocument/relationships/pivotTable" Target="../pivotTables/pivotTable2.xml"/><Relationship Id="rId1" Type="http://purl.oclc.org/ooxml/officeDocument/relationships/pivotTable" Target="../pivotTables/pivotTable1.xml"/><Relationship Id="rId6" Type="http://purl.oclc.org/ooxml/officeDocument/relationships/pivotTable" Target="../pivotTables/pivotTable6.xml"/><Relationship Id="rId5" Type="http://purl.oclc.org/ooxml/officeDocument/relationships/pivotTable" Target="../pivotTables/pivotTable5.xml"/><Relationship Id="rId10" Type="http://purl.oclc.org/ooxml/officeDocument/relationships/drawing" Target="../drawings/drawing1.xml"/><Relationship Id="rId4" Type="http://purl.oclc.org/ooxml/officeDocument/relationships/pivotTable" Target="../pivotTables/pivotTable4.xml"/><Relationship Id="rId9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purl.oclc.org/ooxml/officeDocument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purl.oclc.org/ooxml/officeDocument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purl.oclc.org/ooxml/officeDocument/relationships/table" Target="../tables/table1.xml"/><Relationship Id="rId1" Type="http://purl.oclc.org/ooxml/officeDocument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purl.oclc.org/ooxml/officeDocument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purl.oclc.org/ooxml/officeDocument/relationships/table" Target="../tables/table3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2:I156"/>
  <sheetViews>
    <sheetView topLeftCell="A143" workbookViewId="0">
      <selection activeCell="E155" sqref="E155"/>
    </sheetView>
  </sheetViews>
  <sheetFormatPr defaultRowHeight="14.4" x14ac:dyDescent="0.3"/>
  <cols>
    <col min="1" max="1" width="17.21875" customWidth="1"/>
    <col min="2" max="2" width="28.21875" customWidth="1"/>
    <col min="3" max="3" width="32.5546875" customWidth="1"/>
    <col min="4" max="4" width="8" customWidth="1"/>
    <col min="5" max="5" width="17.21875" customWidth="1"/>
    <col min="6" max="6" width="28.21875" customWidth="1"/>
    <col min="7" max="7" width="21.44140625" customWidth="1"/>
    <col min="8" max="8" width="8" customWidth="1"/>
    <col min="9" max="9" width="32.5546875" bestFit="1" customWidth="1"/>
    <col min="10" max="15" width="8" customWidth="1"/>
    <col min="16" max="16" width="9" customWidth="1"/>
    <col min="17" max="19" width="8" customWidth="1"/>
    <col min="20" max="23" width="9" customWidth="1"/>
    <col min="24" max="24" width="8" customWidth="1"/>
    <col min="25" max="25" width="9" customWidth="1"/>
    <col min="26" max="36" width="8" customWidth="1"/>
    <col min="37" max="38" width="9" customWidth="1"/>
    <col min="39" max="42" width="8" customWidth="1"/>
    <col min="43" max="45" width="9" customWidth="1"/>
    <col min="46" max="47" width="8" customWidth="1"/>
    <col min="48" max="48" width="9" customWidth="1"/>
    <col min="49" max="50" width="8" customWidth="1"/>
    <col min="51" max="51" width="9" customWidth="1"/>
    <col min="52" max="56" width="8" customWidth="1"/>
    <col min="57" max="57" width="9" customWidth="1"/>
    <col min="58" max="58" width="8" customWidth="1"/>
    <col min="59" max="61" width="9" customWidth="1"/>
    <col min="62" max="68" width="8" customWidth="1"/>
    <col min="69" max="70" width="9" customWidth="1"/>
    <col min="71" max="72" width="8" customWidth="1"/>
    <col min="73" max="73" width="9" customWidth="1"/>
    <col min="74" max="74" width="8" customWidth="1"/>
    <col min="75" max="75" width="9" customWidth="1"/>
    <col min="76" max="76" width="8" customWidth="1"/>
    <col min="77" max="78" width="9" customWidth="1"/>
    <col min="79" max="81" width="8" customWidth="1"/>
    <col min="82" max="82" width="9" customWidth="1"/>
    <col min="83" max="83" width="8" customWidth="1"/>
    <col min="84" max="84" width="9" customWidth="1"/>
    <col min="85" max="85" width="8" customWidth="1"/>
    <col min="86" max="87" width="9" customWidth="1"/>
    <col min="88" max="92" width="8" customWidth="1"/>
    <col min="93" max="94" width="9" customWidth="1"/>
    <col min="95" max="96" width="8" customWidth="1"/>
    <col min="97" max="97" width="9" customWidth="1"/>
    <col min="98" max="99" width="8" customWidth="1"/>
    <col min="100" max="100" width="9" customWidth="1"/>
    <col min="101" max="103" width="8" customWidth="1"/>
    <col min="104" max="104" width="9" customWidth="1"/>
    <col min="105" max="109" width="8" customWidth="1"/>
    <col min="110" max="112" width="9" customWidth="1"/>
    <col min="113" max="114" width="8" customWidth="1"/>
    <col min="115" max="116" width="9" customWidth="1"/>
    <col min="117" max="121" width="8" customWidth="1"/>
    <col min="122" max="122" width="9" customWidth="1"/>
    <col min="123" max="124" width="8" customWidth="1"/>
    <col min="125" max="125" width="9" customWidth="1"/>
    <col min="126" max="127" width="8" customWidth="1"/>
    <col min="128" max="128" width="9" customWidth="1"/>
    <col min="129" max="132" width="8" customWidth="1"/>
    <col min="133" max="133" width="9" customWidth="1"/>
    <col min="134" max="134" width="8" customWidth="1"/>
    <col min="135" max="139" width="9" customWidth="1"/>
    <col min="140" max="140" width="8" customWidth="1"/>
    <col min="141" max="142" width="9" customWidth="1"/>
    <col min="143" max="143" width="8" customWidth="1"/>
    <col min="144" max="145" width="9" customWidth="1"/>
    <col min="146" max="147" width="8" customWidth="1"/>
    <col min="148" max="149" width="9" customWidth="1"/>
    <col min="150" max="150" width="8" customWidth="1"/>
    <col min="151" max="151" width="9" customWidth="1"/>
    <col min="152" max="152" width="8" customWidth="1"/>
    <col min="153" max="153" width="9" customWidth="1"/>
    <col min="154" max="163" width="8" customWidth="1"/>
    <col min="164" max="164" width="9" customWidth="1"/>
    <col min="165" max="165" width="8" customWidth="1"/>
    <col min="166" max="166" width="9" customWidth="1"/>
    <col min="167" max="168" width="8" customWidth="1"/>
    <col min="169" max="169" width="9" customWidth="1"/>
    <col min="170" max="170" width="8" customWidth="1"/>
    <col min="171" max="171" width="9" customWidth="1"/>
    <col min="172" max="174" width="8" customWidth="1"/>
    <col min="175" max="175" width="9" customWidth="1"/>
    <col min="176" max="181" width="8" customWidth="1"/>
    <col min="182" max="183" width="9" customWidth="1"/>
    <col min="184" max="184" width="8" customWidth="1"/>
    <col min="185" max="185" width="9" customWidth="1"/>
    <col min="186" max="189" width="8" customWidth="1"/>
    <col min="190" max="190" width="9" customWidth="1"/>
    <col min="191" max="191" width="8" customWidth="1"/>
    <col min="192" max="192" width="9" customWidth="1"/>
    <col min="193" max="193" width="8" customWidth="1"/>
    <col min="194" max="195" width="9" customWidth="1"/>
    <col min="196" max="200" width="8" customWidth="1"/>
    <col min="201" max="201" width="9" customWidth="1"/>
    <col min="202" max="207" width="8" customWidth="1"/>
    <col min="208" max="209" width="9" customWidth="1"/>
    <col min="210" max="210" width="8" customWidth="1"/>
    <col min="211" max="211" width="9" customWidth="1"/>
    <col min="212" max="214" width="8" customWidth="1"/>
    <col min="215" max="215" width="9" customWidth="1"/>
    <col min="216" max="219" width="8" customWidth="1"/>
    <col min="220" max="221" width="9" customWidth="1"/>
    <col min="222" max="223" width="8" customWidth="1"/>
    <col min="224" max="224" width="9" customWidth="1"/>
    <col min="225" max="225" width="8" customWidth="1"/>
    <col min="226" max="226" width="9" customWidth="1"/>
    <col min="227" max="228" width="8" customWidth="1"/>
    <col min="229" max="230" width="9" customWidth="1"/>
    <col min="231" max="232" width="8" customWidth="1"/>
    <col min="233" max="233" width="9" customWidth="1"/>
    <col min="234" max="238" width="8" customWidth="1"/>
    <col min="239" max="240" width="9" customWidth="1"/>
    <col min="241" max="242" width="8" customWidth="1"/>
    <col min="243" max="244" width="9" customWidth="1"/>
    <col min="245" max="245" width="8" customWidth="1"/>
    <col min="246" max="246" width="9" customWidth="1"/>
    <col min="247" max="247" width="8" customWidth="1"/>
    <col min="248" max="248" width="9" customWidth="1"/>
    <col min="249" max="249" width="8" customWidth="1"/>
    <col min="250" max="250" width="9" customWidth="1"/>
    <col min="251" max="251" width="8" customWidth="1"/>
    <col min="252" max="253" width="9" customWidth="1"/>
    <col min="254" max="254" width="8" customWidth="1"/>
    <col min="255" max="256" width="9" customWidth="1"/>
    <col min="257" max="265" width="8" customWidth="1"/>
    <col min="266" max="268" width="9" customWidth="1"/>
    <col min="269" max="271" width="8" customWidth="1"/>
    <col min="272" max="272" width="9" customWidth="1"/>
    <col min="273" max="274" width="8" customWidth="1"/>
    <col min="275" max="275" width="9" customWidth="1"/>
    <col min="276" max="277" width="8" customWidth="1"/>
    <col min="278" max="278" width="9" customWidth="1"/>
    <col min="279" max="279" width="8" customWidth="1"/>
    <col min="280" max="280" width="9" customWidth="1"/>
    <col min="281" max="281" width="8" customWidth="1"/>
    <col min="282" max="284" width="9" customWidth="1"/>
    <col min="285" max="289" width="8" customWidth="1"/>
    <col min="290" max="292" width="9" customWidth="1"/>
    <col min="293" max="295" width="8" customWidth="1"/>
    <col min="296" max="298" width="9" customWidth="1"/>
    <col min="299" max="300" width="8" customWidth="1"/>
    <col min="301" max="301" width="9" customWidth="1"/>
    <col min="302" max="303" width="8" customWidth="1"/>
    <col min="304" max="305" width="9" customWidth="1"/>
    <col min="306" max="306" width="8" customWidth="1"/>
    <col min="307" max="307" width="9" customWidth="1"/>
    <col min="308" max="310" width="8" customWidth="1"/>
    <col min="311" max="312" width="9" customWidth="1"/>
    <col min="313" max="315" width="8" customWidth="1"/>
    <col min="316" max="316" width="9" customWidth="1"/>
    <col min="317" max="317" width="8" customWidth="1"/>
    <col min="318" max="318" width="9" customWidth="1"/>
    <col min="319" max="325" width="8" customWidth="1"/>
    <col min="326" max="326" width="9" customWidth="1"/>
    <col min="327" max="331" width="8" customWidth="1"/>
    <col min="332" max="335" width="9" customWidth="1"/>
    <col min="336" max="337" width="8" customWidth="1"/>
    <col min="338" max="338" width="9" customWidth="1"/>
    <col min="339" max="339" width="8" customWidth="1"/>
    <col min="340" max="340" width="9" customWidth="1"/>
    <col min="341" max="342" width="8" customWidth="1"/>
    <col min="343" max="343" width="9" customWidth="1"/>
    <col min="344" max="344" width="8" customWidth="1"/>
    <col min="345" max="345" width="9" customWidth="1"/>
    <col min="346" max="346" width="8" customWidth="1"/>
    <col min="347" max="347" width="9" customWidth="1"/>
    <col min="348" max="348" width="8" customWidth="1"/>
    <col min="349" max="350" width="9" customWidth="1"/>
    <col min="351" max="353" width="8" customWidth="1"/>
    <col min="354" max="355" width="9" customWidth="1"/>
    <col min="356" max="356" width="8" customWidth="1"/>
    <col min="357" max="357" width="9" customWidth="1"/>
    <col min="358" max="358" width="8" customWidth="1"/>
    <col min="359" max="359" width="9" customWidth="1"/>
    <col min="360" max="360" width="8" customWidth="1"/>
    <col min="361" max="361" width="9" customWidth="1"/>
    <col min="362" max="362" width="8" customWidth="1"/>
    <col min="363" max="365" width="9" customWidth="1"/>
    <col min="366" max="367" width="8" customWidth="1"/>
    <col min="368" max="371" width="9" customWidth="1"/>
    <col min="372" max="372" width="8" customWidth="1"/>
    <col min="373" max="375" width="9" customWidth="1"/>
    <col min="376" max="376" width="8" customWidth="1"/>
    <col min="377" max="382" width="9" customWidth="1"/>
    <col min="383" max="383" width="8" customWidth="1"/>
    <col min="384" max="384" width="9" customWidth="1"/>
    <col min="385" max="386" width="8" customWidth="1"/>
    <col min="387" max="390" width="9" customWidth="1"/>
    <col min="391" max="393" width="8" customWidth="1"/>
    <col min="394" max="396" width="9" customWidth="1"/>
    <col min="397" max="397" width="8" customWidth="1"/>
    <col min="398" max="400" width="9" customWidth="1"/>
    <col min="401" max="401" width="8" customWidth="1"/>
    <col min="402" max="402" width="9" customWidth="1"/>
    <col min="403" max="403" width="8" customWidth="1"/>
    <col min="404" max="404" width="9" customWidth="1"/>
    <col min="405" max="407" width="8" customWidth="1"/>
    <col min="408" max="408" width="9" customWidth="1"/>
    <col min="409" max="409" width="8" customWidth="1"/>
    <col min="410" max="411" width="9" customWidth="1"/>
    <col min="412" max="413" width="8" customWidth="1"/>
    <col min="414" max="414" width="9" customWidth="1"/>
    <col min="415" max="415" width="8" customWidth="1"/>
    <col min="416" max="416" width="9" customWidth="1"/>
    <col min="417" max="417" width="8" customWidth="1"/>
    <col min="418" max="421" width="9" customWidth="1"/>
    <col min="422" max="424" width="8" customWidth="1"/>
    <col min="425" max="432" width="9" customWidth="1"/>
    <col min="433" max="435" width="8" customWidth="1"/>
    <col min="436" max="436" width="9" customWidth="1"/>
    <col min="437" max="437" width="8" customWidth="1"/>
    <col min="438" max="441" width="9" customWidth="1"/>
    <col min="442" max="443" width="8" customWidth="1"/>
    <col min="444" max="444" width="9" customWidth="1"/>
    <col min="445" max="445" width="8" customWidth="1"/>
    <col min="446" max="446" width="9" customWidth="1"/>
    <col min="447" max="447" width="8" customWidth="1"/>
    <col min="448" max="450" width="9" customWidth="1"/>
    <col min="451" max="451" width="8" customWidth="1"/>
    <col min="452" max="454" width="9" customWidth="1"/>
    <col min="455" max="456" width="8" customWidth="1"/>
    <col min="457" max="459" width="9" customWidth="1"/>
    <col min="460" max="460" width="8" customWidth="1"/>
    <col min="461" max="461" width="9" customWidth="1"/>
    <col min="462" max="464" width="8" customWidth="1"/>
    <col min="465" max="465" width="9" customWidth="1"/>
    <col min="466" max="466" width="8" customWidth="1"/>
    <col min="467" max="470" width="9" customWidth="1"/>
    <col min="471" max="475" width="8" customWidth="1"/>
    <col min="476" max="476" width="9" customWidth="1"/>
    <col min="477" max="477" width="8" customWidth="1"/>
    <col min="478" max="478" width="9" customWidth="1"/>
    <col min="479" max="479" width="8" customWidth="1"/>
    <col min="480" max="480" width="9" customWidth="1"/>
    <col min="481" max="485" width="8" customWidth="1"/>
    <col min="486" max="489" width="9" customWidth="1"/>
    <col min="490" max="490" width="8" customWidth="1"/>
    <col min="491" max="492" width="9" customWidth="1"/>
    <col min="493" max="498" width="8" customWidth="1"/>
    <col min="499" max="500" width="9" customWidth="1"/>
    <col min="501" max="502" width="8" customWidth="1"/>
    <col min="503" max="520" width="9" customWidth="1"/>
    <col min="521" max="521" width="8" customWidth="1"/>
    <col min="522" max="522" width="9" customWidth="1"/>
    <col min="523" max="523" width="8" customWidth="1"/>
    <col min="524" max="525" width="9" customWidth="1"/>
    <col min="526" max="526" width="8" customWidth="1"/>
    <col min="527" max="528" width="9" customWidth="1"/>
    <col min="529" max="531" width="8" customWidth="1"/>
    <col min="532" max="533" width="9" customWidth="1"/>
    <col min="534" max="535" width="8" customWidth="1"/>
    <col min="536" max="536" width="9" customWidth="1"/>
    <col min="537" max="537" width="8" customWidth="1"/>
    <col min="538" max="542" width="9" customWidth="1"/>
    <col min="543" max="543" width="8" customWidth="1"/>
    <col min="544" max="545" width="9" customWidth="1"/>
    <col min="546" max="546" width="8" customWidth="1"/>
    <col min="547" max="550" width="9" customWidth="1"/>
    <col min="551" max="551" width="8" customWidth="1"/>
    <col min="552" max="552" width="9" customWidth="1"/>
    <col min="553" max="555" width="8" customWidth="1"/>
    <col min="556" max="557" width="9" customWidth="1"/>
    <col min="558" max="559" width="8" customWidth="1"/>
    <col min="560" max="563" width="9" customWidth="1"/>
    <col min="564" max="564" width="8" customWidth="1"/>
    <col min="565" max="566" width="9" customWidth="1"/>
    <col min="567" max="567" width="8" customWidth="1"/>
    <col min="568" max="571" width="9" customWidth="1"/>
    <col min="572" max="572" width="8" customWidth="1"/>
    <col min="573" max="576" width="9" customWidth="1"/>
    <col min="577" max="577" width="8" customWidth="1"/>
    <col min="578" max="588" width="9" customWidth="1"/>
    <col min="589" max="589" width="8" customWidth="1"/>
    <col min="590" max="593" width="9" customWidth="1"/>
    <col min="594" max="594" width="8" customWidth="1"/>
    <col min="595" max="597" width="9" customWidth="1"/>
    <col min="598" max="600" width="8" customWidth="1"/>
    <col min="601" max="601" width="9" customWidth="1"/>
    <col min="602" max="603" width="8" customWidth="1"/>
    <col min="604" max="608" width="9" customWidth="1"/>
    <col min="609" max="609" width="8" customWidth="1"/>
    <col min="610" max="612" width="9" customWidth="1"/>
    <col min="613" max="613" width="8" customWidth="1"/>
    <col min="614" max="616" width="9" customWidth="1"/>
    <col min="617" max="617" width="8" customWidth="1"/>
    <col min="618" max="624" width="9" customWidth="1"/>
    <col min="625" max="628" width="8" customWidth="1"/>
    <col min="629" max="630" width="9" customWidth="1"/>
    <col min="631" max="636" width="8" customWidth="1"/>
    <col min="637" max="638" width="9" customWidth="1"/>
    <col min="639" max="640" width="8" customWidth="1"/>
    <col min="641" max="642" width="9" customWidth="1"/>
    <col min="643" max="643" width="8" customWidth="1"/>
    <col min="644" max="645" width="9" customWidth="1"/>
    <col min="646" max="646" width="8" customWidth="1"/>
    <col min="647" max="649" width="9" customWidth="1"/>
    <col min="650" max="650" width="8" customWidth="1"/>
    <col min="651" max="652" width="9" customWidth="1"/>
    <col min="653" max="653" width="8" customWidth="1"/>
    <col min="654" max="657" width="9" customWidth="1"/>
    <col min="658" max="658" width="8" customWidth="1"/>
    <col min="659" max="659" width="9" customWidth="1"/>
    <col min="660" max="660" width="8" customWidth="1"/>
    <col min="661" max="663" width="9" customWidth="1"/>
    <col min="664" max="664" width="8" customWidth="1"/>
    <col min="665" max="666" width="9" customWidth="1"/>
    <col min="667" max="667" width="8" customWidth="1"/>
    <col min="668" max="668" width="9" customWidth="1"/>
    <col min="669" max="669" width="8" customWidth="1"/>
    <col min="670" max="671" width="9" customWidth="1"/>
    <col min="672" max="672" width="8" customWidth="1"/>
    <col min="673" max="673" width="9" customWidth="1"/>
    <col min="674" max="674" width="8" customWidth="1"/>
    <col min="675" max="676" width="9" customWidth="1"/>
    <col min="677" max="678" width="8" customWidth="1"/>
    <col min="679" max="682" width="9" customWidth="1"/>
    <col min="683" max="685" width="8" customWidth="1"/>
    <col min="686" max="696" width="9" customWidth="1"/>
    <col min="697" max="697" width="8" customWidth="1"/>
    <col min="698" max="701" width="9" customWidth="1"/>
    <col min="702" max="703" width="8" customWidth="1"/>
    <col min="704" max="704" width="9" customWidth="1"/>
    <col min="705" max="705" width="8" customWidth="1"/>
    <col min="706" max="709" width="9" customWidth="1"/>
    <col min="710" max="710" width="8" customWidth="1"/>
    <col min="711" max="712" width="9" customWidth="1"/>
    <col min="713" max="713" width="8" customWidth="1"/>
    <col min="714" max="719" width="9" customWidth="1"/>
    <col min="720" max="720" width="8" customWidth="1"/>
    <col min="721" max="721" width="9" customWidth="1"/>
    <col min="722" max="722" width="8" customWidth="1"/>
    <col min="723" max="726" width="9" customWidth="1"/>
    <col min="727" max="731" width="8" customWidth="1"/>
    <col min="732" max="737" width="9" customWidth="1"/>
    <col min="738" max="739" width="8" customWidth="1"/>
    <col min="740" max="743" width="9" customWidth="1"/>
    <col min="744" max="746" width="8" customWidth="1"/>
    <col min="747" max="751" width="9" customWidth="1"/>
    <col min="752" max="753" width="8" customWidth="1"/>
    <col min="754" max="754" width="9" customWidth="1"/>
    <col min="755" max="755" width="8" customWidth="1"/>
    <col min="756" max="758" width="9" customWidth="1"/>
    <col min="759" max="759" width="8" customWidth="1"/>
    <col min="760" max="760" width="9" customWidth="1"/>
    <col min="761" max="762" width="8" customWidth="1"/>
    <col min="763" max="764" width="9" customWidth="1"/>
    <col min="765" max="765" width="8" customWidth="1"/>
    <col min="766" max="767" width="9" customWidth="1"/>
    <col min="768" max="768" width="8" customWidth="1"/>
    <col min="769" max="779" width="9" customWidth="1"/>
    <col min="780" max="782" width="8" customWidth="1"/>
    <col min="783" max="784" width="9" customWidth="1"/>
    <col min="785" max="785" width="8" customWidth="1"/>
    <col min="786" max="786" width="9" customWidth="1"/>
    <col min="787" max="790" width="8" customWidth="1"/>
    <col min="791" max="791" width="9" customWidth="1"/>
    <col min="792" max="793" width="8" customWidth="1"/>
    <col min="794" max="795" width="9" customWidth="1"/>
    <col min="796" max="796" width="8" customWidth="1"/>
    <col min="797" max="797" width="9" customWidth="1"/>
    <col min="798" max="798" width="8" customWidth="1"/>
    <col min="799" max="799" width="9" customWidth="1"/>
    <col min="800" max="800" width="8" customWidth="1"/>
    <col min="801" max="801" width="9" customWidth="1"/>
    <col min="802" max="803" width="8" customWidth="1"/>
    <col min="804" max="805" width="9" customWidth="1"/>
    <col min="806" max="806" width="8" customWidth="1"/>
    <col min="807" max="807" width="9" customWidth="1"/>
    <col min="808" max="808" width="8" customWidth="1"/>
    <col min="809" max="809" width="9" customWidth="1"/>
    <col min="810" max="810" width="8" customWidth="1"/>
    <col min="811" max="814" width="9" customWidth="1"/>
    <col min="815" max="815" width="8" customWidth="1"/>
    <col min="816" max="817" width="9" customWidth="1"/>
    <col min="818" max="818" width="8" customWidth="1"/>
    <col min="819" max="828" width="9" customWidth="1"/>
    <col min="829" max="829" width="8" customWidth="1"/>
    <col min="830" max="830" width="9" customWidth="1"/>
    <col min="831" max="831" width="8" customWidth="1"/>
    <col min="832" max="832" width="9" customWidth="1"/>
    <col min="833" max="834" width="8" customWidth="1"/>
    <col min="835" max="838" width="9" customWidth="1"/>
    <col min="839" max="839" width="8" customWidth="1"/>
    <col min="840" max="841" width="9" customWidth="1"/>
    <col min="842" max="842" width="8" customWidth="1"/>
    <col min="843" max="849" width="9" customWidth="1"/>
    <col min="850" max="851" width="8" customWidth="1"/>
    <col min="852" max="855" width="9" customWidth="1"/>
    <col min="856" max="857" width="8" customWidth="1"/>
    <col min="858" max="859" width="9" customWidth="1"/>
    <col min="860" max="862" width="8" customWidth="1"/>
    <col min="863" max="863" width="9" customWidth="1"/>
    <col min="864" max="864" width="8" customWidth="1"/>
    <col min="865" max="868" width="9" customWidth="1"/>
    <col min="869" max="874" width="8" customWidth="1"/>
    <col min="875" max="877" width="9" customWidth="1"/>
    <col min="878" max="878" width="8" customWidth="1"/>
    <col min="879" max="882" width="9" customWidth="1"/>
    <col min="883" max="883" width="8" customWidth="1"/>
    <col min="884" max="900" width="9" customWidth="1"/>
    <col min="901" max="902" width="8" customWidth="1"/>
    <col min="903" max="907" width="9" customWidth="1"/>
    <col min="908" max="908" width="8" customWidth="1"/>
    <col min="909" max="911" width="9" customWidth="1"/>
    <col min="912" max="912" width="8" customWidth="1"/>
    <col min="913" max="917" width="9" customWidth="1"/>
    <col min="918" max="918" width="8" customWidth="1"/>
    <col min="919" max="922" width="9" customWidth="1"/>
    <col min="923" max="923" width="8" customWidth="1"/>
    <col min="924" max="926" width="9" customWidth="1"/>
    <col min="927" max="927" width="8" customWidth="1"/>
    <col min="928" max="928" width="9" customWidth="1"/>
    <col min="929" max="930" width="8" customWidth="1"/>
    <col min="931" max="931" width="9" customWidth="1"/>
    <col min="932" max="933" width="8" customWidth="1"/>
    <col min="934" max="935" width="9" customWidth="1"/>
    <col min="936" max="936" width="8" customWidth="1"/>
    <col min="937" max="939" width="9" customWidth="1"/>
    <col min="940" max="940" width="8" customWidth="1"/>
    <col min="941" max="944" width="9" customWidth="1"/>
    <col min="945" max="945" width="8" customWidth="1"/>
    <col min="946" max="950" width="9" customWidth="1"/>
    <col min="951" max="953" width="8" customWidth="1"/>
    <col min="954" max="965" width="9" customWidth="1"/>
    <col min="966" max="966" width="8" customWidth="1"/>
    <col min="967" max="971" width="9" customWidth="1"/>
    <col min="972" max="972" width="8" customWidth="1"/>
    <col min="973" max="977" width="9" customWidth="1"/>
    <col min="978" max="980" width="8" customWidth="1"/>
    <col min="981" max="991" width="9" customWidth="1"/>
    <col min="992" max="992" width="8" customWidth="1"/>
    <col min="993" max="993" width="9" customWidth="1"/>
    <col min="994" max="995" width="8" customWidth="1"/>
    <col min="996" max="997" width="9" customWidth="1"/>
    <col min="998" max="1000" width="8" customWidth="1"/>
    <col min="1001" max="1002" width="9" customWidth="1"/>
    <col min="1003" max="1003" width="8" customWidth="1"/>
    <col min="1004" max="1016" width="9" customWidth="1"/>
    <col min="1017" max="1018" width="8" customWidth="1"/>
    <col min="1019" max="1026" width="9" customWidth="1"/>
    <col min="1027" max="1027" width="8" customWidth="1"/>
    <col min="1028" max="1028" width="9" customWidth="1"/>
    <col min="1029" max="1030" width="8" customWidth="1"/>
    <col min="1031" max="1031" width="9" customWidth="1"/>
    <col min="1032" max="1033" width="8" customWidth="1"/>
    <col min="1034" max="1034" width="9" customWidth="1"/>
    <col min="1035" max="1035" width="8" customWidth="1"/>
    <col min="1036" max="1036" width="9" customWidth="1"/>
    <col min="1037" max="1037" width="8" customWidth="1"/>
    <col min="1038" max="1040" width="9" customWidth="1"/>
    <col min="1041" max="1041" width="8" customWidth="1"/>
    <col min="1042" max="1042" width="9" customWidth="1"/>
    <col min="1043" max="1043" width="8" customWidth="1"/>
    <col min="1044" max="1046" width="9" customWidth="1"/>
    <col min="1047" max="1047" width="8" customWidth="1"/>
    <col min="1048" max="1050" width="9" customWidth="1"/>
    <col min="1051" max="1051" width="8" customWidth="1"/>
    <col min="1052" max="1056" width="9" customWidth="1"/>
    <col min="1057" max="1057" width="8" customWidth="1"/>
    <col min="1058" max="1059" width="9" customWidth="1"/>
    <col min="1060" max="1060" width="8" customWidth="1"/>
    <col min="1061" max="1061" width="9" customWidth="1"/>
    <col min="1062" max="1062" width="8" customWidth="1"/>
    <col min="1063" max="1069" width="9" customWidth="1"/>
    <col min="1070" max="1071" width="8" customWidth="1"/>
    <col min="1072" max="1075" width="9" customWidth="1"/>
    <col min="1076" max="1076" width="8" customWidth="1"/>
    <col min="1077" max="1085" width="9" customWidth="1"/>
    <col min="1086" max="1087" width="8" customWidth="1"/>
    <col min="1088" max="1112" width="9" customWidth="1"/>
    <col min="1113" max="1114" width="8" customWidth="1"/>
    <col min="1115" max="1127" width="9" customWidth="1"/>
    <col min="1128" max="1128" width="8" customWidth="1"/>
    <col min="1129" max="1130" width="9" customWidth="1"/>
    <col min="1131" max="1131" width="8" customWidth="1"/>
    <col min="1132" max="1133" width="9" customWidth="1"/>
    <col min="1134" max="1134" width="8" customWidth="1"/>
    <col min="1135" max="1136" width="9" customWidth="1"/>
    <col min="1137" max="1137" width="8" customWidth="1"/>
    <col min="1138" max="1139" width="9" customWidth="1"/>
    <col min="1140" max="1140" width="8" customWidth="1"/>
    <col min="1141" max="1142" width="9" customWidth="1"/>
    <col min="1143" max="1143" width="8" customWidth="1"/>
    <col min="1144" max="1155" width="9" customWidth="1"/>
    <col min="1156" max="1156" width="8" customWidth="1"/>
    <col min="1157" max="1172" width="9" customWidth="1"/>
    <col min="1173" max="1173" width="8" customWidth="1"/>
    <col min="1174" max="1180" width="9" customWidth="1"/>
    <col min="1181" max="1182" width="8" customWidth="1"/>
    <col min="1183" max="1192" width="9" customWidth="1"/>
    <col min="1193" max="1193" width="8" customWidth="1"/>
    <col min="1194" max="1201" width="9" customWidth="1"/>
    <col min="1202" max="1204" width="8" customWidth="1"/>
    <col min="1205" max="1213" width="9" customWidth="1"/>
    <col min="1214" max="1215" width="8" customWidth="1"/>
    <col min="1216" max="1219" width="9" customWidth="1"/>
    <col min="1220" max="1220" width="8" customWidth="1"/>
    <col min="1221" max="1223" width="9" customWidth="1"/>
    <col min="1224" max="1226" width="8" customWidth="1"/>
    <col min="1227" max="1227" width="9" customWidth="1"/>
    <col min="1228" max="1228" width="8" customWidth="1"/>
    <col min="1229" max="1230" width="9" customWidth="1"/>
    <col min="1231" max="1231" width="8" customWidth="1"/>
    <col min="1232" max="1232" width="9" customWidth="1"/>
    <col min="1233" max="1233" width="8" customWidth="1"/>
    <col min="1234" max="1234" width="9" customWidth="1"/>
    <col min="1235" max="1241" width="8" customWidth="1"/>
    <col min="1242" max="1242" width="9" customWidth="1"/>
    <col min="1243" max="1245" width="8" customWidth="1"/>
    <col min="1246" max="1246" width="9" customWidth="1"/>
    <col min="1247" max="1250" width="8" customWidth="1"/>
    <col min="1251" max="1251" width="12" customWidth="1"/>
    <col min="1252" max="1252" width="7" customWidth="1"/>
    <col min="1253" max="1253" width="9.6640625" bestFit="1" customWidth="1"/>
    <col min="1254" max="1254" width="7" customWidth="1"/>
    <col min="1255" max="1255" width="6" customWidth="1"/>
    <col min="1256" max="1256" width="9.6640625" bestFit="1" customWidth="1"/>
    <col min="1257" max="1257" width="7" customWidth="1"/>
    <col min="1258" max="1258" width="9.6640625" bestFit="1" customWidth="1"/>
    <col min="1259" max="1259" width="7" customWidth="1"/>
    <col min="1260" max="1260" width="9.6640625" bestFit="1" customWidth="1"/>
    <col min="1261" max="1261" width="7" customWidth="1"/>
    <col min="1262" max="1262" width="5" customWidth="1"/>
    <col min="1263" max="1263" width="6" customWidth="1"/>
    <col min="1264" max="1264" width="5" customWidth="1"/>
    <col min="1265" max="1265" width="9.6640625" bestFit="1" customWidth="1"/>
    <col min="1266" max="1266" width="7" customWidth="1"/>
    <col min="1267" max="1267" width="6" customWidth="1"/>
    <col min="1268" max="1268" width="9.6640625" bestFit="1" customWidth="1"/>
    <col min="1269" max="1269" width="7" customWidth="1"/>
    <col min="1270" max="1270" width="5" customWidth="1"/>
    <col min="1271" max="1271" width="4" customWidth="1"/>
    <col min="1272" max="1273" width="6" customWidth="1"/>
    <col min="1274" max="1274" width="9.6640625" bestFit="1" customWidth="1"/>
    <col min="1275" max="1275" width="7" customWidth="1"/>
    <col min="1276" max="1276" width="5" customWidth="1"/>
    <col min="1277" max="1277" width="9.6640625" bestFit="1" customWidth="1"/>
    <col min="1278" max="1278" width="7" customWidth="1"/>
    <col min="1279" max="1279" width="6" customWidth="1"/>
    <col min="1280" max="1280" width="9.6640625" bestFit="1" customWidth="1"/>
    <col min="1281" max="1281" width="7" customWidth="1"/>
    <col min="1282" max="1282" width="6" customWidth="1"/>
    <col min="1283" max="1283" width="9.6640625" bestFit="1" customWidth="1"/>
    <col min="1284" max="1284" width="7" customWidth="1"/>
    <col min="1285" max="1285" width="9.6640625" bestFit="1" customWidth="1"/>
    <col min="1286" max="1286" width="7" customWidth="1"/>
    <col min="1287" max="1287" width="9.6640625" bestFit="1" customWidth="1"/>
    <col min="1288" max="1288" width="7" customWidth="1"/>
    <col min="1289" max="1289" width="5" customWidth="1"/>
    <col min="1290" max="1290" width="9.6640625" bestFit="1" customWidth="1"/>
    <col min="1291" max="1291" width="7" customWidth="1"/>
    <col min="1292" max="1292" width="9.6640625" bestFit="1" customWidth="1"/>
    <col min="1293" max="1293" width="7" customWidth="1"/>
    <col min="1294" max="1294" width="9.6640625" bestFit="1" customWidth="1"/>
    <col min="1295" max="1295" width="7" customWidth="1"/>
    <col min="1296" max="1296" width="6" customWidth="1"/>
    <col min="1297" max="1297" width="9.6640625" bestFit="1" customWidth="1"/>
    <col min="1298" max="1298" width="7" customWidth="1"/>
    <col min="1299" max="1299" width="9.6640625" bestFit="1" customWidth="1"/>
    <col min="1300" max="1300" width="7" customWidth="1"/>
    <col min="1301" max="1301" width="6" customWidth="1"/>
    <col min="1302" max="1302" width="9.6640625" bestFit="1" customWidth="1"/>
    <col min="1303" max="1303" width="7" customWidth="1"/>
    <col min="1304" max="1304" width="9.6640625" bestFit="1" customWidth="1"/>
    <col min="1305" max="1305" width="7" customWidth="1"/>
    <col min="1306" max="1306" width="9.6640625" bestFit="1" customWidth="1"/>
    <col min="1307" max="1307" width="7" customWidth="1"/>
    <col min="1308" max="1308" width="9.6640625" bestFit="1" customWidth="1"/>
    <col min="1309" max="1309" width="7" customWidth="1"/>
    <col min="1310" max="1310" width="9.6640625" bestFit="1" customWidth="1"/>
    <col min="1311" max="1311" width="7" customWidth="1"/>
    <col min="1312" max="1312" width="5" customWidth="1"/>
    <col min="1313" max="1313" width="9.6640625" bestFit="1" customWidth="1"/>
    <col min="1314" max="1314" width="7" customWidth="1"/>
    <col min="1315" max="1315" width="5" customWidth="1"/>
    <col min="1316" max="1316" width="9.6640625" bestFit="1" customWidth="1"/>
    <col min="1317" max="1317" width="7" customWidth="1"/>
    <col min="1318" max="1318" width="9.6640625" bestFit="1" customWidth="1"/>
    <col min="1319" max="1319" width="7" customWidth="1"/>
    <col min="1320" max="1320" width="9.6640625" bestFit="1" customWidth="1"/>
    <col min="1321" max="1321" width="7" customWidth="1"/>
    <col min="1322" max="1322" width="9.6640625" bestFit="1" customWidth="1"/>
    <col min="1323" max="1323" width="7" customWidth="1"/>
    <col min="1324" max="1324" width="9.6640625" bestFit="1" customWidth="1"/>
    <col min="1325" max="1325" width="7" customWidth="1"/>
    <col min="1326" max="1326" width="6" customWidth="1"/>
    <col min="1327" max="1327" width="9.6640625" bestFit="1" customWidth="1"/>
    <col min="1328" max="1328" width="7" customWidth="1"/>
    <col min="1329" max="1329" width="9.6640625" bestFit="1" customWidth="1"/>
    <col min="1330" max="1330" width="7" customWidth="1"/>
    <col min="1331" max="1331" width="9.6640625" bestFit="1" customWidth="1"/>
    <col min="1332" max="1332" width="7" customWidth="1"/>
    <col min="1333" max="1333" width="9.6640625" bestFit="1" customWidth="1"/>
    <col min="1334" max="1334" width="7" customWidth="1"/>
    <col min="1335" max="1335" width="6" customWidth="1"/>
    <col min="1336" max="1336" width="9.6640625" bestFit="1" customWidth="1"/>
    <col min="1337" max="1337" width="7" customWidth="1"/>
    <col min="1338" max="1338" width="9.6640625" bestFit="1" customWidth="1"/>
    <col min="1339" max="1339" width="7" customWidth="1"/>
    <col min="1340" max="1340" width="9.6640625" bestFit="1" customWidth="1"/>
    <col min="1341" max="1341" width="7" customWidth="1"/>
    <col min="1342" max="1342" width="9.6640625" bestFit="1" customWidth="1"/>
    <col min="1343" max="1343" width="7" customWidth="1"/>
    <col min="1344" max="1344" width="9.6640625" bestFit="1" customWidth="1"/>
    <col min="1345" max="1345" width="7" customWidth="1"/>
    <col min="1346" max="1346" width="9.6640625" bestFit="1" customWidth="1"/>
    <col min="1347" max="1347" width="7" customWidth="1"/>
    <col min="1348" max="1348" width="5" customWidth="1"/>
    <col min="1349" max="1349" width="6" customWidth="1"/>
    <col min="1350" max="1350" width="9.6640625" bestFit="1" customWidth="1"/>
    <col min="1351" max="1351" width="7" customWidth="1"/>
    <col min="1352" max="1352" width="9.6640625" bestFit="1" customWidth="1"/>
    <col min="1353" max="1353" width="7" customWidth="1"/>
    <col min="1354" max="1354" width="9.6640625" bestFit="1" customWidth="1"/>
    <col min="1355" max="1355" width="7" customWidth="1"/>
    <col min="1356" max="1356" width="9.6640625" bestFit="1" customWidth="1"/>
    <col min="1357" max="1357" width="7" customWidth="1"/>
    <col min="1358" max="1358" width="5" customWidth="1"/>
    <col min="1359" max="1359" width="9.6640625" bestFit="1" customWidth="1"/>
    <col min="1360" max="1360" width="7" customWidth="1"/>
    <col min="1361" max="1361" width="9.6640625" bestFit="1" customWidth="1"/>
    <col min="1362" max="1362" width="7" customWidth="1"/>
    <col min="1363" max="1363" width="9.6640625" bestFit="1" customWidth="1"/>
    <col min="1364" max="1364" width="7" customWidth="1"/>
    <col min="1365" max="1365" width="9.6640625" bestFit="1" customWidth="1"/>
    <col min="1366" max="1366" width="7" customWidth="1"/>
    <col min="1367" max="1367" width="5" customWidth="1"/>
    <col min="1368" max="1368" width="9.6640625" bestFit="1" customWidth="1"/>
    <col min="1369" max="1369" width="7" customWidth="1"/>
    <col min="1370" max="1370" width="6" customWidth="1"/>
    <col min="1371" max="1371" width="9.6640625" bestFit="1" customWidth="1"/>
    <col min="1372" max="1372" width="7" customWidth="1"/>
    <col min="1373" max="1373" width="9.6640625" bestFit="1" customWidth="1"/>
    <col min="1374" max="1374" width="7" customWidth="1"/>
    <col min="1375" max="1375" width="9.6640625" bestFit="1" customWidth="1"/>
    <col min="1376" max="1376" width="7" customWidth="1"/>
    <col min="1377" max="1377" width="5" customWidth="1"/>
    <col min="1378" max="1378" width="9.6640625" bestFit="1" customWidth="1"/>
    <col min="1379" max="1379" width="7" customWidth="1"/>
    <col min="1380" max="1380" width="5" customWidth="1"/>
    <col min="1381" max="1381" width="9.6640625" bestFit="1" customWidth="1"/>
    <col min="1382" max="1382" width="7" customWidth="1"/>
    <col min="1383" max="1383" width="5" customWidth="1"/>
    <col min="1384" max="1384" width="9.6640625" bestFit="1" customWidth="1"/>
    <col min="1385" max="1385" width="7" customWidth="1"/>
    <col min="1386" max="1386" width="5" customWidth="1"/>
    <col min="1387" max="1387" width="9.6640625" bestFit="1" customWidth="1"/>
    <col min="1388" max="1388" width="7" customWidth="1"/>
    <col min="1389" max="1389" width="9.6640625" bestFit="1" customWidth="1"/>
    <col min="1390" max="1390" width="7" customWidth="1"/>
    <col min="1391" max="1392" width="6" customWidth="1"/>
    <col min="1393" max="1393" width="9.6640625" bestFit="1" customWidth="1"/>
    <col min="1394" max="1394" width="7" customWidth="1"/>
    <col min="1395" max="1395" width="9.6640625" bestFit="1" customWidth="1"/>
    <col min="1396" max="1396" width="7" customWidth="1"/>
    <col min="1397" max="1397" width="9.6640625" bestFit="1" customWidth="1"/>
    <col min="1398" max="1398" width="7" customWidth="1"/>
    <col min="1399" max="1399" width="9.6640625" bestFit="1" customWidth="1"/>
    <col min="1400" max="1400" width="7" customWidth="1"/>
    <col min="1401" max="1401" width="5" customWidth="1"/>
    <col min="1402" max="1403" width="6" customWidth="1"/>
    <col min="1404" max="1404" width="9.6640625" bestFit="1" customWidth="1"/>
    <col min="1405" max="1405" width="7" customWidth="1"/>
    <col min="1406" max="1406" width="6" customWidth="1"/>
    <col min="1407" max="1407" width="9.6640625" bestFit="1" customWidth="1"/>
    <col min="1408" max="1408" width="7" customWidth="1"/>
    <col min="1409" max="1409" width="6" customWidth="1"/>
    <col min="1410" max="1410" width="9.6640625" bestFit="1" customWidth="1"/>
    <col min="1411" max="1411" width="7" customWidth="1"/>
    <col min="1412" max="1412" width="9.6640625" bestFit="1" customWidth="1"/>
    <col min="1413" max="1413" width="7" customWidth="1"/>
    <col min="1414" max="1414" width="5" customWidth="1"/>
    <col min="1415" max="1415" width="6" customWidth="1"/>
    <col min="1416" max="1416" width="9.6640625" bestFit="1" customWidth="1"/>
    <col min="1417" max="1417" width="7" customWidth="1"/>
    <col min="1418" max="1418" width="6" customWidth="1"/>
    <col min="1419" max="1419" width="9.6640625" bestFit="1" customWidth="1"/>
    <col min="1420" max="1420" width="7" customWidth="1"/>
    <col min="1421" max="1421" width="9.6640625" bestFit="1" customWidth="1"/>
    <col min="1422" max="1422" width="7" customWidth="1"/>
    <col min="1423" max="1424" width="5" customWidth="1"/>
    <col min="1425" max="1425" width="9.6640625" bestFit="1" customWidth="1"/>
    <col min="1426" max="1426" width="7" customWidth="1"/>
    <col min="1427" max="1427" width="9.6640625" bestFit="1" customWidth="1"/>
    <col min="1428" max="1428" width="7" customWidth="1"/>
    <col min="1429" max="1429" width="9.6640625" bestFit="1" customWidth="1"/>
    <col min="1430" max="1430" width="7" customWidth="1"/>
    <col min="1431" max="1431" width="4" customWidth="1"/>
    <col min="1432" max="1432" width="9.6640625" bestFit="1" customWidth="1"/>
    <col min="1433" max="1433" width="7" customWidth="1"/>
    <col min="1434" max="1434" width="5" customWidth="1"/>
    <col min="1435" max="1435" width="9.6640625" bestFit="1" customWidth="1"/>
    <col min="1436" max="1436" width="7" customWidth="1"/>
    <col min="1437" max="1437" width="6" customWidth="1"/>
    <col min="1438" max="1438" width="9.6640625" bestFit="1" customWidth="1"/>
    <col min="1439" max="1439" width="7" customWidth="1"/>
    <col min="1440" max="1440" width="6" customWidth="1"/>
    <col min="1441" max="1441" width="9.6640625" bestFit="1" customWidth="1"/>
    <col min="1442" max="1442" width="7" customWidth="1"/>
    <col min="1443" max="1443" width="5" customWidth="1"/>
    <col min="1444" max="1444" width="9.6640625" bestFit="1" customWidth="1"/>
    <col min="1445" max="1445" width="7" customWidth="1"/>
    <col min="1446" max="1446" width="9.6640625" bestFit="1" customWidth="1"/>
    <col min="1447" max="1447" width="7" customWidth="1"/>
    <col min="1448" max="1448" width="9.6640625" bestFit="1" customWidth="1"/>
    <col min="1449" max="1449" width="7" customWidth="1"/>
    <col min="1450" max="1450" width="9.6640625" bestFit="1" customWidth="1"/>
    <col min="1451" max="1451" width="7" customWidth="1"/>
    <col min="1452" max="1452" width="9.6640625" bestFit="1" customWidth="1"/>
    <col min="1453" max="1453" width="7" customWidth="1"/>
    <col min="1454" max="1454" width="5" customWidth="1"/>
    <col min="1455" max="1455" width="6" customWidth="1"/>
    <col min="1456" max="1456" width="9.6640625" bestFit="1" customWidth="1"/>
    <col min="1457" max="1457" width="7" customWidth="1"/>
    <col min="1458" max="1458" width="9.6640625" bestFit="1" customWidth="1"/>
    <col min="1459" max="1459" width="7" customWidth="1"/>
    <col min="1460" max="1460" width="9.6640625" bestFit="1" customWidth="1"/>
    <col min="1461" max="1461" width="7" customWidth="1"/>
    <col min="1462" max="1462" width="9.6640625" bestFit="1" customWidth="1"/>
    <col min="1463" max="1463" width="7" customWidth="1"/>
    <col min="1464" max="1464" width="5" customWidth="1"/>
    <col min="1465" max="1465" width="6" customWidth="1"/>
    <col min="1466" max="1466" width="9.6640625" bestFit="1" customWidth="1"/>
    <col min="1467" max="1467" width="7" customWidth="1"/>
    <col min="1468" max="1468" width="4" customWidth="1"/>
    <col min="1469" max="1469" width="9.6640625" bestFit="1" customWidth="1"/>
    <col min="1470" max="1470" width="7" customWidth="1"/>
    <col min="1471" max="1471" width="9.6640625" bestFit="1" customWidth="1"/>
    <col min="1472" max="1472" width="7" customWidth="1"/>
    <col min="1473" max="1473" width="6" customWidth="1"/>
    <col min="1474" max="1474" width="9.6640625" bestFit="1" customWidth="1"/>
    <col min="1475" max="1475" width="7" customWidth="1"/>
    <col min="1476" max="1477" width="6" customWidth="1"/>
    <col min="1478" max="1478" width="9.6640625" bestFit="1" customWidth="1"/>
    <col min="1479" max="1479" width="7" customWidth="1"/>
    <col min="1480" max="1480" width="6" customWidth="1"/>
    <col min="1481" max="1481" width="9.6640625" bestFit="1" customWidth="1"/>
    <col min="1482" max="1482" width="7" customWidth="1"/>
    <col min="1483" max="1483" width="9.6640625" bestFit="1" customWidth="1"/>
    <col min="1484" max="1484" width="7" customWidth="1"/>
    <col min="1485" max="1485" width="9.6640625" bestFit="1" customWidth="1"/>
    <col min="1486" max="1486" width="7" customWidth="1"/>
    <col min="1487" max="1487" width="9.6640625" bestFit="1" customWidth="1"/>
    <col min="1488" max="1488" width="7" customWidth="1"/>
    <col min="1489" max="1489" width="9.6640625" bestFit="1" customWidth="1"/>
    <col min="1490" max="1490" width="7" customWidth="1"/>
    <col min="1491" max="1491" width="9.6640625" bestFit="1" customWidth="1"/>
    <col min="1492" max="1492" width="7" customWidth="1"/>
    <col min="1493" max="1493" width="9.6640625" bestFit="1" customWidth="1"/>
    <col min="1494" max="1494" width="7" customWidth="1"/>
    <col min="1495" max="1495" width="6" customWidth="1"/>
    <col min="1496" max="1496" width="9.6640625" bestFit="1" customWidth="1"/>
    <col min="1497" max="1497" width="7" customWidth="1"/>
    <col min="1498" max="1498" width="6" customWidth="1"/>
    <col min="1499" max="1499" width="9.6640625" bestFit="1" customWidth="1"/>
    <col min="1500" max="1500" width="7" customWidth="1"/>
    <col min="1501" max="1501" width="5" customWidth="1"/>
    <col min="1502" max="1502" width="6" customWidth="1"/>
    <col min="1503" max="1503" width="9.6640625" bestFit="1" customWidth="1"/>
    <col min="1504" max="1504" width="7" customWidth="1"/>
    <col min="1505" max="1505" width="9.6640625" bestFit="1" customWidth="1"/>
    <col min="1506" max="1506" width="7" customWidth="1"/>
    <col min="1507" max="1507" width="3" customWidth="1"/>
    <col min="1508" max="1508" width="9.6640625" bestFit="1" customWidth="1"/>
    <col min="1509" max="1509" width="7" customWidth="1"/>
    <col min="1510" max="1510" width="9.6640625" bestFit="1" customWidth="1"/>
    <col min="1511" max="1511" width="7" customWidth="1"/>
    <col min="1512" max="1512" width="9.6640625" bestFit="1" customWidth="1"/>
    <col min="1513" max="1513" width="7" customWidth="1"/>
    <col min="1514" max="1514" width="6" customWidth="1"/>
    <col min="1515" max="1515" width="9.6640625" bestFit="1" customWidth="1"/>
    <col min="1516" max="1516" width="7" customWidth="1"/>
    <col min="1517" max="1518" width="6" customWidth="1"/>
    <col min="1519" max="1519" width="9.6640625" bestFit="1" customWidth="1"/>
    <col min="1520" max="1520" width="7" customWidth="1"/>
    <col min="1521" max="1521" width="9.6640625" bestFit="1" customWidth="1"/>
    <col min="1522" max="1522" width="7" customWidth="1"/>
    <col min="1523" max="1523" width="9.6640625" bestFit="1" customWidth="1"/>
    <col min="1524" max="1524" width="7" customWidth="1"/>
    <col min="1525" max="1526" width="5" customWidth="1"/>
    <col min="1527" max="1527" width="6" customWidth="1"/>
    <col min="1528" max="1528" width="9.6640625" bestFit="1" customWidth="1"/>
    <col min="1529" max="1529" width="7" customWidth="1"/>
    <col min="1530" max="1530" width="9.6640625" bestFit="1" customWidth="1"/>
    <col min="1531" max="1531" width="7" customWidth="1"/>
    <col min="1532" max="1532" width="9.6640625" bestFit="1" customWidth="1"/>
    <col min="1533" max="1533" width="7" customWidth="1"/>
    <col min="1534" max="1535" width="6" customWidth="1"/>
    <col min="1536" max="1536" width="9.6640625" bestFit="1" customWidth="1"/>
    <col min="1537" max="1537" width="7" customWidth="1"/>
    <col min="1538" max="1538" width="9.6640625" bestFit="1" customWidth="1"/>
    <col min="1539" max="1539" width="7" customWidth="1"/>
    <col min="1540" max="1540" width="9.6640625" bestFit="1" customWidth="1"/>
    <col min="1541" max="1541" width="7" customWidth="1"/>
    <col min="1542" max="1542" width="9.6640625" bestFit="1" customWidth="1"/>
    <col min="1543" max="1543" width="7" customWidth="1"/>
    <col min="1544" max="1544" width="9.6640625" bestFit="1" customWidth="1"/>
    <col min="1545" max="1545" width="7" customWidth="1"/>
    <col min="1546" max="1546" width="9.6640625" bestFit="1" customWidth="1"/>
    <col min="1547" max="1547" width="7" customWidth="1"/>
    <col min="1548" max="1548" width="6" customWidth="1"/>
    <col min="1549" max="1549" width="9.6640625" bestFit="1" customWidth="1"/>
    <col min="1550" max="1550" width="7" customWidth="1"/>
    <col min="1551" max="1551" width="9.6640625" bestFit="1" customWidth="1"/>
    <col min="1552" max="1552" width="7" customWidth="1"/>
    <col min="1553" max="1553" width="9.6640625" bestFit="1" customWidth="1"/>
    <col min="1554" max="1554" width="7" customWidth="1"/>
    <col min="1555" max="1555" width="9.6640625" bestFit="1" customWidth="1"/>
    <col min="1556" max="1556" width="7" customWidth="1"/>
    <col min="1557" max="1557" width="9.6640625" bestFit="1" customWidth="1"/>
    <col min="1558" max="1558" width="7" customWidth="1"/>
    <col min="1559" max="1559" width="9.6640625" bestFit="1" customWidth="1"/>
    <col min="1560" max="1560" width="7" customWidth="1"/>
    <col min="1561" max="1561" width="5" customWidth="1"/>
    <col min="1562" max="1562" width="9.6640625" bestFit="1" customWidth="1"/>
    <col min="1563" max="1563" width="7" customWidth="1"/>
    <col min="1564" max="1564" width="9.6640625" bestFit="1" customWidth="1"/>
    <col min="1565" max="1565" width="7" customWidth="1"/>
    <col min="1566" max="1566" width="9.6640625" bestFit="1" customWidth="1"/>
    <col min="1567" max="1567" width="7" customWidth="1"/>
    <col min="1568" max="1568" width="9.6640625" bestFit="1" customWidth="1"/>
    <col min="1569" max="1569" width="7" customWidth="1"/>
    <col min="1570" max="1570" width="9.6640625" bestFit="1" customWidth="1"/>
    <col min="1571" max="1571" width="7" customWidth="1"/>
    <col min="1572" max="1572" width="9.6640625" bestFit="1" customWidth="1"/>
    <col min="1573" max="1573" width="7" customWidth="1"/>
    <col min="1574" max="1574" width="9.6640625" bestFit="1" customWidth="1"/>
    <col min="1575" max="1575" width="7" customWidth="1"/>
    <col min="1576" max="1576" width="9.6640625" bestFit="1" customWidth="1"/>
    <col min="1577" max="1577" width="7" customWidth="1"/>
    <col min="1578" max="1578" width="9.6640625" bestFit="1" customWidth="1"/>
    <col min="1579" max="1579" width="7" customWidth="1"/>
    <col min="1580" max="1580" width="9.6640625" bestFit="1" customWidth="1"/>
    <col min="1581" max="1581" width="7" customWidth="1"/>
    <col min="1582" max="1582" width="9.6640625" bestFit="1" customWidth="1"/>
    <col min="1583" max="1583" width="7" customWidth="1"/>
    <col min="1584" max="1584" width="9.6640625" bestFit="1" customWidth="1"/>
    <col min="1585" max="1585" width="7" customWidth="1"/>
    <col min="1586" max="1586" width="5" customWidth="1"/>
    <col min="1587" max="1587" width="6" customWidth="1"/>
    <col min="1588" max="1588" width="9.6640625" bestFit="1" customWidth="1"/>
    <col min="1589" max="1589" width="7" customWidth="1"/>
    <col min="1590" max="1590" width="9.6640625" bestFit="1" customWidth="1"/>
    <col min="1591" max="1591" width="7" customWidth="1"/>
    <col min="1592" max="1592" width="9.6640625" bestFit="1" customWidth="1"/>
    <col min="1593" max="1593" width="7" customWidth="1"/>
    <col min="1594" max="1595" width="6" customWidth="1"/>
    <col min="1596" max="1596" width="9.6640625" bestFit="1" customWidth="1"/>
    <col min="1597" max="1597" width="7" customWidth="1"/>
    <col min="1598" max="1598" width="9.6640625" bestFit="1" customWidth="1"/>
    <col min="1599" max="1599" width="7" customWidth="1"/>
    <col min="1600" max="1600" width="9.6640625" bestFit="1" customWidth="1"/>
    <col min="1601" max="1601" width="7" customWidth="1"/>
    <col min="1602" max="1602" width="5" customWidth="1"/>
    <col min="1603" max="1603" width="9.6640625" bestFit="1" customWidth="1"/>
    <col min="1604" max="1604" width="7" customWidth="1"/>
    <col min="1605" max="1605" width="9.6640625" bestFit="1" customWidth="1"/>
    <col min="1606" max="1606" width="7" customWidth="1"/>
    <col min="1607" max="1607" width="9.6640625" bestFit="1" customWidth="1"/>
    <col min="1608" max="1608" width="7" customWidth="1"/>
    <col min="1609" max="1609" width="9.6640625" bestFit="1" customWidth="1"/>
    <col min="1610" max="1610" width="7" customWidth="1"/>
    <col min="1611" max="1612" width="5" customWidth="1"/>
    <col min="1613" max="1613" width="9.6640625" bestFit="1" customWidth="1"/>
    <col min="1614" max="1614" width="7" customWidth="1"/>
    <col min="1615" max="1615" width="9.6640625" bestFit="1" customWidth="1"/>
    <col min="1616" max="1616" width="7" customWidth="1"/>
    <col min="1617" max="1617" width="2" customWidth="1"/>
    <col min="1618" max="1618" width="9.6640625" bestFit="1" customWidth="1"/>
    <col min="1619" max="1619" width="7" customWidth="1"/>
    <col min="1620" max="1620" width="9.6640625" bestFit="1" customWidth="1"/>
    <col min="1621" max="1621" width="7" customWidth="1"/>
    <col min="1622" max="1622" width="9.6640625" bestFit="1" customWidth="1"/>
    <col min="1623" max="1623" width="7" customWidth="1"/>
    <col min="1624" max="1624" width="6" customWidth="1"/>
    <col min="1625" max="1625" width="9.6640625" bestFit="1" customWidth="1"/>
    <col min="1626" max="1626" width="7" customWidth="1"/>
    <col min="1627" max="1627" width="9.6640625" bestFit="1" customWidth="1"/>
    <col min="1628" max="1628" width="7" customWidth="1"/>
    <col min="1629" max="1629" width="9.6640625" bestFit="1" customWidth="1"/>
    <col min="1630" max="1630" width="7" customWidth="1"/>
    <col min="1631" max="1631" width="9.6640625" bestFit="1" customWidth="1"/>
    <col min="1632" max="1632" width="7" customWidth="1"/>
    <col min="1633" max="1633" width="9.6640625" bestFit="1" customWidth="1"/>
    <col min="1634" max="1634" width="7" customWidth="1"/>
    <col min="1635" max="1635" width="9.6640625" bestFit="1" customWidth="1"/>
    <col min="1636" max="1636" width="7" customWidth="1"/>
    <col min="1637" max="1637" width="9.6640625" bestFit="1" customWidth="1"/>
    <col min="1638" max="1638" width="7" customWidth="1"/>
    <col min="1639" max="1639" width="9.6640625" bestFit="1" customWidth="1"/>
    <col min="1640" max="1640" width="7" customWidth="1"/>
    <col min="1641" max="1641" width="9.6640625" bestFit="1" customWidth="1"/>
    <col min="1642" max="1642" width="7" customWidth="1"/>
    <col min="1643" max="1643" width="9.6640625" bestFit="1" customWidth="1"/>
    <col min="1644" max="1644" width="7" customWidth="1"/>
    <col min="1645" max="1645" width="9.6640625" bestFit="1" customWidth="1"/>
    <col min="1646" max="1646" width="7" customWidth="1"/>
    <col min="1647" max="1647" width="9.6640625" bestFit="1" customWidth="1"/>
    <col min="1648" max="1648" width="7" customWidth="1"/>
    <col min="1649" max="1649" width="9.6640625" bestFit="1" customWidth="1"/>
    <col min="1650" max="1650" width="7" customWidth="1"/>
    <col min="1651" max="1652" width="5" customWidth="1"/>
    <col min="1653" max="1653" width="6" customWidth="1"/>
    <col min="1654" max="1654" width="9.6640625" bestFit="1" customWidth="1"/>
    <col min="1655" max="1655" width="7" customWidth="1"/>
    <col min="1656" max="1656" width="5" customWidth="1"/>
    <col min="1657" max="1657" width="9.6640625" bestFit="1" customWidth="1"/>
    <col min="1658" max="1658" width="7" customWidth="1"/>
    <col min="1659" max="1659" width="9.6640625" bestFit="1" customWidth="1"/>
    <col min="1660" max="1660" width="7" customWidth="1"/>
    <col min="1661" max="1661" width="6" customWidth="1"/>
    <col min="1662" max="1662" width="9.6640625" bestFit="1" customWidth="1"/>
    <col min="1663" max="1663" width="7" customWidth="1"/>
    <col min="1664" max="1664" width="9.6640625" bestFit="1" customWidth="1"/>
    <col min="1665" max="1665" width="7" customWidth="1"/>
    <col min="1666" max="1666" width="5" customWidth="1"/>
    <col min="1667" max="1667" width="6" customWidth="1"/>
    <col min="1668" max="1668" width="9.6640625" bestFit="1" customWidth="1"/>
    <col min="1669" max="1669" width="7" customWidth="1"/>
    <col min="1670" max="1672" width="6" customWidth="1"/>
    <col min="1673" max="1673" width="9.6640625" bestFit="1" customWidth="1"/>
    <col min="1674" max="1674" width="7" customWidth="1"/>
    <col min="1675" max="1675" width="9.6640625" bestFit="1" customWidth="1"/>
    <col min="1676" max="1676" width="7" customWidth="1"/>
    <col min="1677" max="1677" width="9.6640625" bestFit="1" customWidth="1"/>
    <col min="1678" max="1678" width="7" customWidth="1"/>
    <col min="1679" max="1679" width="5" customWidth="1"/>
    <col min="1680" max="1680" width="6" customWidth="1"/>
    <col min="1681" max="1681" width="9.6640625" bestFit="1" customWidth="1"/>
    <col min="1682" max="1682" width="7" customWidth="1"/>
    <col min="1683" max="1683" width="6" customWidth="1"/>
    <col min="1684" max="1684" width="9.6640625" bestFit="1" customWidth="1"/>
    <col min="1685" max="1685" width="7" customWidth="1"/>
    <col min="1686" max="1686" width="9.6640625" bestFit="1" customWidth="1"/>
    <col min="1687" max="1687" width="7" customWidth="1"/>
    <col min="1688" max="1688" width="9.6640625" bestFit="1" customWidth="1"/>
    <col min="1689" max="1689" width="7" customWidth="1"/>
    <col min="1690" max="1690" width="9.6640625" bestFit="1" customWidth="1"/>
    <col min="1691" max="1691" width="7" customWidth="1"/>
    <col min="1692" max="1692" width="9.6640625" bestFit="1" customWidth="1"/>
    <col min="1693" max="1693" width="7" customWidth="1"/>
    <col min="1694" max="1694" width="9.6640625" bestFit="1" customWidth="1"/>
    <col min="1695" max="1695" width="7" customWidth="1"/>
    <col min="1696" max="1696" width="9.6640625" bestFit="1" customWidth="1"/>
    <col min="1697" max="1697" width="7" customWidth="1"/>
    <col min="1698" max="1699" width="5" customWidth="1"/>
    <col min="1700" max="1700" width="9.6640625" bestFit="1" customWidth="1"/>
    <col min="1701" max="1701" width="7" customWidth="1"/>
    <col min="1702" max="1702" width="9.6640625" bestFit="1" customWidth="1"/>
    <col min="1703" max="1703" width="7" customWidth="1"/>
    <col min="1704" max="1704" width="9.6640625" bestFit="1" customWidth="1"/>
    <col min="1705" max="1705" width="7" customWidth="1"/>
    <col min="1706" max="1706" width="9.6640625" bestFit="1" customWidth="1"/>
    <col min="1707" max="1707" width="7" customWidth="1"/>
    <col min="1708" max="1708" width="9.6640625" bestFit="1" customWidth="1"/>
    <col min="1709" max="1709" width="7" customWidth="1"/>
    <col min="1710" max="1710" width="9.6640625" bestFit="1" customWidth="1"/>
    <col min="1711" max="1711" width="7" customWidth="1"/>
    <col min="1712" max="1712" width="3" customWidth="1"/>
    <col min="1713" max="1713" width="9.6640625" bestFit="1" customWidth="1"/>
    <col min="1714" max="1714" width="7" customWidth="1"/>
    <col min="1715" max="1715" width="6" customWidth="1"/>
    <col min="1716" max="1716" width="9.6640625" bestFit="1" customWidth="1"/>
    <col min="1717" max="1717" width="7" customWidth="1"/>
    <col min="1718" max="1718" width="9.6640625" bestFit="1" customWidth="1"/>
    <col min="1719" max="1719" width="7" customWidth="1"/>
    <col min="1720" max="1720" width="6" customWidth="1"/>
    <col min="1721" max="1721" width="9.6640625" bestFit="1" customWidth="1"/>
    <col min="1722" max="1722" width="7" customWidth="1"/>
    <col min="1723" max="1723" width="9.6640625" bestFit="1" customWidth="1"/>
    <col min="1724" max="1724" width="7" customWidth="1"/>
    <col min="1725" max="1725" width="6" customWidth="1"/>
    <col min="1726" max="1726" width="9.6640625" bestFit="1" customWidth="1"/>
    <col min="1727" max="1727" width="7" customWidth="1"/>
    <col min="1728" max="1728" width="9.6640625" bestFit="1" customWidth="1"/>
    <col min="1729" max="1729" width="7" customWidth="1"/>
    <col min="1730" max="1730" width="9.6640625" bestFit="1" customWidth="1"/>
    <col min="1731" max="1731" width="7" customWidth="1"/>
    <col min="1732" max="1732" width="6" customWidth="1"/>
    <col min="1733" max="1733" width="9.6640625" bestFit="1" customWidth="1"/>
    <col min="1734" max="1734" width="7" customWidth="1"/>
    <col min="1735" max="1735" width="9.6640625" bestFit="1" customWidth="1"/>
    <col min="1736" max="1736" width="7" customWidth="1"/>
    <col min="1737" max="1737" width="9.6640625" bestFit="1" customWidth="1"/>
    <col min="1738" max="1738" width="7" customWidth="1"/>
    <col min="1739" max="1739" width="6" customWidth="1"/>
    <col min="1740" max="1740" width="9.6640625" bestFit="1" customWidth="1"/>
    <col min="1741" max="1741" width="7" customWidth="1"/>
    <col min="1742" max="1742" width="9.6640625" bestFit="1" customWidth="1"/>
    <col min="1743" max="1743" width="7" customWidth="1"/>
    <col min="1744" max="1744" width="6" customWidth="1"/>
    <col min="1745" max="1745" width="9.6640625" bestFit="1" customWidth="1"/>
    <col min="1746" max="1746" width="7" customWidth="1"/>
    <col min="1747" max="1747" width="5" customWidth="1"/>
    <col min="1748" max="1748" width="9.6640625" bestFit="1" customWidth="1"/>
    <col min="1749" max="1749" width="7" customWidth="1"/>
    <col min="1750" max="1750" width="9.6640625" bestFit="1" customWidth="1"/>
    <col min="1751" max="1751" width="7" customWidth="1"/>
    <col min="1752" max="1752" width="9.6640625" bestFit="1" customWidth="1"/>
    <col min="1753" max="1753" width="7" customWidth="1"/>
    <col min="1754" max="1754" width="9.6640625" bestFit="1" customWidth="1"/>
    <col min="1755" max="1755" width="7" customWidth="1"/>
    <col min="1756" max="1756" width="6" customWidth="1"/>
    <col min="1757" max="1757" width="9.6640625" bestFit="1" customWidth="1"/>
    <col min="1758" max="1758" width="7" customWidth="1"/>
    <col min="1759" max="1759" width="9.6640625" bestFit="1" customWidth="1"/>
    <col min="1760" max="1760" width="7" customWidth="1"/>
    <col min="1761" max="1761" width="9.6640625" bestFit="1" customWidth="1"/>
    <col min="1762" max="1762" width="7" customWidth="1"/>
    <col min="1763" max="1763" width="9.6640625" bestFit="1" customWidth="1"/>
    <col min="1764" max="1764" width="7" customWidth="1"/>
    <col min="1765" max="1765" width="9.6640625" bestFit="1" customWidth="1"/>
    <col min="1766" max="1766" width="7" customWidth="1"/>
    <col min="1767" max="1768" width="6" customWidth="1"/>
    <col min="1769" max="1769" width="9.6640625" bestFit="1" customWidth="1"/>
    <col min="1770" max="1770" width="7" customWidth="1"/>
    <col min="1771" max="1771" width="9.6640625" bestFit="1" customWidth="1"/>
    <col min="1772" max="1772" width="7" customWidth="1"/>
    <col min="1773" max="1773" width="9.6640625" bestFit="1" customWidth="1"/>
    <col min="1774" max="1774" width="7" customWidth="1"/>
    <col min="1775" max="1775" width="5" customWidth="1"/>
    <col min="1776" max="1776" width="9.6640625" bestFit="1" customWidth="1"/>
    <col min="1777" max="1777" width="7" customWidth="1"/>
    <col min="1778" max="1778" width="9.6640625" bestFit="1" customWidth="1"/>
    <col min="1779" max="1779" width="7" customWidth="1"/>
    <col min="1780" max="1780" width="9.6640625" bestFit="1" customWidth="1"/>
    <col min="1781" max="1781" width="7" customWidth="1"/>
    <col min="1782" max="1782" width="9.6640625" bestFit="1" customWidth="1"/>
    <col min="1783" max="1783" width="7" customWidth="1"/>
    <col min="1784" max="1784" width="6" customWidth="1"/>
    <col min="1785" max="1785" width="5" customWidth="1"/>
    <col min="1786" max="1786" width="9.6640625" bestFit="1" customWidth="1"/>
    <col min="1787" max="1787" width="7" customWidth="1"/>
    <col min="1788" max="1788" width="9.6640625" bestFit="1" customWidth="1"/>
    <col min="1789" max="1789" width="7" customWidth="1"/>
    <col min="1790" max="1790" width="9.6640625" bestFit="1" customWidth="1"/>
    <col min="1791" max="1791" width="7" customWidth="1"/>
    <col min="1792" max="1792" width="5" customWidth="1"/>
    <col min="1793" max="1793" width="9.6640625" bestFit="1" customWidth="1"/>
    <col min="1794" max="1794" width="7" customWidth="1"/>
    <col min="1795" max="1795" width="9.6640625" bestFit="1" customWidth="1"/>
    <col min="1796" max="1796" width="7" customWidth="1"/>
    <col min="1797" max="1797" width="9.6640625" bestFit="1" customWidth="1"/>
    <col min="1798" max="1798" width="7" customWidth="1"/>
    <col min="1799" max="1799" width="9.6640625" bestFit="1" customWidth="1"/>
    <col min="1800" max="1800" width="7" customWidth="1"/>
    <col min="1801" max="1801" width="9.6640625" bestFit="1" customWidth="1"/>
    <col min="1802" max="1802" width="7" customWidth="1"/>
    <col min="1803" max="1803" width="9.6640625" bestFit="1" customWidth="1"/>
    <col min="1804" max="1804" width="7" customWidth="1"/>
    <col min="1805" max="1805" width="9.6640625" bestFit="1" customWidth="1"/>
    <col min="1806" max="1806" width="7" customWidth="1"/>
    <col min="1807" max="1807" width="6" customWidth="1"/>
    <col min="1808" max="1808" width="9.6640625" bestFit="1" customWidth="1"/>
    <col min="1809" max="1809" width="7" customWidth="1"/>
    <col min="1810" max="1810" width="9.6640625" bestFit="1" customWidth="1"/>
    <col min="1811" max="1811" width="7" customWidth="1"/>
    <col min="1812" max="1812" width="9.6640625" bestFit="1" customWidth="1"/>
    <col min="1813" max="1813" width="7" customWidth="1"/>
    <col min="1814" max="1814" width="9.6640625" bestFit="1" customWidth="1"/>
    <col min="1815" max="1815" width="7" customWidth="1"/>
    <col min="1816" max="1816" width="6" customWidth="1"/>
    <col min="1817" max="1817" width="9.6640625" bestFit="1" customWidth="1"/>
    <col min="1818" max="1818" width="7" customWidth="1"/>
    <col min="1819" max="1819" width="9.6640625" bestFit="1" customWidth="1"/>
    <col min="1820" max="1820" width="7" customWidth="1"/>
    <col min="1821" max="1821" width="9.6640625" bestFit="1" customWidth="1"/>
    <col min="1822" max="1822" width="7" customWidth="1"/>
    <col min="1823" max="1823" width="9.6640625" bestFit="1" customWidth="1"/>
    <col min="1824" max="1824" width="7" customWidth="1"/>
    <col min="1825" max="1825" width="5" customWidth="1"/>
    <col min="1826" max="1826" width="6" customWidth="1"/>
    <col min="1827" max="1827" width="9.6640625" bestFit="1" customWidth="1"/>
    <col min="1828" max="1828" width="7" customWidth="1"/>
    <col min="1829" max="1829" width="5" customWidth="1"/>
    <col min="1830" max="1830" width="6" customWidth="1"/>
    <col min="1831" max="1831" width="9.6640625" bestFit="1" customWidth="1"/>
    <col min="1832" max="1832" width="7" customWidth="1"/>
    <col min="1833" max="1833" width="5" customWidth="1"/>
    <col min="1834" max="1834" width="9.6640625" bestFit="1" customWidth="1"/>
    <col min="1835" max="1835" width="7" customWidth="1"/>
    <col min="1836" max="1836" width="9.6640625" bestFit="1" customWidth="1"/>
    <col min="1837" max="1837" width="7" customWidth="1"/>
    <col min="1838" max="1838" width="9.6640625" bestFit="1" customWidth="1"/>
    <col min="1839" max="1839" width="7" customWidth="1"/>
    <col min="1840" max="1840" width="9.6640625" bestFit="1" customWidth="1"/>
    <col min="1841" max="1841" width="7" customWidth="1"/>
    <col min="1842" max="1842" width="6" customWidth="1"/>
    <col min="1843" max="1843" width="9.6640625" bestFit="1" customWidth="1"/>
    <col min="1844" max="1844" width="7" customWidth="1"/>
    <col min="1845" max="1846" width="6" customWidth="1"/>
    <col min="1847" max="1847" width="9.6640625" bestFit="1" customWidth="1"/>
    <col min="1848" max="1848" width="7" customWidth="1"/>
    <col min="1849" max="1849" width="6" customWidth="1"/>
    <col min="1850" max="1850" width="9.6640625" bestFit="1" customWidth="1"/>
    <col min="1851" max="1851" width="7" customWidth="1"/>
    <col min="1852" max="1852" width="5" customWidth="1"/>
    <col min="1853" max="1853" width="9.6640625" bestFit="1" customWidth="1"/>
    <col min="1854" max="1854" width="7" customWidth="1"/>
    <col min="1855" max="1855" width="9.6640625" bestFit="1" customWidth="1"/>
    <col min="1856" max="1856" width="7" customWidth="1"/>
    <col min="1857" max="1857" width="9.6640625" bestFit="1" customWidth="1"/>
    <col min="1858" max="1858" width="7" customWidth="1"/>
    <col min="1859" max="1859" width="9.6640625" bestFit="1" customWidth="1"/>
    <col min="1860" max="1860" width="7" customWidth="1"/>
    <col min="1861" max="1861" width="9.6640625" bestFit="1" customWidth="1"/>
    <col min="1862" max="1862" width="7" customWidth="1"/>
    <col min="1863" max="1863" width="9.6640625" bestFit="1" customWidth="1"/>
    <col min="1864" max="1864" width="7" customWidth="1"/>
    <col min="1865" max="1865" width="9.6640625" bestFit="1" customWidth="1"/>
    <col min="1866" max="1866" width="7" customWidth="1"/>
    <col min="1867" max="1867" width="9.6640625" bestFit="1" customWidth="1"/>
    <col min="1868" max="1868" width="7" customWidth="1"/>
    <col min="1869" max="1869" width="9.6640625" bestFit="1" customWidth="1"/>
    <col min="1870" max="1870" width="7" customWidth="1"/>
    <col min="1871" max="1871" width="9.6640625" bestFit="1" customWidth="1"/>
    <col min="1872" max="1872" width="7" customWidth="1"/>
    <col min="1873" max="1873" width="9.6640625" bestFit="1" customWidth="1"/>
    <col min="1874" max="1874" width="7" customWidth="1"/>
    <col min="1875" max="1875" width="9.6640625" bestFit="1" customWidth="1"/>
    <col min="1876" max="1876" width="7" customWidth="1"/>
    <col min="1877" max="1877" width="9.6640625" bestFit="1" customWidth="1"/>
    <col min="1878" max="1878" width="7" customWidth="1"/>
    <col min="1879" max="1879" width="6" customWidth="1"/>
    <col min="1880" max="1880" width="9.6640625" bestFit="1" customWidth="1"/>
    <col min="1881" max="1881" width="7" customWidth="1"/>
    <col min="1882" max="1882" width="9.6640625" bestFit="1" customWidth="1"/>
    <col min="1883" max="1883" width="7" customWidth="1"/>
    <col min="1884" max="1884" width="9.6640625" bestFit="1" customWidth="1"/>
    <col min="1885" max="1885" width="7" customWidth="1"/>
    <col min="1886" max="1886" width="6" customWidth="1"/>
    <col min="1887" max="1887" width="9.6640625" bestFit="1" customWidth="1"/>
    <col min="1888" max="1888" width="7" customWidth="1"/>
    <col min="1889" max="1889" width="6" customWidth="1"/>
    <col min="1890" max="1890" width="9.6640625" bestFit="1" customWidth="1"/>
    <col min="1891" max="1891" width="7" customWidth="1"/>
    <col min="1892" max="1892" width="9.6640625" bestFit="1" customWidth="1"/>
    <col min="1893" max="1893" width="7" customWidth="1"/>
    <col min="1894" max="1894" width="3" customWidth="1"/>
    <col min="1895" max="1895" width="9.6640625" bestFit="1" customWidth="1"/>
    <col min="1896" max="1896" width="7" customWidth="1"/>
    <col min="1897" max="1897" width="6" customWidth="1"/>
    <col min="1898" max="1898" width="9.6640625" bestFit="1" customWidth="1"/>
    <col min="1899" max="1899" width="7" customWidth="1"/>
    <col min="1900" max="1900" width="5" customWidth="1"/>
    <col min="1901" max="1901" width="9.6640625" bestFit="1" customWidth="1"/>
    <col min="1902" max="1902" width="7" customWidth="1"/>
    <col min="1903" max="1903" width="9.6640625" bestFit="1" customWidth="1"/>
    <col min="1904" max="1904" width="7" customWidth="1"/>
    <col min="1905" max="1905" width="5" customWidth="1"/>
    <col min="1906" max="1906" width="9.6640625" bestFit="1" customWidth="1"/>
    <col min="1907" max="1907" width="7" customWidth="1"/>
    <col min="1908" max="1908" width="6" customWidth="1"/>
    <col min="1909" max="1909" width="9.6640625" bestFit="1" customWidth="1"/>
    <col min="1910" max="1910" width="7" customWidth="1"/>
    <col min="1911" max="1911" width="9.6640625" bestFit="1" customWidth="1"/>
    <col min="1912" max="1912" width="7" customWidth="1"/>
    <col min="1913" max="1913" width="9.6640625" bestFit="1" customWidth="1"/>
    <col min="1914" max="1914" width="7" customWidth="1"/>
    <col min="1915" max="1915" width="9.6640625" bestFit="1" customWidth="1"/>
    <col min="1916" max="1916" width="7" customWidth="1"/>
    <col min="1917" max="1917" width="9.6640625" bestFit="1" customWidth="1"/>
    <col min="1918" max="1918" width="7" customWidth="1"/>
    <col min="1919" max="1919" width="6" customWidth="1"/>
    <col min="1920" max="1920" width="9.6640625" bestFit="1" customWidth="1"/>
    <col min="1921" max="1921" width="7" customWidth="1"/>
    <col min="1922" max="1922" width="9.6640625" bestFit="1" customWidth="1"/>
    <col min="1923" max="1923" width="7" customWidth="1"/>
    <col min="1924" max="1924" width="9.6640625" bestFit="1" customWidth="1"/>
    <col min="1925" max="1925" width="7" customWidth="1"/>
    <col min="1926" max="1926" width="9.6640625" bestFit="1" customWidth="1"/>
    <col min="1927" max="1927" width="7" customWidth="1"/>
    <col min="1928" max="1928" width="9.6640625" bestFit="1" customWidth="1"/>
    <col min="1929" max="1929" width="7" customWidth="1"/>
    <col min="1930" max="1930" width="9.6640625" bestFit="1" customWidth="1"/>
    <col min="1931" max="1931" width="7" customWidth="1"/>
    <col min="1932" max="1932" width="9.6640625" bestFit="1" customWidth="1"/>
    <col min="1933" max="1933" width="7" customWidth="1"/>
    <col min="1934" max="1934" width="9.6640625" bestFit="1" customWidth="1"/>
    <col min="1935" max="1935" width="7" customWidth="1"/>
    <col min="1936" max="1936" width="9.6640625" bestFit="1" customWidth="1"/>
    <col min="1937" max="1937" width="7" customWidth="1"/>
    <col min="1938" max="1938" width="9.6640625" bestFit="1" customWidth="1"/>
    <col min="1939" max="1939" width="7" customWidth="1"/>
    <col min="1940" max="1940" width="9.6640625" bestFit="1" customWidth="1"/>
    <col min="1941" max="1941" width="7" customWidth="1"/>
    <col min="1942" max="1942" width="9.6640625" bestFit="1" customWidth="1"/>
    <col min="1943" max="1943" width="7" customWidth="1"/>
    <col min="1944" max="1944" width="9.6640625" bestFit="1" customWidth="1"/>
    <col min="1945" max="1945" width="7" customWidth="1"/>
    <col min="1946" max="1946" width="9.6640625" bestFit="1" customWidth="1"/>
    <col min="1947" max="1947" width="7" customWidth="1"/>
    <col min="1948" max="1948" width="9.6640625" bestFit="1" customWidth="1"/>
    <col min="1949" max="1949" width="7" customWidth="1"/>
    <col min="1950" max="1950" width="6" customWidth="1"/>
    <col min="1951" max="1951" width="9.6640625" bestFit="1" customWidth="1"/>
    <col min="1952" max="1952" width="7" customWidth="1"/>
    <col min="1953" max="1953" width="5" customWidth="1"/>
    <col min="1954" max="1954" width="9.6640625" bestFit="1" customWidth="1"/>
    <col min="1955" max="1955" width="7" customWidth="1"/>
    <col min="1956" max="1956" width="9.6640625" bestFit="1" customWidth="1"/>
    <col min="1957" max="1957" width="7" customWidth="1"/>
    <col min="1958" max="1959" width="6" customWidth="1"/>
    <col min="1960" max="1960" width="9.6640625" bestFit="1" customWidth="1"/>
    <col min="1961" max="1961" width="7" customWidth="1"/>
    <col min="1962" max="1962" width="9.6640625" bestFit="1" customWidth="1"/>
    <col min="1963" max="1963" width="7" customWidth="1"/>
    <col min="1964" max="1964" width="9.6640625" bestFit="1" customWidth="1"/>
    <col min="1965" max="1965" width="7" customWidth="1"/>
    <col min="1966" max="1966" width="9.6640625" bestFit="1" customWidth="1"/>
    <col min="1967" max="1967" width="7" customWidth="1"/>
    <col min="1968" max="1968" width="9.6640625" bestFit="1" customWidth="1"/>
    <col min="1969" max="1969" width="7" customWidth="1"/>
    <col min="1970" max="1970" width="9.6640625" bestFit="1" customWidth="1"/>
    <col min="1971" max="1971" width="7" customWidth="1"/>
    <col min="1972" max="1972" width="9.6640625" bestFit="1" customWidth="1"/>
    <col min="1973" max="1973" width="7" customWidth="1"/>
    <col min="1974" max="1974" width="9.6640625" bestFit="1" customWidth="1"/>
    <col min="1975" max="1975" width="7" customWidth="1"/>
    <col min="1976" max="1976" width="9.6640625" bestFit="1" customWidth="1"/>
    <col min="1977" max="1977" width="7" customWidth="1"/>
    <col min="1978" max="1978" width="9.6640625" bestFit="1" customWidth="1"/>
    <col min="1979" max="1979" width="7" customWidth="1"/>
    <col min="1980" max="1980" width="9.6640625" bestFit="1" customWidth="1"/>
    <col min="1981" max="1981" width="7" customWidth="1"/>
    <col min="1982" max="1982" width="9.6640625" bestFit="1" customWidth="1"/>
    <col min="1983" max="1983" width="7" customWidth="1"/>
    <col min="1984" max="1984" width="9.6640625" bestFit="1" customWidth="1"/>
    <col min="1985" max="1985" width="7" customWidth="1"/>
    <col min="1986" max="1986" width="9.6640625" bestFit="1" customWidth="1"/>
    <col min="1987" max="1987" width="7" customWidth="1"/>
    <col min="1988" max="1988" width="9.6640625" bestFit="1" customWidth="1"/>
    <col min="1989" max="1989" width="7" customWidth="1"/>
    <col min="1990" max="1990" width="9.6640625" bestFit="1" customWidth="1"/>
    <col min="1991" max="1991" width="7" customWidth="1"/>
    <col min="1992" max="1992" width="9.6640625" bestFit="1" customWidth="1"/>
    <col min="1993" max="1993" width="7" customWidth="1"/>
    <col min="1994" max="1994" width="9.6640625" bestFit="1" customWidth="1"/>
    <col min="1995" max="1995" width="7" customWidth="1"/>
    <col min="1996" max="1996" width="9.6640625" bestFit="1" customWidth="1"/>
    <col min="1997" max="1997" width="7" customWidth="1"/>
    <col min="1998" max="1998" width="9.6640625" bestFit="1" customWidth="1"/>
    <col min="1999" max="1999" width="7" customWidth="1"/>
    <col min="2000" max="2000" width="6" customWidth="1"/>
    <col min="2001" max="2001" width="9.6640625" bestFit="1" customWidth="1"/>
    <col min="2002" max="2002" width="7" customWidth="1"/>
    <col min="2003" max="2003" width="9.6640625" bestFit="1" customWidth="1"/>
    <col min="2004" max="2004" width="7" customWidth="1"/>
    <col min="2005" max="2005" width="9.6640625" bestFit="1" customWidth="1"/>
    <col min="2006" max="2006" width="7" customWidth="1"/>
    <col min="2007" max="2007" width="9.6640625" bestFit="1" customWidth="1"/>
    <col min="2008" max="2008" width="7" customWidth="1"/>
    <col min="2009" max="2009" width="6" customWidth="1"/>
    <col min="2010" max="2010" width="9.6640625" bestFit="1" customWidth="1"/>
    <col min="2011" max="2011" width="7" customWidth="1"/>
    <col min="2012" max="2012" width="9.6640625" bestFit="1" customWidth="1"/>
    <col min="2013" max="2013" width="7" customWidth="1"/>
    <col min="2014" max="2014" width="9.6640625" bestFit="1" customWidth="1"/>
    <col min="2015" max="2015" width="7" customWidth="1"/>
    <col min="2016" max="2016" width="6" customWidth="1"/>
    <col min="2017" max="2017" width="9.6640625" bestFit="1" customWidth="1"/>
    <col min="2018" max="2018" width="7" customWidth="1"/>
    <col min="2019" max="2019" width="5" customWidth="1"/>
    <col min="2020" max="2020" width="6" customWidth="1"/>
    <col min="2021" max="2021" width="9.6640625" bestFit="1" customWidth="1"/>
    <col min="2022" max="2022" width="7" customWidth="1"/>
    <col min="2023" max="2023" width="9.6640625" bestFit="1" customWidth="1"/>
    <col min="2024" max="2024" width="7" customWidth="1"/>
    <col min="2025" max="2026" width="5" customWidth="1"/>
    <col min="2027" max="2027" width="6" customWidth="1"/>
    <col min="2028" max="2028" width="9.6640625" bestFit="1" customWidth="1"/>
    <col min="2029" max="2029" width="7" customWidth="1"/>
    <col min="2030" max="2030" width="9.6640625" bestFit="1" customWidth="1"/>
    <col min="2031" max="2031" width="7" customWidth="1"/>
    <col min="2032" max="2032" width="9.6640625" bestFit="1" customWidth="1"/>
    <col min="2033" max="2033" width="7" customWidth="1"/>
    <col min="2034" max="2034" width="9.6640625" bestFit="1" customWidth="1"/>
    <col min="2035" max="2035" width="7" customWidth="1"/>
    <col min="2036" max="2036" width="5" customWidth="1"/>
    <col min="2037" max="2037" width="9.6640625" bestFit="1" customWidth="1"/>
    <col min="2038" max="2038" width="7" customWidth="1"/>
    <col min="2039" max="2039" width="9.6640625" bestFit="1" customWidth="1"/>
    <col min="2040" max="2040" width="7" customWidth="1"/>
    <col min="2041" max="2041" width="9.6640625" bestFit="1" customWidth="1"/>
    <col min="2042" max="2042" width="7" customWidth="1"/>
    <col min="2043" max="2043" width="9.6640625" bestFit="1" customWidth="1"/>
    <col min="2044" max="2044" width="7" customWidth="1"/>
    <col min="2045" max="2045" width="9.6640625" bestFit="1" customWidth="1"/>
    <col min="2046" max="2046" width="7" customWidth="1"/>
    <col min="2047" max="2047" width="6" customWidth="1"/>
    <col min="2048" max="2048" width="9.6640625" bestFit="1" customWidth="1"/>
    <col min="2049" max="2049" width="7" customWidth="1"/>
    <col min="2050" max="2050" width="6" customWidth="1"/>
    <col min="2051" max="2051" width="9.6640625" bestFit="1" customWidth="1"/>
    <col min="2052" max="2052" width="7" customWidth="1"/>
    <col min="2053" max="2053" width="4" customWidth="1"/>
    <col min="2054" max="2054" width="6" customWidth="1"/>
    <col min="2055" max="2055" width="9.6640625" bestFit="1" customWidth="1"/>
    <col min="2056" max="2056" width="7" customWidth="1"/>
    <col min="2057" max="2057" width="9.6640625" bestFit="1" customWidth="1"/>
    <col min="2058" max="2058" width="7" customWidth="1"/>
    <col min="2059" max="2059" width="5" customWidth="1"/>
    <col min="2060" max="2060" width="9.6640625" bestFit="1" customWidth="1"/>
    <col min="2061" max="2061" width="7" customWidth="1"/>
    <col min="2062" max="2062" width="9.6640625" bestFit="1" customWidth="1"/>
    <col min="2063" max="2063" width="7" customWidth="1"/>
    <col min="2064" max="2064" width="9.6640625" bestFit="1" customWidth="1"/>
    <col min="2065" max="2065" width="7" customWidth="1"/>
    <col min="2066" max="2066" width="9.6640625" bestFit="1" customWidth="1"/>
    <col min="2067" max="2067" width="7" customWidth="1"/>
    <col min="2068" max="2068" width="9.6640625" bestFit="1" customWidth="1"/>
    <col min="2069" max="2069" width="7" customWidth="1"/>
    <col min="2070" max="2070" width="5" customWidth="1"/>
    <col min="2071" max="2071" width="9.6640625" bestFit="1" customWidth="1"/>
    <col min="2072" max="2072" width="7" customWidth="1"/>
    <col min="2073" max="2073" width="6" customWidth="1"/>
    <col min="2074" max="2074" width="9.6640625" bestFit="1" customWidth="1"/>
    <col min="2075" max="2075" width="7" customWidth="1"/>
    <col min="2076" max="2076" width="9.6640625" bestFit="1" customWidth="1"/>
    <col min="2077" max="2077" width="7" customWidth="1"/>
    <col min="2078" max="2078" width="9.6640625" bestFit="1" customWidth="1"/>
    <col min="2079" max="2079" width="7" customWidth="1"/>
    <col min="2080" max="2080" width="5" customWidth="1"/>
    <col min="2081" max="2081" width="6" customWidth="1"/>
    <col min="2082" max="2082" width="9.6640625" bestFit="1" customWidth="1"/>
    <col min="2083" max="2083" width="7" customWidth="1"/>
    <col min="2084" max="2084" width="9.6640625" bestFit="1" customWidth="1"/>
    <col min="2085" max="2085" width="7" customWidth="1"/>
    <col min="2086" max="2086" width="9.6640625" bestFit="1" customWidth="1"/>
    <col min="2087" max="2087" width="7" customWidth="1"/>
    <col min="2088" max="2088" width="6" customWidth="1"/>
    <col min="2089" max="2089" width="9.6640625" bestFit="1" customWidth="1"/>
    <col min="2090" max="2090" width="7" customWidth="1"/>
    <col min="2091" max="2091" width="6" customWidth="1"/>
    <col min="2092" max="2092" width="9.6640625" bestFit="1" customWidth="1"/>
    <col min="2093" max="2093" width="7" customWidth="1"/>
    <col min="2094" max="2094" width="5" customWidth="1"/>
    <col min="2095" max="2095" width="9.6640625" bestFit="1" customWidth="1"/>
    <col min="2096" max="2096" width="7" customWidth="1"/>
    <col min="2097" max="2097" width="6" customWidth="1"/>
    <col min="2098" max="2098" width="9.6640625" bestFit="1" customWidth="1"/>
    <col min="2099" max="2099" width="7" customWidth="1"/>
    <col min="2100" max="2100" width="9.6640625" bestFit="1" customWidth="1"/>
    <col min="2101" max="2101" width="7" customWidth="1"/>
    <col min="2102" max="2102" width="9.6640625" bestFit="1" customWidth="1"/>
    <col min="2103" max="2103" width="7" customWidth="1"/>
    <col min="2104" max="2104" width="9.6640625" bestFit="1" customWidth="1"/>
    <col min="2105" max="2105" width="7" customWidth="1"/>
    <col min="2106" max="2106" width="5" customWidth="1"/>
    <col min="2107" max="2107" width="9.6640625" bestFit="1" customWidth="1"/>
    <col min="2108" max="2108" width="7" customWidth="1"/>
    <col min="2109" max="2109" width="9.6640625" bestFit="1" customWidth="1"/>
    <col min="2110" max="2110" width="7" customWidth="1"/>
    <col min="2111" max="2111" width="9.6640625" bestFit="1" customWidth="1"/>
    <col min="2112" max="2112" width="7" customWidth="1"/>
    <col min="2113" max="2113" width="9.6640625" bestFit="1" customWidth="1"/>
    <col min="2114" max="2114" width="7" customWidth="1"/>
    <col min="2115" max="2115" width="9.6640625" bestFit="1" customWidth="1"/>
    <col min="2116" max="2116" width="7" customWidth="1"/>
    <col min="2117" max="2117" width="9.6640625" bestFit="1" customWidth="1"/>
    <col min="2118" max="2118" width="7" customWidth="1"/>
    <col min="2119" max="2119" width="6" customWidth="1"/>
    <col min="2120" max="2120" width="9.6640625" bestFit="1" customWidth="1"/>
    <col min="2121" max="2121" width="7" customWidth="1"/>
    <col min="2122" max="2122" width="6" customWidth="1"/>
    <col min="2123" max="2123" width="9.6640625" bestFit="1" customWidth="1"/>
    <col min="2124" max="2124" width="7" customWidth="1"/>
    <col min="2125" max="2125" width="9.6640625" bestFit="1" customWidth="1"/>
    <col min="2126" max="2126" width="7" customWidth="1"/>
    <col min="2127" max="2127" width="5" customWidth="1"/>
    <col min="2128" max="2128" width="9.6640625" bestFit="1" customWidth="1"/>
    <col min="2129" max="2129" width="7" customWidth="1"/>
    <col min="2130" max="2130" width="9.6640625" bestFit="1" customWidth="1"/>
    <col min="2131" max="2131" width="7" customWidth="1"/>
    <col min="2132" max="2132" width="9.6640625" bestFit="1" customWidth="1"/>
    <col min="2133" max="2133" width="7" customWidth="1"/>
    <col min="2134" max="2134" width="9.6640625" bestFit="1" customWidth="1"/>
    <col min="2135" max="2135" width="7" customWidth="1"/>
    <col min="2136" max="2136" width="9.6640625" bestFit="1" customWidth="1"/>
    <col min="2137" max="2137" width="7" customWidth="1"/>
    <col min="2138" max="2138" width="9.6640625" bestFit="1" customWidth="1"/>
    <col min="2139" max="2139" width="7" customWidth="1"/>
    <col min="2140" max="2140" width="9.6640625" bestFit="1" customWidth="1"/>
    <col min="2141" max="2141" width="7" customWidth="1"/>
    <col min="2142" max="2142" width="9.6640625" bestFit="1" customWidth="1"/>
    <col min="2143" max="2143" width="7" customWidth="1"/>
    <col min="2144" max="2144" width="5" customWidth="1"/>
    <col min="2145" max="2145" width="9.6640625" bestFit="1" customWidth="1"/>
    <col min="2146" max="2146" width="7" customWidth="1"/>
    <col min="2147" max="2147" width="9.6640625" bestFit="1" customWidth="1"/>
    <col min="2148" max="2148" width="7" customWidth="1"/>
    <col min="2149" max="2149" width="9.6640625" bestFit="1" customWidth="1"/>
    <col min="2150" max="2150" width="7" customWidth="1"/>
    <col min="2151" max="2151" width="5" customWidth="1"/>
    <col min="2152" max="2152" width="9.6640625" bestFit="1" customWidth="1"/>
    <col min="2153" max="2153" width="7" customWidth="1"/>
    <col min="2154" max="2155" width="6" customWidth="1"/>
    <col min="2156" max="2156" width="9.6640625" bestFit="1" customWidth="1"/>
    <col min="2157" max="2157" width="7" customWidth="1"/>
    <col min="2158" max="2158" width="9.6640625" bestFit="1" customWidth="1"/>
    <col min="2159" max="2159" width="7" customWidth="1"/>
    <col min="2160" max="2160" width="6" customWidth="1"/>
    <col min="2161" max="2161" width="9.6640625" bestFit="1" customWidth="1"/>
    <col min="2162" max="2162" width="7" customWidth="1"/>
    <col min="2163" max="2163" width="9.6640625" bestFit="1" customWidth="1"/>
    <col min="2164" max="2164" width="7" customWidth="1"/>
    <col min="2165" max="2165" width="9.6640625" bestFit="1" customWidth="1"/>
    <col min="2166" max="2166" width="7" customWidth="1"/>
    <col min="2167" max="2168" width="6" customWidth="1"/>
    <col min="2169" max="2169" width="9.6640625" bestFit="1" customWidth="1"/>
    <col min="2170" max="2170" width="7" customWidth="1"/>
    <col min="2171" max="2171" width="9.6640625" bestFit="1" customWidth="1"/>
    <col min="2172" max="2172" width="7" customWidth="1"/>
    <col min="2173" max="2173" width="4" customWidth="1"/>
    <col min="2174" max="2174" width="9.6640625" bestFit="1" customWidth="1"/>
    <col min="2175" max="2175" width="7" customWidth="1"/>
    <col min="2176" max="2176" width="9.6640625" bestFit="1" customWidth="1"/>
    <col min="2177" max="2177" width="7" customWidth="1"/>
    <col min="2178" max="2178" width="5" customWidth="1"/>
    <col min="2179" max="2179" width="9.6640625" bestFit="1" customWidth="1"/>
    <col min="2180" max="2180" width="7" customWidth="1"/>
    <col min="2181" max="2181" width="5" customWidth="1"/>
    <col min="2182" max="2182" width="9.6640625" bestFit="1" customWidth="1"/>
    <col min="2183" max="2183" width="7" customWidth="1"/>
    <col min="2184" max="2184" width="9.6640625" bestFit="1" customWidth="1"/>
    <col min="2185" max="2185" width="7" customWidth="1"/>
    <col min="2186" max="2186" width="6" customWidth="1"/>
    <col min="2187" max="2187" width="9.6640625" bestFit="1" customWidth="1"/>
    <col min="2188" max="2188" width="7" customWidth="1"/>
    <col min="2189" max="2189" width="9.6640625" bestFit="1" customWidth="1"/>
    <col min="2190" max="2190" width="7" customWidth="1"/>
    <col min="2191" max="2191" width="9.6640625" bestFit="1" customWidth="1"/>
    <col min="2192" max="2192" width="7" customWidth="1"/>
    <col min="2193" max="2194" width="6" customWidth="1"/>
    <col min="2195" max="2195" width="9.6640625" bestFit="1" customWidth="1"/>
    <col min="2196" max="2196" width="7" customWidth="1"/>
    <col min="2197" max="2197" width="9.6640625" bestFit="1" customWidth="1"/>
    <col min="2198" max="2198" width="7" customWidth="1"/>
    <col min="2199" max="2199" width="5" customWidth="1"/>
    <col min="2200" max="2200" width="9.6640625" bestFit="1" customWidth="1"/>
    <col min="2201" max="2201" width="7" customWidth="1"/>
    <col min="2202" max="2202" width="6" customWidth="1"/>
    <col min="2203" max="2203" width="9.6640625" bestFit="1" customWidth="1"/>
    <col min="2204" max="2204" width="7" customWidth="1"/>
    <col min="2205" max="2205" width="5" customWidth="1"/>
    <col min="2206" max="2206" width="9.6640625" bestFit="1" customWidth="1"/>
    <col min="2207" max="2207" width="7" customWidth="1"/>
    <col min="2208" max="2208" width="9.6640625" bestFit="1" customWidth="1"/>
    <col min="2209" max="2209" width="7" customWidth="1"/>
    <col min="2210" max="2210" width="9.6640625" bestFit="1" customWidth="1"/>
    <col min="2211" max="2211" width="7" customWidth="1"/>
    <col min="2212" max="2212" width="9.6640625" bestFit="1" customWidth="1"/>
    <col min="2213" max="2213" width="7" customWidth="1"/>
    <col min="2214" max="2214" width="6" customWidth="1"/>
    <col min="2215" max="2215" width="9.6640625" bestFit="1" customWidth="1"/>
    <col min="2216" max="2216" width="7" customWidth="1"/>
    <col min="2217" max="2217" width="9.6640625" bestFit="1" customWidth="1"/>
    <col min="2218" max="2218" width="7" customWidth="1"/>
    <col min="2219" max="2220" width="6" customWidth="1"/>
    <col min="2221" max="2221" width="5" customWidth="1"/>
    <col min="2222" max="2222" width="9.6640625" bestFit="1" customWidth="1"/>
    <col min="2223" max="2223" width="7" customWidth="1"/>
    <col min="2224" max="2224" width="9.6640625" bestFit="1" customWidth="1"/>
    <col min="2225" max="2225" width="7" customWidth="1"/>
    <col min="2226" max="2226" width="9.6640625" bestFit="1" customWidth="1"/>
    <col min="2227" max="2227" width="7" customWidth="1"/>
    <col min="2228" max="2228" width="9.6640625" bestFit="1" customWidth="1"/>
    <col min="2229" max="2229" width="7" customWidth="1"/>
    <col min="2230" max="2230" width="9.6640625" bestFit="1" customWidth="1"/>
    <col min="2231" max="2231" width="7" customWidth="1"/>
    <col min="2232" max="2232" width="9.6640625" bestFit="1" customWidth="1"/>
    <col min="2233" max="2233" width="7" customWidth="1"/>
    <col min="2234" max="2234" width="9.6640625" bestFit="1" customWidth="1"/>
    <col min="2235" max="2235" width="7" customWidth="1"/>
    <col min="2236" max="2236" width="9.6640625" bestFit="1" customWidth="1"/>
    <col min="2237" max="2237" width="7" customWidth="1"/>
    <col min="2238" max="2238" width="9.6640625" bestFit="1" customWidth="1"/>
    <col min="2239" max="2239" width="7" customWidth="1"/>
    <col min="2240" max="2240" width="9.6640625" bestFit="1" customWidth="1"/>
    <col min="2241" max="2241" width="7" customWidth="1"/>
    <col min="2242" max="2242" width="6" customWidth="1"/>
    <col min="2243" max="2243" width="9.6640625" bestFit="1" customWidth="1"/>
    <col min="2244" max="2244" width="7" customWidth="1"/>
    <col min="2245" max="2245" width="9.6640625" bestFit="1" customWidth="1"/>
    <col min="2246" max="2246" width="7" customWidth="1"/>
    <col min="2247" max="2247" width="9.6640625" bestFit="1" customWidth="1"/>
    <col min="2248" max="2248" width="7" customWidth="1"/>
    <col min="2249" max="2249" width="9.6640625" bestFit="1" customWidth="1"/>
    <col min="2250" max="2250" width="7" customWidth="1"/>
    <col min="2251" max="2251" width="6" customWidth="1"/>
    <col min="2252" max="2252" width="9.6640625" bestFit="1" customWidth="1"/>
    <col min="2253" max="2253" width="7" customWidth="1"/>
    <col min="2254" max="2254" width="9.6640625" bestFit="1" customWidth="1"/>
    <col min="2255" max="2255" width="7" customWidth="1"/>
    <col min="2256" max="2256" width="9.6640625" bestFit="1" customWidth="1"/>
    <col min="2257" max="2257" width="7" customWidth="1"/>
    <col min="2258" max="2258" width="9.6640625" bestFit="1" customWidth="1"/>
    <col min="2259" max="2259" width="7" customWidth="1"/>
    <col min="2260" max="2260" width="9.6640625" bestFit="1" customWidth="1"/>
    <col min="2261" max="2261" width="7" customWidth="1"/>
    <col min="2262" max="2262" width="9.6640625" bestFit="1" customWidth="1"/>
    <col min="2263" max="2263" width="7" customWidth="1"/>
    <col min="2264" max="2264" width="5" customWidth="1"/>
    <col min="2265" max="2265" width="9.6640625" bestFit="1" customWidth="1"/>
    <col min="2266" max="2266" width="7" customWidth="1"/>
    <col min="2267" max="2267" width="5" customWidth="1"/>
    <col min="2268" max="2268" width="9.6640625" bestFit="1" customWidth="1"/>
    <col min="2269" max="2269" width="7" customWidth="1"/>
    <col min="2270" max="2270" width="9.6640625" bestFit="1" customWidth="1"/>
    <col min="2271" max="2271" width="7" customWidth="1"/>
    <col min="2272" max="2272" width="9.6640625" bestFit="1" customWidth="1"/>
    <col min="2273" max="2273" width="7" customWidth="1"/>
    <col min="2274" max="2274" width="9.6640625" bestFit="1" customWidth="1"/>
    <col min="2275" max="2275" width="7" customWidth="1"/>
    <col min="2276" max="2276" width="9.6640625" bestFit="1" customWidth="1"/>
    <col min="2277" max="2277" width="7" customWidth="1"/>
    <col min="2278" max="2278" width="9.6640625" bestFit="1" customWidth="1"/>
    <col min="2279" max="2279" width="7" customWidth="1"/>
    <col min="2280" max="2280" width="9.6640625" bestFit="1" customWidth="1"/>
    <col min="2281" max="2281" width="7" customWidth="1"/>
    <col min="2282" max="2282" width="9.6640625" bestFit="1" customWidth="1"/>
    <col min="2283" max="2283" width="7" customWidth="1"/>
    <col min="2284" max="2284" width="9.6640625" bestFit="1" customWidth="1"/>
    <col min="2285" max="2285" width="7" customWidth="1"/>
    <col min="2286" max="2286" width="9.6640625" bestFit="1" customWidth="1"/>
    <col min="2287" max="2287" width="7" customWidth="1"/>
    <col min="2288" max="2288" width="9.6640625" bestFit="1" customWidth="1"/>
    <col min="2289" max="2289" width="7" customWidth="1"/>
    <col min="2290" max="2290" width="9.6640625" bestFit="1" customWidth="1"/>
    <col min="2291" max="2291" width="7" customWidth="1"/>
    <col min="2292" max="2292" width="9.6640625" bestFit="1" customWidth="1"/>
    <col min="2293" max="2293" width="7" customWidth="1"/>
    <col min="2294" max="2294" width="9.6640625" bestFit="1" customWidth="1"/>
    <col min="2295" max="2295" width="7" customWidth="1"/>
    <col min="2296" max="2296" width="9.6640625" bestFit="1" customWidth="1"/>
    <col min="2297" max="2297" width="7" customWidth="1"/>
    <col min="2298" max="2298" width="9.6640625" bestFit="1" customWidth="1"/>
    <col min="2299" max="2299" width="7" customWidth="1"/>
    <col min="2300" max="2300" width="6" customWidth="1"/>
    <col min="2301" max="2301" width="9.6640625" bestFit="1" customWidth="1"/>
    <col min="2302" max="2302" width="7" customWidth="1"/>
    <col min="2303" max="2304" width="6" customWidth="1"/>
    <col min="2305" max="2305" width="9.6640625" bestFit="1" customWidth="1"/>
    <col min="2306" max="2306" width="7" customWidth="1"/>
    <col min="2307" max="2307" width="6" customWidth="1"/>
    <col min="2308" max="2308" width="9.6640625" bestFit="1" customWidth="1"/>
    <col min="2309" max="2309" width="7" customWidth="1"/>
    <col min="2310" max="2310" width="9.6640625" bestFit="1" customWidth="1"/>
    <col min="2311" max="2311" width="7" customWidth="1"/>
    <col min="2312" max="2312" width="9.6640625" bestFit="1" customWidth="1"/>
    <col min="2313" max="2313" width="7" customWidth="1"/>
    <col min="2314" max="2314" width="9.6640625" bestFit="1" customWidth="1"/>
    <col min="2315" max="2315" width="7" customWidth="1"/>
    <col min="2316" max="2316" width="9.6640625" bestFit="1" customWidth="1"/>
    <col min="2317" max="2317" width="7" customWidth="1"/>
    <col min="2318" max="2318" width="6" customWidth="1"/>
    <col min="2319" max="2319" width="5" customWidth="1"/>
    <col min="2320" max="2320" width="9.6640625" bestFit="1" customWidth="1"/>
    <col min="2321" max="2321" width="7" customWidth="1"/>
    <col min="2322" max="2323" width="6" customWidth="1"/>
    <col min="2324" max="2324" width="9.6640625" bestFit="1" customWidth="1"/>
    <col min="2325" max="2325" width="7" customWidth="1"/>
    <col min="2326" max="2326" width="9.6640625" bestFit="1" customWidth="1"/>
    <col min="2327" max="2327" width="7" customWidth="1"/>
    <col min="2328" max="2328" width="9.6640625" bestFit="1" customWidth="1"/>
    <col min="2329" max="2329" width="7" customWidth="1"/>
    <col min="2330" max="2330" width="9.6640625" bestFit="1" customWidth="1"/>
    <col min="2331" max="2331" width="7" customWidth="1"/>
    <col min="2332" max="2332" width="6" customWidth="1"/>
    <col min="2333" max="2333" width="9.6640625" bestFit="1" customWidth="1"/>
    <col min="2334" max="2334" width="7" customWidth="1"/>
    <col min="2335" max="2335" width="6" customWidth="1"/>
    <col min="2336" max="2336" width="9.6640625" bestFit="1" customWidth="1"/>
    <col min="2337" max="2337" width="7" customWidth="1"/>
    <col min="2338" max="2338" width="9.6640625" bestFit="1" customWidth="1"/>
    <col min="2339" max="2339" width="7" customWidth="1"/>
    <col min="2340" max="2340" width="5" customWidth="1"/>
    <col min="2341" max="2341" width="9.6640625" bestFit="1" customWidth="1"/>
    <col min="2342" max="2342" width="7" customWidth="1"/>
    <col min="2343" max="2343" width="9.6640625" bestFit="1" customWidth="1"/>
    <col min="2344" max="2344" width="7" customWidth="1"/>
    <col min="2345" max="2345" width="6" customWidth="1"/>
    <col min="2346" max="2346" width="9.6640625" bestFit="1" customWidth="1"/>
    <col min="2347" max="2347" width="7" customWidth="1"/>
    <col min="2348" max="2348" width="9.6640625" bestFit="1" customWidth="1"/>
    <col min="2349" max="2349" width="7" customWidth="1"/>
    <col min="2350" max="2350" width="6" customWidth="1"/>
    <col min="2351" max="2351" width="9.6640625" bestFit="1" customWidth="1"/>
    <col min="2352" max="2352" width="7" customWidth="1"/>
    <col min="2353" max="2353" width="9.6640625" bestFit="1" customWidth="1"/>
    <col min="2354" max="2354" width="7" customWidth="1"/>
    <col min="2355" max="2355" width="4" customWidth="1"/>
    <col min="2356" max="2356" width="6" customWidth="1"/>
    <col min="2357" max="2357" width="9.6640625" bestFit="1" customWidth="1"/>
    <col min="2358" max="2358" width="7" customWidth="1"/>
    <col min="2359" max="2359" width="6" customWidth="1"/>
    <col min="2360" max="2360" width="9.6640625" bestFit="1" customWidth="1"/>
    <col min="2361" max="2361" width="7" customWidth="1"/>
    <col min="2362" max="2362" width="6" customWidth="1"/>
    <col min="2363" max="2363" width="9.6640625" bestFit="1" customWidth="1"/>
    <col min="2364" max="2364" width="7" customWidth="1"/>
    <col min="2365" max="2365" width="9.6640625" bestFit="1" customWidth="1"/>
    <col min="2366" max="2366" width="7" customWidth="1"/>
    <col min="2367" max="2367" width="5" customWidth="1"/>
    <col min="2368" max="2368" width="9.6640625" bestFit="1" customWidth="1"/>
    <col min="2369" max="2369" width="7" customWidth="1"/>
    <col min="2370" max="2370" width="9.6640625" bestFit="1" customWidth="1"/>
    <col min="2371" max="2371" width="7" customWidth="1"/>
    <col min="2372" max="2372" width="6" customWidth="1"/>
    <col min="2373" max="2373" width="9.6640625" bestFit="1" customWidth="1"/>
    <col min="2374" max="2374" width="7" customWidth="1"/>
    <col min="2375" max="2375" width="6" customWidth="1"/>
    <col min="2376" max="2376" width="9.6640625" bestFit="1" customWidth="1"/>
    <col min="2377" max="2377" width="7" customWidth="1"/>
    <col min="2378" max="2378" width="9.6640625" bestFit="1" customWidth="1"/>
    <col min="2379" max="2379" width="7" customWidth="1"/>
    <col min="2380" max="2380" width="9.6640625" bestFit="1" customWidth="1"/>
    <col min="2381" max="2381" width="7" customWidth="1"/>
    <col min="2382" max="2382" width="9.6640625" bestFit="1" customWidth="1"/>
    <col min="2383" max="2383" width="7" customWidth="1"/>
    <col min="2384" max="2384" width="2" customWidth="1"/>
    <col min="2385" max="2385" width="9.6640625" bestFit="1" customWidth="1"/>
    <col min="2386" max="2386" width="7" customWidth="1"/>
    <col min="2387" max="2388" width="6" customWidth="1"/>
    <col min="2389" max="2389" width="9.6640625" bestFit="1" customWidth="1"/>
    <col min="2390" max="2390" width="7" customWidth="1"/>
    <col min="2391" max="2391" width="9.6640625" bestFit="1" customWidth="1"/>
    <col min="2392" max="2392" width="7" customWidth="1"/>
    <col min="2393" max="2393" width="9.6640625" bestFit="1" customWidth="1"/>
    <col min="2394" max="2394" width="7" customWidth="1"/>
    <col min="2395" max="2395" width="9.6640625" bestFit="1" customWidth="1"/>
    <col min="2396" max="2396" width="7" customWidth="1"/>
    <col min="2397" max="2397" width="9.6640625" bestFit="1" customWidth="1"/>
    <col min="2398" max="2398" width="7" customWidth="1"/>
    <col min="2399" max="2399" width="9.6640625" bestFit="1" customWidth="1"/>
    <col min="2400" max="2400" width="7" customWidth="1"/>
    <col min="2401" max="2401" width="6" customWidth="1"/>
    <col min="2402" max="2402" width="9.6640625" bestFit="1" customWidth="1"/>
    <col min="2403" max="2403" width="7" customWidth="1"/>
    <col min="2404" max="2404" width="5" customWidth="1"/>
    <col min="2405" max="2405" width="9.6640625" bestFit="1" customWidth="1"/>
    <col min="2406" max="2406" width="7" customWidth="1"/>
    <col min="2407" max="2407" width="9.6640625" bestFit="1" customWidth="1"/>
    <col min="2408" max="2408" width="7" customWidth="1"/>
    <col min="2409" max="2409" width="9.6640625" bestFit="1" customWidth="1"/>
    <col min="2410" max="2410" width="7" customWidth="1"/>
    <col min="2411" max="2411" width="9.6640625" bestFit="1" customWidth="1"/>
    <col min="2412" max="2412" width="7" customWidth="1"/>
    <col min="2413" max="2413" width="5" customWidth="1"/>
    <col min="2414" max="2414" width="9.6640625" bestFit="1" customWidth="1"/>
    <col min="2415" max="2415" width="7" customWidth="1"/>
    <col min="2416" max="2416" width="5" customWidth="1"/>
    <col min="2417" max="2417" width="6" customWidth="1"/>
    <col min="2418" max="2418" width="9.6640625" bestFit="1" customWidth="1"/>
    <col min="2419" max="2419" width="7" customWidth="1"/>
    <col min="2420" max="2420" width="6" customWidth="1"/>
    <col min="2421" max="2421" width="9.6640625" bestFit="1" customWidth="1"/>
    <col min="2422" max="2422" width="7" customWidth="1"/>
    <col min="2423" max="2423" width="9.6640625" bestFit="1" customWidth="1"/>
    <col min="2424" max="2424" width="7" customWidth="1"/>
    <col min="2425" max="2425" width="6" customWidth="1"/>
    <col min="2426" max="2426" width="9.6640625" bestFit="1" customWidth="1"/>
    <col min="2427" max="2427" width="7" customWidth="1"/>
    <col min="2428" max="2428" width="9.6640625" bestFit="1" customWidth="1"/>
    <col min="2429" max="2429" width="7" customWidth="1"/>
    <col min="2430" max="2430" width="9.6640625" bestFit="1" customWidth="1"/>
    <col min="2431" max="2431" width="7" customWidth="1"/>
    <col min="2432" max="2432" width="6" customWidth="1"/>
    <col min="2433" max="2433" width="9.6640625" bestFit="1" customWidth="1"/>
    <col min="2434" max="2434" width="7" customWidth="1"/>
    <col min="2435" max="2435" width="9.6640625" bestFit="1" customWidth="1"/>
    <col min="2436" max="2436" width="7" customWidth="1"/>
    <col min="2437" max="2437" width="9.6640625" bestFit="1" customWidth="1"/>
    <col min="2438" max="2438" width="7" customWidth="1"/>
    <col min="2439" max="2440" width="6" customWidth="1"/>
    <col min="2441" max="2441" width="9.6640625" bestFit="1" customWidth="1"/>
    <col min="2442" max="2442" width="7" customWidth="1"/>
    <col min="2443" max="2443" width="9.6640625" bestFit="1" customWidth="1"/>
    <col min="2444" max="2444" width="7" customWidth="1"/>
    <col min="2445" max="2445" width="9.6640625" bestFit="1" customWidth="1"/>
    <col min="2446" max="2446" width="7" customWidth="1"/>
    <col min="2447" max="2447" width="9.6640625" bestFit="1" customWidth="1"/>
    <col min="2448" max="2448" width="7" customWidth="1"/>
    <col min="2449" max="2449" width="9.6640625" bestFit="1" customWidth="1"/>
    <col min="2450" max="2450" width="7" customWidth="1"/>
    <col min="2451" max="2451" width="9.6640625" bestFit="1" customWidth="1"/>
    <col min="2452" max="2452" width="7" customWidth="1"/>
    <col min="2453" max="2453" width="6" customWidth="1"/>
    <col min="2454" max="2454" width="9.6640625" bestFit="1" customWidth="1"/>
    <col min="2455" max="2455" width="7" customWidth="1"/>
    <col min="2456" max="2456" width="9.6640625" bestFit="1" customWidth="1"/>
    <col min="2457" max="2457" width="7" customWidth="1"/>
    <col min="2458" max="2458" width="9.6640625" bestFit="1" customWidth="1"/>
    <col min="2459" max="2459" width="7" customWidth="1"/>
    <col min="2460" max="2460" width="5" customWidth="1"/>
    <col min="2461" max="2461" width="9.6640625" bestFit="1" customWidth="1"/>
    <col min="2462" max="2462" width="7" customWidth="1"/>
    <col min="2463" max="2463" width="4" customWidth="1"/>
    <col min="2464" max="2465" width="6" customWidth="1"/>
    <col min="2466" max="2466" width="9.6640625" bestFit="1" customWidth="1"/>
    <col min="2467" max="2467" width="7" customWidth="1"/>
    <col min="2468" max="2468" width="5" customWidth="1"/>
    <col min="2469" max="2469" width="9.6640625" bestFit="1" customWidth="1"/>
    <col min="2470" max="2470" width="7" customWidth="1"/>
    <col min="2471" max="2471" width="9.6640625" bestFit="1" customWidth="1"/>
    <col min="2472" max="2472" width="7" customWidth="1"/>
    <col min="2473" max="2473" width="6" customWidth="1"/>
    <col min="2474" max="2474" width="9.6640625" bestFit="1" customWidth="1"/>
    <col min="2475" max="2475" width="7" customWidth="1"/>
    <col min="2476" max="2476" width="9.6640625" bestFit="1" customWidth="1"/>
    <col min="2477" max="2477" width="7" customWidth="1"/>
    <col min="2478" max="2478" width="9.6640625" bestFit="1" customWidth="1"/>
    <col min="2479" max="2479" width="7" customWidth="1"/>
    <col min="2480" max="2480" width="9.6640625" bestFit="1" customWidth="1"/>
    <col min="2481" max="2481" width="7" customWidth="1"/>
    <col min="2482" max="2482" width="9.6640625" bestFit="1" customWidth="1"/>
    <col min="2483" max="2483" width="7" customWidth="1"/>
    <col min="2484" max="2484" width="5" customWidth="1"/>
    <col min="2485" max="2485" width="9.6640625" bestFit="1" customWidth="1"/>
    <col min="2486" max="2486" width="7" customWidth="1"/>
    <col min="2487" max="2487" width="6" customWidth="1"/>
    <col min="2488" max="2488" width="9.6640625" bestFit="1" customWidth="1"/>
    <col min="2489" max="2489" width="7" customWidth="1"/>
    <col min="2490" max="2490" width="5" customWidth="1"/>
    <col min="2491" max="2491" width="9.6640625" bestFit="1" customWidth="1"/>
    <col min="2492" max="2492" width="7" customWidth="1"/>
    <col min="2493" max="2493" width="9.6640625" bestFit="1" customWidth="1"/>
    <col min="2494" max="2494" width="7" customWidth="1"/>
    <col min="2495" max="2495" width="9.6640625" bestFit="1" customWidth="1"/>
    <col min="2496" max="2496" width="7" customWidth="1"/>
    <col min="2497" max="2497" width="6" customWidth="1"/>
    <col min="2498" max="2498" width="9.6640625" bestFit="1" customWidth="1"/>
    <col min="2499" max="2499" width="7" customWidth="1"/>
    <col min="2500" max="2500" width="6" customWidth="1"/>
    <col min="2501" max="2501" width="9.6640625" bestFit="1" customWidth="1"/>
    <col min="2502" max="2502" width="7" customWidth="1"/>
    <col min="2503" max="2503" width="9.6640625" bestFit="1" customWidth="1"/>
    <col min="2504" max="2504" width="7" customWidth="1"/>
    <col min="2505" max="2505" width="5" customWidth="1"/>
    <col min="2506" max="2506" width="9.6640625" bestFit="1" customWidth="1"/>
    <col min="2507" max="2507" width="7" customWidth="1"/>
    <col min="2508" max="2508" width="9.6640625" bestFit="1" customWidth="1"/>
    <col min="2509" max="2509" width="7" customWidth="1"/>
    <col min="2510" max="2511" width="6" customWidth="1"/>
    <col min="2512" max="2512" width="9.6640625" bestFit="1" customWidth="1"/>
    <col min="2513" max="2513" width="7" customWidth="1"/>
    <col min="2514" max="2514" width="6" customWidth="1"/>
    <col min="2515" max="2515" width="9.6640625" bestFit="1" customWidth="1"/>
    <col min="2516" max="2516" width="7" customWidth="1"/>
    <col min="2517" max="2517" width="6" customWidth="1"/>
    <col min="2518" max="2518" width="9.6640625" bestFit="1" customWidth="1"/>
    <col min="2519" max="2519" width="7" customWidth="1"/>
    <col min="2520" max="2520" width="9.6640625" bestFit="1" customWidth="1"/>
    <col min="2521" max="2521" width="7" customWidth="1"/>
    <col min="2522" max="2522" width="9.6640625" bestFit="1" customWidth="1"/>
    <col min="2523" max="2523" width="7" customWidth="1"/>
    <col min="2524" max="2524" width="9.6640625" bestFit="1" customWidth="1"/>
    <col min="2525" max="2525" width="7" customWidth="1"/>
    <col min="2526" max="2526" width="9.6640625" bestFit="1" customWidth="1"/>
    <col min="2527" max="2527" width="7" customWidth="1"/>
    <col min="2528" max="2528" width="9.6640625" bestFit="1" customWidth="1"/>
    <col min="2529" max="2529" width="7" customWidth="1"/>
    <col min="2530" max="2530" width="9.6640625" bestFit="1" customWidth="1"/>
    <col min="2531" max="2531" width="7" customWidth="1"/>
    <col min="2532" max="2532" width="9.6640625" bestFit="1" customWidth="1"/>
    <col min="2533" max="2533" width="7" customWidth="1"/>
    <col min="2534" max="2534" width="9.6640625" bestFit="1" customWidth="1"/>
    <col min="2535" max="2535" width="7" customWidth="1"/>
    <col min="2536" max="2536" width="9.6640625" bestFit="1" customWidth="1"/>
    <col min="2537" max="2537" width="7" customWidth="1"/>
    <col min="2538" max="2538" width="6" customWidth="1"/>
    <col min="2539" max="2539" width="9.6640625" bestFit="1" customWidth="1"/>
    <col min="2540" max="2540" width="7" customWidth="1"/>
    <col min="2541" max="2541" width="9.6640625" bestFit="1" customWidth="1"/>
    <col min="2542" max="2542" width="7" customWidth="1"/>
    <col min="2543" max="2543" width="9.6640625" bestFit="1" customWidth="1"/>
    <col min="2544" max="2544" width="7" customWidth="1"/>
    <col min="2545" max="2545" width="9.6640625" bestFit="1" customWidth="1"/>
    <col min="2546" max="2546" width="7" customWidth="1"/>
    <col min="2547" max="2547" width="9.6640625" bestFit="1" customWidth="1"/>
    <col min="2548" max="2548" width="7" customWidth="1"/>
    <col min="2549" max="2549" width="9.6640625" bestFit="1" customWidth="1"/>
    <col min="2550" max="2550" width="7" customWidth="1"/>
    <col min="2551" max="2551" width="5" customWidth="1"/>
    <col min="2552" max="2552" width="9.6640625" bestFit="1" customWidth="1"/>
    <col min="2553" max="2553" width="7" customWidth="1"/>
    <col min="2554" max="2554" width="9.6640625" bestFit="1" customWidth="1"/>
    <col min="2555" max="2555" width="7" customWidth="1"/>
    <col min="2556" max="2556" width="9.6640625" bestFit="1" customWidth="1"/>
    <col min="2557" max="2557" width="7" customWidth="1"/>
    <col min="2558" max="2558" width="6" customWidth="1"/>
    <col min="2559" max="2559" width="9.6640625" bestFit="1" customWidth="1"/>
    <col min="2560" max="2560" width="7" customWidth="1"/>
    <col min="2561" max="2561" width="9.6640625" bestFit="1" customWidth="1"/>
    <col min="2562" max="2562" width="7" customWidth="1"/>
    <col min="2563" max="2563" width="9.6640625" bestFit="1" customWidth="1"/>
    <col min="2564" max="2564" width="7" customWidth="1"/>
    <col min="2565" max="2565" width="9.6640625" bestFit="1" customWidth="1"/>
    <col min="2566" max="2566" width="7" customWidth="1"/>
    <col min="2567" max="2567" width="9.6640625" bestFit="1" customWidth="1"/>
    <col min="2568" max="2568" width="7" customWidth="1"/>
    <col min="2569" max="2569" width="6" customWidth="1"/>
    <col min="2570" max="2570" width="9.6640625" bestFit="1" customWidth="1"/>
    <col min="2571" max="2571" width="7" customWidth="1"/>
    <col min="2572" max="2572" width="9.6640625" bestFit="1" customWidth="1"/>
    <col min="2573" max="2573" width="7" customWidth="1"/>
    <col min="2574" max="2575" width="6" customWidth="1"/>
    <col min="2576" max="2576" width="9.6640625" bestFit="1" customWidth="1"/>
    <col min="2577" max="2577" width="7" customWidth="1"/>
    <col min="2578" max="2578" width="9.6640625" bestFit="1" customWidth="1"/>
    <col min="2579" max="2579" width="7" customWidth="1"/>
    <col min="2580" max="2580" width="5" customWidth="1"/>
    <col min="2581" max="2581" width="9.6640625" bestFit="1" customWidth="1"/>
    <col min="2582" max="2582" width="7" customWidth="1"/>
    <col min="2583" max="2583" width="6" customWidth="1"/>
    <col min="2584" max="2584" width="9.6640625" bestFit="1" customWidth="1"/>
    <col min="2585" max="2585" width="7" customWidth="1"/>
    <col min="2586" max="2586" width="9.6640625" bestFit="1" customWidth="1"/>
    <col min="2587" max="2587" width="7" customWidth="1"/>
    <col min="2588" max="2588" width="9.6640625" bestFit="1" customWidth="1"/>
    <col min="2589" max="2589" width="7" customWidth="1"/>
    <col min="2590" max="2590" width="6" customWidth="1"/>
    <col min="2591" max="2591" width="9.6640625" bestFit="1" customWidth="1"/>
    <col min="2592" max="2592" width="7" customWidth="1"/>
    <col min="2593" max="2593" width="9.6640625" bestFit="1" customWidth="1"/>
    <col min="2594" max="2594" width="7" customWidth="1"/>
    <col min="2595" max="2595" width="9.6640625" bestFit="1" customWidth="1"/>
    <col min="2596" max="2596" width="7" customWidth="1"/>
    <col min="2597" max="2597" width="9.6640625" bestFit="1" customWidth="1"/>
    <col min="2598" max="2598" width="7" customWidth="1"/>
    <col min="2599" max="2599" width="9.6640625" bestFit="1" customWidth="1"/>
    <col min="2600" max="2600" width="7" customWidth="1"/>
    <col min="2601" max="2601" width="9.6640625" bestFit="1" customWidth="1"/>
    <col min="2602" max="2602" width="7" customWidth="1"/>
    <col min="2603" max="2603" width="9.6640625" bestFit="1" customWidth="1"/>
    <col min="2604" max="2604" width="7" customWidth="1"/>
    <col min="2605" max="2605" width="9.6640625" bestFit="1" customWidth="1"/>
    <col min="2606" max="2606" width="7" customWidth="1"/>
    <col min="2607" max="2607" width="9.6640625" bestFit="1" customWidth="1"/>
    <col min="2608" max="2608" width="7" customWidth="1"/>
    <col min="2609" max="2609" width="9.6640625" bestFit="1" customWidth="1"/>
    <col min="2610" max="2610" width="7" customWidth="1"/>
    <col min="2611" max="2611" width="6" customWidth="1"/>
    <col min="2612" max="2612" width="9.6640625" bestFit="1" customWidth="1"/>
    <col min="2613" max="2613" width="7" customWidth="1"/>
    <col min="2614" max="2614" width="9.6640625" bestFit="1" customWidth="1"/>
    <col min="2615" max="2615" width="7" customWidth="1"/>
    <col min="2616" max="2616" width="9.6640625" bestFit="1" customWidth="1"/>
    <col min="2617" max="2617" width="7" customWidth="1"/>
    <col min="2618" max="2618" width="9.6640625" bestFit="1" customWidth="1"/>
    <col min="2619" max="2619" width="7" customWidth="1"/>
    <col min="2620" max="2620" width="9.6640625" bestFit="1" customWidth="1"/>
    <col min="2621" max="2621" width="7" customWidth="1"/>
    <col min="2622" max="2622" width="9.6640625" bestFit="1" customWidth="1"/>
    <col min="2623" max="2623" width="7" customWidth="1"/>
    <col min="2624" max="2624" width="9.6640625" bestFit="1" customWidth="1"/>
    <col min="2625" max="2625" width="7" customWidth="1"/>
    <col min="2626" max="2626" width="6" customWidth="1"/>
    <col min="2627" max="2627" width="9.6640625" bestFit="1" customWidth="1"/>
    <col min="2628" max="2628" width="7" customWidth="1"/>
    <col min="2629" max="2629" width="9.6640625" bestFit="1" customWidth="1"/>
    <col min="2630" max="2630" width="7" customWidth="1"/>
    <col min="2631" max="2631" width="6" customWidth="1"/>
    <col min="2632" max="2632" width="9.6640625" bestFit="1" customWidth="1"/>
    <col min="2633" max="2633" width="7" customWidth="1"/>
    <col min="2634" max="2634" width="9.6640625" bestFit="1" customWidth="1"/>
    <col min="2635" max="2635" width="7" customWidth="1"/>
    <col min="2636" max="2636" width="6" customWidth="1"/>
    <col min="2637" max="2637" width="9.6640625" bestFit="1" customWidth="1"/>
    <col min="2638" max="2638" width="7" customWidth="1"/>
    <col min="2639" max="2639" width="9.6640625" bestFit="1" customWidth="1"/>
    <col min="2640" max="2640" width="7" customWidth="1"/>
    <col min="2641" max="2641" width="9.6640625" bestFit="1" customWidth="1"/>
    <col min="2642" max="2642" width="7" customWidth="1"/>
    <col min="2643" max="2643" width="9.6640625" bestFit="1" customWidth="1"/>
    <col min="2644" max="2644" width="7" customWidth="1"/>
    <col min="2645" max="2645" width="9.6640625" bestFit="1" customWidth="1"/>
    <col min="2646" max="2646" width="7" customWidth="1"/>
    <col min="2647" max="2647" width="9.6640625" bestFit="1" customWidth="1"/>
    <col min="2648" max="2648" width="7" customWidth="1"/>
    <col min="2649" max="2649" width="9.6640625" bestFit="1" customWidth="1"/>
    <col min="2650" max="2650" width="7" customWidth="1"/>
    <col min="2651" max="2651" width="9.6640625" bestFit="1" customWidth="1"/>
    <col min="2652" max="2652" width="7" customWidth="1"/>
    <col min="2653" max="2653" width="9.6640625" bestFit="1" customWidth="1"/>
    <col min="2654" max="2654" width="7" customWidth="1"/>
    <col min="2655" max="2655" width="6" customWidth="1"/>
    <col min="2656" max="2656" width="9.6640625" bestFit="1" customWidth="1"/>
    <col min="2657" max="2657" width="7" customWidth="1"/>
    <col min="2658" max="2658" width="6" customWidth="1"/>
    <col min="2659" max="2659" width="9.6640625" bestFit="1" customWidth="1"/>
    <col min="2660" max="2660" width="7" customWidth="1"/>
    <col min="2661" max="2661" width="9.6640625" bestFit="1" customWidth="1"/>
    <col min="2662" max="2662" width="7" customWidth="1"/>
    <col min="2663" max="2663" width="9.6640625" bestFit="1" customWidth="1"/>
    <col min="2664" max="2664" width="7" customWidth="1"/>
    <col min="2665" max="2665" width="9.6640625" bestFit="1" customWidth="1"/>
    <col min="2666" max="2666" width="7" customWidth="1"/>
    <col min="2667" max="2667" width="9.6640625" bestFit="1" customWidth="1"/>
    <col min="2668" max="2668" width="7" customWidth="1"/>
    <col min="2669" max="2669" width="6" customWidth="1"/>
    <col min="2670" max="2670" width="9.6640625" bestFit="1" customWidth="1"/>
    <col min="2671" max="2671" width="7" customWidth="1"/>
    <col min="2672" max="2672" width="9.6640625" bestFit="1" customWidth="1"/>
    <col min="2673" max="2673" width="7" customWidth="1"/>
    <col min="2674" max="2674" width="9.6640625" bestFit="1" customWidth="1"/>
    <col min="2675" max="2675" width="7" customWidth="1"/>
    <col min="2676" max="2677" width="5" customWidth="1"/>
    <col min="2678" max="2678" width="6" customWidth="1"/>
    <col min="2679" max="2679" width="9.6640625" bestFit="1" customWidth="1"/>
    <col min="2680" max="2680" width="7" customWidth="1"/>
    <col min="2681" max="2681" width="5" customWidth="1"/>
    <col min="2682" max="2682" width="9.6640625" bestFit="1" customWidth="1"/>
    <col min="2683" max="2683" width="7" customWidth="1"/>
    <col min="2684" max="2684" width="6" customWidth="1"/>
    <col min="2685" max="2685" width="9.6640625" bestFit="1" customWidth="1"/>
    <col min="2686" max="2686" width="7" customWidth="1"/>
    <col min="2687" max="2687" width="9.6640625" bestFit="1" customWidth="1"/>
    <col min="2688" max="2688" width="7" customWidth="1"/>
    <col min="2689" max="2689" width="3" customWidth="1"/>
    <col min="2690" max="2690" width="6" customWidth="1"/>
    <col min="2691" max="2691" width="9.6640625" bestFit="1" customWidth="1"/>
    <col min="2692" max="2692" width="7" customWidth="1"/>
    <col min="2693" max="2693" width="9.6640625" bestFit="1" customWidth="1"/>
    <col min="2694" max="2694" width="7" customWidth="1"/>
    <col min="2695" max="2695" width="9.6640625" bestFit="1" customWidth="1"/>
    <col min="2696" max="2696" width="7" customWidth="1"/>
    <col min="2697" max="2697" width="9.6640625" bestFit="1" customWidth="1"/>
    <col min="2698" max="2698" width="7" customWidth="1"/>
    <col min="2699" max="2699" width="9.6640625" bestFit="1" customWidth="1"/>
    <col min="2700" max="2700" width="7" customWidth="1"/>
    <col min="2701" max="2701" width="6" customWidth="1"/>
    <col min="2702" max="2702" width="9.6640625" bestFit="1" customWidth="1"/>
    <col min="2703" max="2703" width="7" customWidth="1"/>
    <col min="2704" max="2704" width="9.6640625" bestFit="1" customWidth="1"/>
    <col min="2705" max="2705" width="7" customWidth="1"/>
    <col min="2706" max="2706" width="6" customWidth="1"/>
    <col min="2707" max="2707" width="9.6640625" bestFit="1" customWidth="1"/>
    <col min="2708" max="2708" width="7" customWidth="1"/>
    <col min="2709" max="2709" width="6" customWidth="1"/>
    <col min="2710" max="2710" width="9.6640625" bestFit="1" customWidth="1"/>
    <col min="2711" max="2711" width="7" customWidth="1"/>
    <col min="2712" max="2712" width="9.6640625" bestFit="1" customWidth="1"/>
    <col min="2713" max="2713" width="7" customWidth="1"/>
    <col min="2714" max="2714" width="9.6640625" bestFit="1" customWidth="1"/>
    <col min="2715" max="2715" width="7" customWidth="1"/>
    <col min="2716" max="2716" width="9.6640625" bestFit="1" customWidth="1"/>
    <col min="2717" max="2717" width="7" customWidth="1"/>
    <col min="2718" max="2718" width="9.6640625" bestFit="1" customWidth="1"/>
    <col min="2719" max="2719" width="7" customWidth="1"/>
    <col min="2720" max="2720" width="9.6640625" bestFit="1" customWidth="1"/>
    <col min="2721" max="2721" width="7" customWidth="1"/>
    <col min="2722" max="2722" width="6" customWidth="1"/>
    <col min="2723" max="2723" width="9.6640625" bestFit="1" customWidth="1"/>
    <col min="2724" max="2724" width="7" customWidth="1"/>
    <col min="2725" max="2725" width="9.6640625" bestFit="1" customWidth="1"/>
    <col min="2726" max="2726" width="7" customWidth="1"/>
    <col min="2727" max="2727" width="9.6640625" bestFit="1" customWidth="1"/>
    <col min="2728" max="2728" width="7" customWidth="1"/>
    <col min="2729" max="2730" width="6" customWidth="1"/>
    <col min="2731" max="2731" width="9.6640625" bestFit="1" customWidth="1"/>
    <col min="2732" max="2732" width="7" customWidth="1"/>
    <col min="2733" max="2733" width="9.6640625" bestFit="1" customWidth="1"/>
    <col min="2734" max="2734" width="7" customWidth="1"/>
    <col min="2735" max="2735" width="6" customWidth="1"/>
    <col min="2736" max="2736" width="9.6640625" bestFit="1" customWidth="1"/>
    <col min="2737" max="2737" width="7" customWidth="1"/>
    <col min="2738" max="2738" width="9.6640625" bestFit="1" customWidth="1"/>
    <col min="2739" max="2739" width="7" customWidth="1"/>
    <col min="2740" max="2740" width="9.6640625" bestFit="1" customWidth="1"/>
    <col min="2741" max="2741" width="7" customWidth="1"/>
    <col min="2742" max="2742" width="6" customWidth="1"/>
    <col min="2743" max="2743" width="9.6640625" bestFit="1" customWidth="1"/>
    <col min="2744" max="2744" width="7" customWidth="1"/>
    <col min="2745" max="2745" width="9.6640625" bestFit="1" customWidth="1"/>
    <col min="2746" max="2746" width="7" customWidth="1"/>
    <col min="2747" max="2747" width="5" customWidth="1"/>
    <col min="2748" max="2748" width="9.6640625" bestFit="1" customWidth="1"/>
    <col min="2749" max="2749" width="7" customWidth="1"/>
    <col min="2750" max="2750" width="9.6640625" bestFit="1" customWidth="1"/>
    <col min="2751" max="2751" width="7" customWidth="1"/>
    <col min="2752" max="2752" width="9.6640625" bestFit="1" customWidth="1"/>
    <col min="2753" max="2753" width="7" customWidth="1"/>
    <col min="2754" max="2754" width="9.6640625" bestFit="1" customWidth="1"/>
    <col min="2755" max="2755" width="7" customWidth="1"/>
    <col min="2756" max="2756" width="5" customWidth="1"/>
    <col min="2757" max="2757" width="9.6640625" bestFit="1" customWidth="1"/>
    <col min="2758" max="2758" width="7" customWidth="1"/>
    <col min="2759" max="2759" width="6" customWidth="1"/>
    <col min="2760" max="2760" width="9.6640625" bestFit="1" customWidth="1"/>
    <col min="2761" max="2761" width="7" customWidth="1"/>
    <col min="2762" max="2762" width="9.6640625" bestFit="1" customWidth="1"/>
    <col min="2763" max="2763" width="7" customWidth="1"/>
    <col min="2764" max="2765" width="6" customWidth="1"/>
    <col min="2766" max="2766" width="9.6640625" bestFit="1" customWidth="1"/>
    <col min="2767" max="2767" width="7" customWidth="1"/>
    <col min="2768" max="2768" width="9.6640625" bestFit="1" customWidth="1"/>
    <col min="2769" max="2769" width="7" customWidth="1"/>
    <col min="2770" max="2770" width="9.6640625" bestFit="1" customWidth="1"/>
    <col min="2771" max="2771" width="7" customWidth="1"/>
    <col min="2772" max="2772" width="6" customWidth="1"/>
    <col min="2773" max="2773" width="9.6640625" bestFit="1" customWidth="1"/>
    <col min="2774" max="2774" width="7" customWidth="1"/>
    <col min="2775" max="2775" width="6" customWidth="1"/>
    <col min="2776" max="2776" width="9.6640625" bestFit="1" customWidth="1"/>
    <col min="2777" max="2777" width="7" customWidth="1"/>
    <col min="2778" max="2778" width="9.6640625" bestFit="1" customWidth="1"/>
    <col min="2779" max="2779" width="7" customWidth="1"/>
    <col min="2780" max="2780" width="9.6640625" bestFit="1" customWidth="1"/>
    <col min="2781" max="2781" width="7" customWidth="1"/>
    <col min="2782" max="2782" width="5" customWidth="1"/>
    <col min="2783" max="2783" width="9.6640625" bestFit="1" customWidth="1"/>
    <col min="2784" max="2784" width="7" customWidth="1"/>
    <col min="2785" max="2785" width="9.6640625" bestFit="1" customWidth="1"/>
    <col min="2786" max="2786" width="7" customWidth="1"/>
    <col min="2787" max="2787" width="9.6640625" bestFit="1" customWidth="1"/>
    <col min="2788" max="2788" width="7" customWidth="1"/>
    <col min="2789" max="2789" width="6" customWidth="1"/>
    <col min="2790" max="2790" width="9.6640625" bestFit="1" customWidth="1"/>
    <col min="2791" max="2791" width="7" customWidth="1"/>
    <col min="2792" max="2792" width="9.6640625" bestFit="1" customWidth="1"/>
    <col min="2793" max="2793" width="7" customWidth="1"/>
    <col min="2794" max="2794" width="9.6640625" bestFit="1" customWidth="1"/>
    <col min="2795" max="2795" width="7" customWidth="1"/>
    <col min="2796" max="2796" width="6" customWidth="1"/>
    <col min="2797" max="2797" width="9.6640625" bestFit="1" customWidth="1"/>
    <col min="2798" max="2798" width="7" customWidth="1"/>
    <col min="2799" max="2799" width="9.6640625" bestFit="1" customWidth="1"/>
    <col min="2800" max="2800" width="7" customWidth="1"/>
    <col min="2801" max="2801" width="5" customWidth="1"/>
    <col min="2802" max="2802" width="6" customWidth="1"/>
    <col min="2803" max="2803" width="9.6640625" bestFit="1" customWidth="1"/>
    <col min="2804" max="2804" width="7" customWidth="1"/>
    <col min="2805" max="2805" width="6" customWidth="1"/>
    <col min="2806" max="2806" width="9.6640625" bestFit="1" customWidth="1"/>
    <col min="2807" max="2807" width="7" customWidth="1"/>
    <col min="2808" max="2808" width="9.6640625" bestFit="1" customWidth="1"/>
    <col min="2809" max="2809" width="7" customWidth="1"/>
    <col min="2810" max="2810" width="9.6640625" bestFit="1" customWidth="1"/>
    <col min="2811" max="2811" width="7" customWidth="1"/>
    <col min="2812" max="2812" width="5" customWidth="1"/>
    <col min="2813" max="2813" width="9.6640625" bestFit="1" customWidth="1"/>
    <col min="2814" max="2814" width="7" customWidth="1"/>
    <col min="2815" max="2815" width="9.6640625" bestFit="1" customWidth="1"/>
    <col min="2816" max="2816" width="7" customWidth="1"/>
    <col min="2817" max="2817" width="9.6640625" bestFit="1" customWidth="1"/>
    <col min="2818" max="2818" width="7" customWidth="1"/>
    <col min="2819" max="2819" width="6" customWidth="1"/>
    <col min="2820" max="2820" width="9.6640625" bestFit="1" customWidth="1"/>
    <col min="2821" max="2821" width="7" customWidth="1"/>
    <col min="2822" max="2822" width="9.6640625" bestFit="1" customWidth="1"/>
    <col min="2823" max="2823" width="7" customWidth="1"/>
    <col min="2824" max="2824" width="9.6640625" bestFit="1" customWidth="1"/>
    <col min="2825" max="2825" width="7" customWidth="1"/>
    <col min="2826" max="2826" width="5" customWidth="1"/>
    <col min="2827" max="2827" width="9.6640625" bestFit="1" customWidth="1"/>
    <col min="2828" max="2828" width="7" customWidth="1"/>
    <col min="2829" max="2829" width="9.6640625" bestFit="1" customWidth="1"/>
    <col min="2830" max="2830" width="7" customWidth="1"/>
    <col min="2831" max="2831" width="9.6640625" bestFit="1" customWidth="1"/>
    <col min="2832" max="2832" width="7" customWidth="1"/>
    <col min="2833" max="2833" width="9.6640625" bestFit="1" customWidth="1"/>
    <col min="2834" max="2834" width="7" customWidth="1"/>
    <col min="2835" max="2835" width="9.6640625" bestFit="1" customWidth="1"/>
    <col min="2836" max="2836" width="7" customWidth="1"/>
    <col min="2837" max="2837" width="5" customWidth="1"/>
    <col min="2838" max="2838" width="9.6640625" bestFit="1" customWidth="1"/>
    <col min="2839" max="2839" width="7" customWidth="1"/>
    <col min="2840" max="2840" width="6" customWidth="1"/>
    <col min="2841" max="2841" width="9.6640625" bestFit="1" customWidth="1"/>
    <col min="2842" max="2842" width="7" customWidth="1"/>
    <col min="2843" max="2843" width="6" customWidth="1"/>
    <col min="2844" max="2844" width="9.6640625" bestFit="1" customWidth="1"/>
    <col min="2845" max="2845" width="7" customWidth="1"/>
    <col min="2846" max="2846" width="6" customWidth="1"/>
    <col min="2847" max="2847" width="9.6640625" bestFit="1" customWidth="1"/>
    <col min="2848" max="2848" width="7" customWidth="1"/>
    <col min="2849" max="2849" width="9.6640625" bestFit="1" customWidth="1"/>
    <col min="2850" max="2850" width="7" customWidth="1"/>
    <col min="2851" max="2851" width="9.6640625" bestFit="1" customWidth="1"/>
    <col min="2852" max="2852" width="7" customWidth="1"/>
    <col min="2853" max="2853" width="6" customWidth="1"/>
    <col min="2854" max="2854" width="9.6640625" bestFit="1" customWidth="1"/>
    <col min="2855" max="2855" width="7" customWidth="1"/>
    <col min="2856" max="2856" width="6" customWidth="1"/>
    <col min="2857" max="2857" width="9.6640625" bestFit="1" customWidth="1"/>
    <col min="2858" max="2858" width="7" customWidth="1"/>
    <col min="2859" max="2859" width="9.6640625" bestFit="1" customWidth="1"/>
    <col min="2860" max="2860" width="7" customWidth="1"/>
    <col min="2861" max="2861" width="6" customWidth="1"/>
    <col min="2862" max="2862" width="9.6640625" bestFit="1" customWidth="1"/>
    <col min="2863" max="2863" width="7" customWidth="1"/>
    <col min="2864" max="2864" width="9.6640625" bestFit="1" customWidth="1"/>
    <col min="2865" max="2865" width="7" customWidth="1"/>
    <col min="2866" max="2866" width="9.6640625" bestFit="1" customWidth="1"/>
    <col min="2867" max="2867" width="7" customWidth="1"/>
    <col min="2868" max="2868" width="9.6640625" bestFit="1" customWidth="1"/>
    <col min="2869" max="2869" width="7" customWidth="1"/>
    <col min="2870" max="2870" width="9.6640625" bestFit="1" customWidth="1"/>
    <col min="2871" max="2871" width="7" customWidth="1"/>
    <col min="2872" max="2872" width="5" customWidth="1"/>
    <col min="2873" max="2873" width="6" customWidth="1"/>
    <col min="2874" max="2874" width="9.6640625" bestFit="1" customWidth="1"/>
    <col min="2875" max="2875" width="7" customWidth="1"/>
    <col min="2876" max="2876" width="6" customWidth="1"/>
    <col min="2877" max="2877" width="9.6640625" bestFit="1" customWidth="1"/>
    <col min="2878" max="2878" width="7" customWidth="1"/>
    <col min="2879" max="2879" width="9.6640625" bestFit="1" customWidth="1"/>
    <col min="2880" max="2880" width="7" customWidth="1"/>
    <col min="2881" max="2881" width="9.6640625" bestFit="1" customWidth="1"/>
    <col min="2882" max="2882" width="7" customWidth="1"/>
    <col min="2883" max="2883" width="9.6640625" bestFit="1" customWidth="1"/>
    <col min="2884" max="2884" width="7" customWidth="1"/>
    <col min="2885" max="2885" width="9.6640625" bestFit="1" customWidth="1"/>
    <col min="2886" max="2886" width="7" customWidth="1"/>
    <col min="2887" max="2887" width="9.6640625" bestFit="1" customWidth="1"/>
    <col min="2888" max="2888" width="7" customWidth="1"/>
    <col min="2889" max="2889" width="9.6640625" bestFit="1" customWidth="1"/>
    <col min="2890" max="2890" width="7" customWidth="1"/>
    <col min="2891" max="2891" width="9.6640625" bestFit="1" customWidth="1"/>
    <col min="2892" max="2892" width="7" customWidth="1"/>
    <col min="2893" max="2893" width="9.6640625" bestFit="1" customWidth="1"/>
    <col min="2894" max="2894" width="7" customWidth="1"/>
    <col min="2895" max="2895" width="9.6640625" bestFit="1" customWidth="1"/>
    <col min="2896" max="2896" width="7" customWidth="1"/>
    <col min="2897" max="2897" width="6" customWidth="1"/>
    <col min="2898" max="2898" width="9.6640625" bestFit="1" customWidth="1"/>
    <col min="2899" max="2899" width="7" customWidth="1"/>
    <col min="2900" max="2900" width="6" customWidth="1"/>
    <col min="2901" max="2901" width="9.6640625" bestFit="1" customWidth="1"/>
    <col min="2902" max="2902" width="7" customWidth="1"/>
    <col min="2903" max="2903" width="6" customWidth="1"/>
    <col min="2904" max="2904" width="9.6640625" bestFit="1" customWidth="1"/>
    <col min="2905" max="2905" width="7" customWidth="1"/>
    <col min="2906" max="2906" width="9.6640625" bestFit="1" customWidth="1"/>
    <col min="2907" max="2907" width="7" customWidth="1"/>
    <col min="2908" max="2908" width="6" customWidth="1"/>
    <col min="2909" max="2909" width="9.6640625" bestFit="1" customWidth="1"/>
    <col min="2910" max="2910" width="7" customWidth="1"/>
    <col min="2911" max="2911" width="6" customWidth="1"/>
    <col min="2912" max="2912" width="9.6640625" bestFit="1" customWidth="1"/>
    <col min="2913" max="2913" width="7" customWidth="1"/>
    <col min="2914" max="2914" width="9.6640625" bestFit="1" customWidth="1"/>
    <col min="2915" max="2915" width="7" customWidth="1"/>
    <col min="2916" max="2916" width="9.6640625" bestFit="1" customWidth="1"/>
    <col min="2917" max="2917" width="7" customWidth="1"/>
    <col min="2918" max="2918" width="9.6640625" bestFit="1" customWidth="1"/>
    <col min="2919" max="2919" width="7" customWidth="1"/>
    <col min="2920" max="2920" width="5" customWidth="1"/>
    <col min="2921" max="2921" width="9.6640625" bestFit="1" customWidth="1"/>
    <col min="2922" max="2922" width="7" customWidth="1"/>
    <col min="2923" max="2923" width="6" customWidth="1"/>
    <col min="2924" max="2924" width="9.6640625" bestFit="1" customWidth="1"/>
    <col min="2925" max="2925" width="7" customWidth="1"/>
    <col min="2926" max="2926" width="9.6640625" bestFit="1" customWidth="1"/>
    <col min="2927" max="2927" width="7" customWidth="1"/>
    <col min="2928" max="2928" width="9.6640625" bestFit="1" customWidth="1"/>
    <col min="2929" max="2929" width="7" customWidth="1"/>
    <col min="2930" max="2930" width="9.6640625" bestFit="1" customWidth="1"/>
    <col min="2931" max="2931" width="7" customWidth="1"/>
    <col min="2932" max="2932" width="6" customWidth="1"/>
    <col min="2933" max="2933" width="9.6640625" bestFit="1" customWidth="1"/>
    <col min="2934" max="2934" width="7" customWidth="1"/>
    <col min="2935" max="2935" width="9.6640625" bestFit="1" customWidth="1"/>
    <col min="2936" max="2936" width="7" customWidth="1"/>
    <col min="2937" max="2937" width="9.6640625" bestFit="1" customWidth="1"/>
    <col min="2938" max="2938" width="7" customWidth="1"/>
    <col min="2939" max="2939" width="9.6640625" bestFit="1" customWidth="1"/>
    <col min="2940" max="2940" width="7" customWidth="1"/>
    <col min="2941" max="2941" width="9.6640625" bestFit="1" customWidth="1"/>
    <col min="2942" max="2942" width="7" customWidth="1"/>
    <col min="2943" max="2943" width="9.6640625" bestFit="1" customWidth="1"/>
    <col min="2944" max="2944" width="7" customWidth="1"/>
    <col min="2945" max="2945" width="9.6640625" bestFit="1" customWidth="1"/>
    <col min="2946" max="2946" width="7" customWidth="1"/>
    <col min="2947" max="2947" width="9.6640625" bestFit="1" customWidth="1"/>
    <col min="2948" max="2948" width="7" customWidth="1"/>
    <col min="2949" max="2949" width="9.6640625" bestFit="1" customWidth="1"/>
    <col min="2950" max="2950" width="7" customWidth="1"/>
    <col min="2951" max="2951" width="9.6640625" bestFit="1" customWidth="1"/>
    <col min="2952" max="2952" width="7" customWidth="1"/>
    <col min="2953" max="2953" width="6" customWidth="1"/>
    <col min="2954" max="2954" width="9.6640625" bestFit="1" customWidth="1"/>
    <col min="2955" max="2955" width="7" customWidth="1"/>
    <col min="2956" max="2956" width="9.6640625" bestFit="1" customWidth="1"/>
    <col min="2957" max="2957" width="7" customWidth="1"/>
    <col min="2958" max="2958" width="6" customWidth="1"/>
    <col min="2959" max="2959" width="9.6640625" bestFit="1" customWidth="1"/>
    <col min="2960" max="2960" width="7" customWidth="1"/>
    <col min="2961" max="2961" width="9.6640625" bestFit="1" customWidth="1"/>
    <col min="2962" max="2962" width="7" customWidth="1"/>
    <col min="2963" max="2963" width="9.6640625" bestFit="1" customWidth="1"/>
    <col min="2964" max="2964" width="7" customWidth="1"/>
    <col min="2965" max="2965" width="9.6640625" bestFit="1" customWidth="1"/>
    <col min="2966" max="2966" width="7" customWidth="1"/>
    <col min="2967" max="2967" width="9.6640625" bestFit="1" customWidth="1"/>
    <col min="2968" max="2968" width="7" customWidth="1"/>
    <col min="2969" max="2969" width="9.6640625" bestFit="1" customWidth="1"/>
    <col min="2970" max="2970" width="7" customWidth="1"/>
    <col min="2971" max="2971" width="5" customWidth="1"/>
    <col min="2972" max="2974" width="6" customWidth="1"/>
    <col min="2975" max="2975" width="9.6640625" bestFit="1" customWidth="1"/>
    <col min="2976" max="2976" width="7" customWidth="1"/>
    <col min="2977" max="2977" width="9.6640625" bestFit="1" customWidth="1"/>
    <col min="2978" max="2978" width="7" customWidth="1"/>
    <col min="2979" max="2979" width="9.6640625" bestFit="1" customWidth="1"/>
    <col min="2980" max="2980" width="7" customWidth="1"/>
    <col min="2981" max="2981" width="9.6640625" bestFit="1" customWidth="1"/>
    <col min="2982" max="2982" width="7" customWidth="1"/>
    <col min="2983" max="2983" width="9.6640625" bestFit="1" customWidth="1"/>
    <col min="2984" max="2984" width="7" customWidth="1"/>
    <col min="2985" max="2985" width="9.6640625" bestFit="1" customWidth="1"/>
    <col min="2986" max="2986" width="7" customWidth="1"/>
    <col min="2987" max="2987" width="9.6640625" bestFit="1" customWidth="1"/>
    <col min="2988" max="2988" width="7" customWidth="1"/>
    <col min="2989" max="2989" width="9.6640625" bestFit="1" customWidth="1"/>
    <col min="2990" max="2990" width="7" customWidth="1"/>
    <col min="2991" max="2991" width="9.6640625" bestFit="1" customWidth="1"/>
    <col min="2992" max="2992" width="7" customWidth="1"/>
    <col min="2993" max="2993" width="9.6640625" bestFit="1" customWidth="1"/>
    <col min="2994" max="2994" width="7" customWidth="1"/>
    <col min="2995" max="2995" width="9.6640625" bestFit="1" customWidth="1"/>
    <col min="2996" max="2996" width="7" customWidth="1"/>
    <col min="2997" max="2997" width="6" customWidth="1"/>
    <col min="2998" max="2998" width="9.6640625" bestFit="1" customWidth="1"/>
    <col min="2999" max="2999" width="7" customWidth="1"/>
    <col min="3000" max="3000" width="9.6640625" bestFit="1" customWidth="1"/>
    <col min="3001" max="3001" width="7" customWidth="1"/>
    <col min="3002" max="3002" width="9.6640625" bestFit="1" customWidth="1"/>
    <col min="3003" max="3003" width="7" customWidth="1"/>
    <col min="3004" max="3004" width="9.6640625" bestFit="1" customWidth="1"/>
    <col min="3005" max="3005" width="7" customWidth="1"/>
    <col min="3006" max="3006" width="9.6640625" bestFit="1" customWidth="1"/>
    <col min="3007" max="3007" width="7" customWidth="1"/>
    <col min="3008" max="3008" width="9.6640625" bestFit="1" customWidth="1"/>
    <col min="3009" max="3009" width="7" customWidth="1"/>
    <col min="3010" max="3010" width="9.6640625" bestFit="1" customWidth="1"/>
    <col min="3011" max="3011" width="7" customWidth="1"/>
    <col min="3012" max="3012" width="9.6640625" bestFit="1" customWidth="1"/>
    <col min="3013" max="3013" width="7" customWidth="1"/>
    <col min="3014" max="3014" width="9.6640625" bestFit="1" customWidth="1"/>
    <col min="3015" max="3015" width="7" customWidth="1"/>
    <col min="3016" max="3016" width="9.6640625" bestFit="1" customWidth="1"/>
    <col min="3017" max="3017" width="7" customWidth="1"/>
    <col min="3018" max="3018" width="5" customWidth="1"/>
    <col min="3019" max="3019" width="9.6640625" bestFit="1" customWidth="1"/>
    <col min="3020" max="3020" width="7" customWidth="1"/>
    <col min="3021" max="3021" width="9.6640625" bestFit="1" customWidth="1"/>
    <col min="3022" max="3022" width="7" customWidth="1"/>
    <col min="3023" max="3023" width="2" customWidth="1"/>
    <col min="3024" max="3024" width="9.6640625" bestFit="1" customWidth="1"/>
    <col min="3025" max="3025" width="7" customWidth="1"/>
    <col min="3026" max="3026" width="9.6640625" bestFit="1" customWidth="1"/>
    <col min="3027" max="3027" width="7" customWidth="1"/>
    <col min="3028" max="3028" width="9.6640625" bestFit="1" customWidth="1"/>
    <col min="3029" max="3029" width="7" customWidth="1"/>
    <col min="3030" max="3030" width="9.6640625" bestFit="1" customWidth="1"/>
    <col min="3031" max="3031" width="7" customWidth="1"/>
    <col min="3032" max="3032" width="9.6640625" bestFit="1" customWidth="1"/>
    <col min="3033" max="3033" width="7" customWidth="1"/>
    <col min="3034" max="3034" width="9.6640625" bestFit="1" customWidth="1"/>
    <col min="3035" max="3035" width="7" customWidth="1"/>
    <col min="3036" max="3036" width="9.6640625" bestFit="1" customWidth="1"/>
    <col min="3037" max="3037" width="7" customWidth="1"/>
    <col min="3038" max="3038" width="9.6640625" bestFit="1" customWidth="1"/>
    <col min="3039" max="3039" width="7" customWidth="1"/>
    <col min="3040" max="3040" width="9.6640625" bestFit="1" customWidth="1"/>
    <col min="3041" max="3041" width="10" bestFit="1" customWidth="1"/>
  </cols>
  <sheetData>
    <row r="2" spans="1:9" x14ac:dyDescent="0.3">
      <c r="I2" s="11" t="s">
        <v>59</v>
      </c>
    </row>
    <row r="3" spans="1:9" x14ac:dyDescent="0.3">
      <c r="A3" s="2" t="s">
        <v>57</v>
      </c>
      <c r="B3" t="s">
        <v>87</v>
      </c>
      <c r="C3" t="s">
        <v>86</v>
      </c>
      <c r="E3" s="2" t="s">
        <v>57</v>
      </c>
      <c r="F3" t="s">
        <v>61</v>
      </c>
      <c r="G3" t="s">
        <v>60</v>
      </c>
      <c r="I3" s="16">
        <f>GETPIVOTDATA("Total Embalagens Conforme",$A$3)</f>
        <v>119905</v>
      </c>
    </row>
    <row r="4" spans="1:9" x14ac:dyDescent="0.3">
      <c r="A4" s="3" t="s">
        <v>30</v>
      </c>
      <c r="B4" s="4">
        <v>119905</v>
      </c>
      <c r="C4" s="4">
        <v>9540</v>
      </c>
      <c r="E4" s="3" t="s">
        <v>30</v>
      </c>
      <c r="F4" s="4">
        <v>347.25000000000006</v>
      </c>
      <c r="G4" s="4">
        <v>2671.1999999999994</v>
      </c>
      <c r="I4" s="11" t="s">
        <v>62</v>
      </c>
    </row>
    <row r="5" spans="1:9" x14ac:dyDescent="0.3">
      <c r="A5" s="3" t="s">
        <v>58</v>
      </c>
      <c r="B5" s="15">
        <v>119905</v>
      </c>
      <c r="C5" s="4">
        <v>9540</v>
      </c>
      <c r="E5" s="3" t="s">
        <v>58</v>
      </c>
      <c r="F5" s="4">
        <v>347.25000000000006</v>
      </c>
      <c r="G5" s="4">
        <v>2671.1999999999994</v>
      </c>
      <c r="I5" s="16">
        <f>GETPIVOTDATA("Total Embalagens Não Conforme",$A$3)</f>
        <v>9540</v>
      </c>
    </row>
    <row r="6" spans="1:9" x14ac:dyDescent="0.3">
      <c r="I6" s="11" t="s">
        <v>61</v>
      </c>
    </row>
    <row r="7" spans="1:9" x14ac:dyDescent="0.3">
      <c r="I7" s="18">
        <f>GETPIVOTDATA("custo_desperdicio_eur",$E$3)</f>
        <v>347.25000000000006</v>
      </c>
    </row>
    <row r="8" spans="1:9" x14ac:dyDescent="0.3">
      <c r="I8" s="11" t="s">
        <v>60</v>
      </c>
    </row>
    <row r="9" spans="1:9" x14ac:dyDescent="0.3">
      <c r="I9" s="17">
        <f>GETPIVOTDATA("Soma de desperdicio_m",$E$3)</f>
        <v>2671.1999999999994</v>
      </c>
    </row>
    <row r="20" spans="1:2" x14ac:dyDescent="0.3">
      <c r="A20" s="2" t="s">
        <v>57</v>
      </c>
      <c r="B20" t="s">
        <v>61</v>
      </c>
    </row>
    <row r="21" spans="1:2" x14ac:dyDescent="0.3">
      <c r="A21" s="3" t="s">
        <v>30</v>
      </c>
      <c r="B21" s="7">
        <v>347.25000000000006</v>
      </c>
    </row>
    <row r="22" spans="1:2" x14ac:dyDescent="0.3">
      <c r="A22" s="3" t="s">
        <v>58</v>
      </c>
      <c r="B22" s="7">
        <v>347.25000000000006</v>
      </c>
    </row>
    <row r="37" spans="1:2" x14ac:dyDescent="0.3">
      <c r="A37" t="s">
        <v>84</v>
      </c>
    </row>
    <row r="38" spans="1:2" x14ac:dyDescent="0.3">
      <c r="A38" s="10">
        <v>49.571428571428569</v>
      </c>
    </row>
    <row r="44" spans="1:2" x14ac:dyDescent="0.3">
      <c r="A44" s="2" t="s">
        <v>63</v>
      </c>
    </row>
    <row r="45" spans="1:2" x14ac:dyDescent="0.3">
      <c r="A45" s="3" t="s">
        <v>80</v>
      </c>
      <c r="B45" s="15">
        <v>365</v>
      </c>
    </row>
    <row r="46" spans="1:2" x14ac:dyDescent="0.3">
      <c r="A46" s="3" t="s">
        <v>81</v>
      </c>
      <c r="B46" s="15">
        <v>523</v>
      </c>
    </row>
    <row r="47" spans="1:2" x14ac:dyDescent="0.3">
      <c r="A47" s="3" t="s">
        <v>82</v>
      </c>
      <c r="B47" s="15">
        <v>8652</v>
      </c>
    </row>
    <row r="61" spans="1:3" x14ac:dyDescent="0.3">
      <c r="A61" s="2" t="s">
        <v>61</v>
      </c>
      <c r="B61" s="2" t="s">
        <v>78</v>
      </c>
    </row>
    <row r="62" spans="1:3" x14ac:dyDescent="0.3">
      <c r="A62" s="2" t="s">
        <v>57</v>
      </c>
      <c r="B62">
        <v>2025</v>
      </c>
      <c r="C62" t="s">
        <v>58</v>
      </c>
    </row>
    <row r="63" spans="1:3" x14ac:dyDescent="0.3">
      <c r="A63" s="3" t="s">
        <v>66</v>
      </c>
      <c r="B63" s="7">
        <v>20.03</v>
      </c>
      <c r="C63" s="7">
        <v>20.03</v>
      </c>
    </row>
    <row r="64" spans="1:3" x14ac:dyDescent="0.3">
      <c r="A64" s="3" t="s">
        <v>67</v>
      </c>
      <c r="B64" s="7">
        <v>25.480000000000004</v>
      </c>
      <c r="C64" s="7">
        <v>25.480000000000004</v>
      </c>
    </row>
    <row r="65" spans="1:3" x14ac:dyDescent="0.3">
      <c r="A65" s="3" t="s">
        <v>68</v>
      </c>
      <c r="B65" s="7">
        <v>19.95</v>
      </c>
      <c r="C65" s="7">
        <v>19.95</v>
      </c>
    </row>
    <row r="66" spans="1:3" x14ac:dyDescent="0.3">
      <c r="A66" s="3" t="s">
        <v>69</v>
      </c>
      <c r="B66" s="7">
        <v>29.340000000000003</v>
      </c>
      <c r="C66" s="7">
        <v>29.340000000000003</v>
      </c>
    </row>
    <row r="67" spans="1:3" x14ac:dyDescent="0.3">
      <c r="A67" s="3" t="s">
        <v>70</v>
      </c>
      <c r="B67" s="7">
        <v>39.57</v>
      </c>
      <c r="C67" s="7">
        <v>39.57</v>
      </c>
    </row>
    <row r="68" spans="1:3" x14ac:dyDescent="0.3">
      <c r="A68" s="3" t="s">
        <v>71</v>
      </c>
      <c r="B68" s="7">
        <v>46.3</v>
      </c>
      <c r="C68" s="7">
        <v>46.3</v>
      </c>
    </row>
    <row r="69" spans="1:3" x14ac:dyDescent="0.3">
      <c r="A69" s="3" t="s">
        <v>72</v>
      </c>
      <c r="B69" s="7">
        <v>35.85</v>
      </c>
      <c r="C69" s="7">
        <v>35.85</v>
      </c>
    </row>
    <row r="70" spans="1:3" x14ac:dyDescent="0.3">
      <c r="A70" s="3" t="s">
        <v>73</v>
      </c>
      <c r="B70" s="7">
        <v>14.190000000000001</v>
      </c>
      <c r="C70" s="7">
        <v>14.190000000000001</v>
      </c>
    </row>
    <row r="71" spans="1:3" x14ac:dyDescent="0.3">
      <c r="A71" s="3" t="s">
        <v>74</v>
      </c>
      <c r="B71" s="7">
        <v>58.06</v>
      </c>
      <c r="C71" s="7">
        <v>58.06</v>
      </c>
    </row>
    <row r="72" spans="1:3" x14ac:dyDescent="0.3">
      <c r="A72" s="3" t="s">
        <v>75</v>
      </c>
      <c r="B72" s="7">
        <v>17.760000000000002</v>
      </c>
      <c r="C72" s="7">
        <v>17.760000000000002</v>
      </c>
    </row>
    <row r="73" spans="1:3" x14ac:dyDescent="0.3">
      <c r="A73" s="3" t="s">
        <v>76</v>
      </c>
      <c r="B73" s="7">
        <v>32.130000000000003</v>
      </c>
      <c r="C73" s="7">
        <v>32.130000000000003</v>
      </c>
    </row>
    <row r="74" spans="1:3" x14ac:dyDescent="0.3">
      <c r="A74" s="3" t="s">
        <v>77</v>
      </c>
      <c r="B74" s="7">
        <v>8.59</v>
      </c>
      <c r="C74" s="7">
        <v>8.59</v>
      </c>
    </row>
    <row r="75" spans="1:3" x14ac:dyDescent="0.3">
      <c r="A75" s="3" t="s">
        <v>58</v>
      </c>
      <c r="B75" s="7">
        <v>347.24999999999994</v>
      </c>
      <c r="C75" s="7">
        <v>347.24999999999994</v>
      </c>
    </row>
    <row r="80" spans="1:3" x14ac:dyDescent="0.3">
      <c r="A80" s="2" t="s">
        <v>57</v>
      </c>
      <c r="B80" t="s">
        <v>79</v>
      </c>
    </row>
    <row r="81" spans="1:2" x14ac:dyDescent="0.3">
      <c r="A81" s="3">
        <v>0</v>
      </c>
      <c r="B81" s="5">
        <v>3.5400000000000001E-2</v>
      </c>
    </row>
    <row r="82" spans="1:2" x14ac:dyDescent="0.3">
      <c r="A82" s="3">
        <v>1</v>
      </c>
      <c r="B82" s="5">
        <v>6.3600000000000004E-2</v>
      </c>
    </row>
    <row r="83" spans="1:2" x14ac:dyDescent="0.3">
      <c r="A83" s="3">
        <v>7</v>
      </c>
      <c r="B83" s="5">
        <v>4.9099999999999998E-2</v>
      </c>
    </row>
    <row r="84" spans="1:2" x14ac:dyDescent="0.3">
      <c r="A84" s="3">
        <v>8</v>
      </c>
      <c r="B84" s="5">
        <v>6.2649999999999997E-2</v>
      </c>
    </row>
    <row r="85" spans="1:2" x14ac:dyDescent="0.3">
      <c r="A85" s="3">
        <v>10</v>
      </c>
      <c r="B85" s="5">
        <v>5.6999999999999995E-2</v>
      </c>
    </row>
    <row r="86" spans="1:2" x14ac:dyDescent="0.3">
      <c r="A86" s="3">
        <v>12</v>
      </c>
      <c r="B86" s="5">
        <v>6.2799999999999995E-2</v>
      </c>
    </row>
    <row r="87" spans="1:2" x14ac:dyDescent="0.3">
      <c r="A87" s="3">
        <v>13</v>
      </c>
      <c r="B87" s="5">
        <v>6.6099999999999992E-2</v>
      </c>
    </row>
    <row r="88" spans="1:2" x14ac:dyDescent="0.3">
      <c r="A88" s="3">
        <v>16</v>
      </c>
      <c r="B88" s="5">
        <v>4.9566666666666669E-2</v>
      </c>
    </row>
    <row r="89" spans="1:2" x14ac:dyDescent="0.3">
      <c r="A89" s="3">
        <v>17</v>
      </c>
      <c r="B89" s="5">
        <v>6.0199999999999997E-2</v>
      </c>
    </row>
    <row r="90" spans="1:2" x14ac:dyDescent="0.3">
      <c r="A90" s="3">
        <v>20</v>
      </c>
      <c r="B90" s="5">
        <v>5.3800000000000001E-2</v>
      </c>
    </row>
    <row r="91" spans="1:2" x14ac:dyDescent="0.3">
      <c r="A91" s="3">
        <v>22</v>
      </c>
      <c r="B91" s="5">
        <v>8.2900000000000001E-2</v>
      </c>
    </row>
    <row r="92" spans="1:2" x14ac:dyDescent="0.3">
      <c r="A92" s="3">
        <v>23</v>
      </c>
      <c r="B92" s="5">
        <v>9.6000000000000002E-2</v>
      </c>
    </row>
    <row r="93" spans="1:2" x14ac:dyDescent="0.3">
      <c r="A93" s="3">
        <v>24</v>
      </c>
      <c r="B93" s="5">
        <v>7.8466666666666671E-2</v>
      </c>
    </row>
    <row r="94" spans="1:2" x14ac:dyDescent="0.3">
      <c r="A94" s="3">
        <v>26</v>
      </c>
      <c r="B94" s="5">
        <v>5.8200000000000002E-2</v>
      </c>
    </row>
    <row r="95" spans="1:2" x14ac:dyDescent="0.3">
      <c r="A95" s="3">
        <v>28</v>
      </c>
      <c r="B95" s="5">
        <v>7.3200000000000001E-2</v>
      </c>
    </row>
    <row r="96" spans="1:2" x14ac:dyDescent="0.3">
      <c r="A96" s="3">
        <v>30</v>
      </c>
      <c r="B96" s="5">
        <v>7.9524999999999998E-2</v>
      </c>
    </row>
    <row r="97" spans="1:2" x14ac:dyDescent="0.3">
      <c r="A97" s="3">
        <v>32</v>
      </c>
      <c r="B97" s="5">
        <v>7.6799999999999993E-2</v>
      </c>
    </row>
    <row r="98" spans="1:2" x14ac:dyDescent="0.3">
      <c r="A98" s="3">
        <v>33</v>
      </c>
      <c r="B98" s="5">
        <v>7.4200000000000002E-2</v>
      </c>
    </row>
    <row r="99" spans="1:2" x14ac:dyDescent="0.3">
      <c r="A99" s="3">
        <v>36</v>
      </c>
      <c r="B99" s="5">
        <v>7.0300000000000001E-2</v>
      </c>
    </row>
    <row r="100" spans="1:2" x14ac:dyDescent="0.3">
      <c r="A100" s="3">
        <v>38</v>
      </c>
      <c r="B100" s="5">
        <v>8.2500000000000004E-2</v>
      </c>
    </row>
    <row r="101" spans="1:2" x14ac:dyDescent="0.3">
      <c r="A101" s="3">
        <v>39</v>
      </c>
      <c r="B101" s="5">
        <v>8.8999999999999996E-2</v>
      </c>
    </row>
    <row r="102" spans="1:2" x14ac:dyDescent="0.3">
      <c r="A102" s="3">
        <v>41</v>
      </c>
      <c r="B102" s="5">
        <v>9.1650000000000009E-2</v>
      </c>
    </row>
    <row r="103" spans="1:2" x14ac:dyDescent="0.3">
      <c r="A103" s="3">
        <v>43</v>
      </c>
      <c r="B103" s="5">
        <v>0.1047</v>
      </c>
    </row>
    <row r="104" spans="1:2" x14ac:dyDescent="0.3">
      <c r="A104" s="3">
        <v>44</v>
      </c>
      <c r="B104" s="5">
        <v>9.9650000000000002E-2</v>
      </c>
    </row>
    <row r="105" spans="1:2" x14ac:dyDescent="0.3">
      <c r="A105" s="3">
        <v>45</v>
      </c>
      <c r="B105" s="5">
        <v>8.7800000000000003E-2</v>
      </c>
    </row>
    <row r="106" spans="1:2" x14ac:dyDescent="0.3">
      <c r="A106" s="3">
        <v>46</v>
      </c>
      <c r="B106" s="5">
        <v>9.1150000000000009E-2</v>
      </c>
    </row>
    <row r="107" spans="1:2" x14ac:dyDescent="0.3">
      <c r="A107" s="3">
        <v>53</v>
      </c>
      <c r="B107" s="5">
        <v>8.2100000000000006E-2</v>
      </c>
    </row>
    <row r="108" spans="1:2" x14ac:dyDescent="0.3">
      <c r="A108" s="3" t="s">
        <v>58</v>
      </c>
      <c r="B108" s="5">
        <v>7.3749999999999996E-2</v>
      </c>
    </row>
    <row r="154" spans="1:5" x14ac:dyDescent="0.3">
      <c r="A154" s="2" t="s">
        <v>57</v>
      </c>
      <c r="B154" t="s">
        <v>61</v>
      </c>
      <c r="C154" t="s">
        <v>59</v>
      </c>
      <c r="E154" s="11" t="s">
        <v>88</v>
      </c>
    </row>
    <row r="155" spans="1:5" x14ac:dyDescent="0.3">
      <c r="A155" s="3" t="s">
        <v>30</v>
      </c>
      <c r="B155" s="4">
        <v>347.25000000000006</v>
      </c>
      <c r="C155" s="4">
        <v>119905</v>
      </c>
      <c r="E155" s="19">
        <f>(GETPIVOTDATA("Soma de custo_desperdicio_eur",$A$154))/(GETPIVOTDATA("Soma de quantidade_real_produzida",$A$154))</f>
        <v>2.8960427004712068E-3</v>
      </c>
    </row>
    <row r="156" spans="1:5" x14ac:dyDescent="0.3">
      <c r="A156" s="3" t="s">
        <v>58</v>
      </c>
      <c r="B156" s="14">
        <v>347.25000000000006</v>
      </c>
      <c r="C156" s="14">
        <v>119905</v>
      </c>
    </row>
  </sheetData>
  <pageMargins left="0.7" right="0.7" top="0.75" bottom="0.75" header="0.3" footer="0.3"/>
  <pageSetup paperSize="9" orientation="portrait" r:id="rId9"/>
  <drawing r:id="rId1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K133"/>
  <sheetViews>
    <sheetView showGridLines="0" workbookViewId="0"/>
  </sheetViews>
  <sheetFormatPr defaultRowHeight="14.4" x14ac:dyDescent="0.3"/>
  <cols>
    <col min="6" max="6" width="13.44140625" customWidth="1"/>
    <col min="7" max="7" width="2" customWidth="1"/>
  </cols>
  <sheetData>
    <row r="1" spans="1:37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37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</row>
    <row r="3" spans="1:37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</row>
    <row r="4" spans="1:37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 spans="1:37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</row>
    <row r="6" spans="1:37" ht="7.8" customHeight="1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</row>
    <row r="7" spans="1:37" x14ac:dyDescent="0.3">
      <c r="A7" s="9"/>
      <c r="B7" s="9"/>
      <c r="C7" s="9"/>
      <c r="D7" s="9"/>
      <c r="E7" s="9"/>
      <c r="F7" s="9"/>
      <c r="G7" s="12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</row>
    <row r="8" spans="1:37" x14ac:dyDescent="0.3">
      <c r="A8" s="9"/>
      <c r="B8" s="9"/>
      <c r="C8" s="9"/>
      <c r="D8" s="9"/>
      <c r="E8" s="9"/>
      <c r="F8" s="9"/>
      <c r="G8" s="12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</row>
    <row r="9" spans="1:37" x14ac:dyDescent="0.3">
      <c r="A9" s="9"/>
      <c r="B9" s="9"/>
      <c r="C9" s="9"/>
      <c r="D9" s="9"/>
      <c r="E9" s="9"/>
      <c r="F9" s="9"/>
      <c r="G9" s="12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</row>
    <row r="10" spans="1:37" x14ac:dyDescent="0.3">
      <c r="A10" s="9"/>
      <c r="B10" s="9"/>
      <c r="C10" s="9"/>
      <c r="D10" s="9"/>
      <c r="E10" s="9"/>
      <c r="F10" s="9"/>
      <c r="G10" s="12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pans="1:37" x14ac:dyDescent="0.3">
      <c r="A11" s="9"/>
      <c r="B11" s="9"/>
      <c r="C11" s="9"/>
      <c r="D11" s="9"/>
      <c r="E11" s="9"/>
      <c r="F11" s="9"/>
      <c r="G11" s="12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</row>
    <row r="12" spans="1:37" x14ac:dyDescent="0.3">
      <c r="A12" s="9"/>
      <c r="B12" s="9"/>
      <c r="C12" s="9"/>
      <c r="D12" s="9"/>
      <c r="E12" s="9"/>
      <c r="F12" s="9"/>
      <c r="G12" s="1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</row>
    <row r="13" spans="1:37" x14ac:dyDescent="0.3">
      <c r="A13" s="9"/>
      <c r="B13" s="9"/>
      <c r="C13" s="9"/>
      <c r="D13" s="9"/>
      <c r="E13" s="9"/>
      <c r="F13" s="9"/>
      <c r="G13" s="12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</row>
    <row r="14" spans="1:37" x14ac:dyDescent="0.3">
      <c r="A14" s="9"/>
      <c r="B14" s="9"/>
      <c r="C14" s="9"/>
      <c r="D14" s="9"/>
      <c r="E14" s="9"/>
      <c r="F14" s="9"/>
      <c r="G14" s="12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</row>
    <row r="15" spans="1:37" x14ac:dyDescent="0.3">
      <c r="A15" s="9"/>
      <c r="B15" s="9"/>
      <c r="C15" s="9"/>
      <c r="D15" s="9"/>
      <c r="E15" s="9"/>
      <c r="F15" s="9"/>
      <c r="G15" s="1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</row>
    <row r="16" spans="1:37" x14ac:dyDescent="0.3">
      <c r="A16" s="9"/>
      <c r="B16" s="9"/>
      <c r="C16" s="9"/>
      <c r="D16" s="9"/>
      <c r="E16" s="9"/>
      <c r="F16" s="9"/>
      <c r="G16" s="12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</row>
    <row r="17" spans="1:37" x14ac:dyDescent="0.3">
      <c r="A17" s="9"/>
      <c r="B17" s="9"/>
      <c r="C17" s="9"/>
      <c r="D17" s="9"/>
      <c r="E17" s="9"/>
      <c r="F17" s="9"/>
      <c r="G17" s="12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</row>
    <row r="18" spans="1:37" x14ac:dyDescent="0.3">
      <c r="A18" s="9"/>
      <c r="B18" s="9"/>
      <c r="C18" s="9"/>
      <c r="D18" s="9"/>
      <c r="E18" s="9"/>
      <c r="F18" s="9"/>
      <c r="G18" s="12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</row>
    <row r="19" spans="1:37" x14ac:dyDescent="0.3">
      <c r="A19" s="9"/>
      <c r="B19" s="9"/>
      <c r="C19" s="9"/>
      <c r="D19" s="9"/>
      <c r="E19" s="9"/>
      <c r="F19" s="9"/>
      <c r="G19" s="12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1:37" x14ac:dyDescent="0.3">
      <c r="A20" s="9"/>
      <c r="B20" s="9"/>
      <c r="C20" s="9"/>
      <c r="D20" s="9"/>
      <c r="E20" s="9"/>
      <c r="F20" s="9"/>
      <c r="G20" s="1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</row>
    <row r="21" spans="1:37" x14ac:dyDescent="0.3">
      <c r="A21" s="9"/>
      <c r="B21" s="9"/>
      <c r="C21" s="9"/>
      <c r="D21" s="9"/>
      <c r="E21" s="9"/>
      <c r="F21" s="9"/>
      <c r="G21" s="12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</row>
    <row r="22" spans="1:37" x14ac:dyDescent="0.3">
      <c r="A22" s="9"/>
      <c r="B22" s="9"/>
      <c r="C22" s="9"/>
      <c r="D22" s="9"/>
      <c r="E22" s="9"/>
      <c r="F22" s="9"/>
      <c r="G22" s="12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</row>
    <row r="23" spans="1:37" x14ac:dyDescent="0.3">
      <c r="A23" s="9"/>
      <c r="B23" s="9"/>
      <c r="C23" s="9"/>
      <c r="D23" s="9"/>
      <c r="E23" s="9"/>
      <c r="F23" s="9"/>
      <c r="G23" s="1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r="24" spans="1:37" x14ac:dyDescent="0.3">
      <c r="A24" s="9"/>
      <c r="B24" s="9"/>
      <c r="C24" s="9"/>
      <c r="D24" s="9"/>
      <c r="E24" s="9"/>
      <c r="F24" s="9"/>
      <c r="G24" s="12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  <row r="25" spans="1:37" x14ac:dyDescent="0.3">
      <c r="A25" s="9"/>
      <c r="B25" s="9"/>
      <c r="C25" s="9"/>
      <c r="D25" s="9"/>
      <c r="E25" s="9"/>
      <c r="F25" s="9"/>
      <c r="G25" s="12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</row>
    <row r="26" spans="1:37" x14ac:dyDescent="0.3">
      <c r="A26" s="9"/>
      <c r="B26" s="9"/>
      <c r="C26" s="9"/>
      <c r="D26" s="9"/>
      <c r="E26" s="9"/>
      <c r="F26" s="9"/>
      <c r="G26" s="1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</row>
    <row r="27" spans="1:37" x14ac:dyDescent="0.3">
      <c r="A27" s="9"/>
      <c r="B27" s="9"/>
      <c r="C27" s="9"/>
      <c r="D27" s="9"/>
      <c r="E27" s="9"/>
      <c r="F27" s="9"/>
      <c r="G27" s="1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</row>
    <row r="28" spans="1:37" x14ac:dyDescent="0.3">
      <c r="A28" s="9"/>
      <c r="B28" s="9"/>
      <c r="C28" s="9"/>
      <c r="D28" s="9"/>
      <c r="E28" s="9"/>
      <c r="F28" s="9"/>
      <c r="G28" s="1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</row>
    <row r="29" spans="1:37" x14ac:dyDescent="0.3">
      <c r="A29" s="9"/>
      <c r="B29" s="9"/>
      <c r="C29" s="9"/>
      <c r="D29" s="9"/>
      <c r="E29" s="9"/>
      <c r="F29" s="9"/>
      <c r="G29" s="1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</row>
    <row r="30" spans="1:37" x14ac:dyDescent="0.3">
      <c r="A30" s="9"/>
      <c r="B30" s="9"/>
      <c r="C30" s="9"/>
      <c r="D30" s="9"/>
      <c r="E30" s="9"/>
      <c r="F30" s="9"/>
      <c r="G30" s="12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</row>
    <row r="31" spans="1:37" x14ac:dyDescent="0.3">
      <c r="A31" s="9"/>
      <c r="B31" s="9"/>
      <c r="C31" s="9"/>
      <c r="D31" s="9"/>
      <c r="E31" s="9"/>
      <c r="F31" s="9"/>
      <c r="G31" s="12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</row>
    <row r="32" spans="1:37" x14ac:dyDescent="0.3">
      <c r="A32" s="9"/>
      <c r="B32" s="9"/>
      <c r="C32" s="9"/>
      <c r="D32" s="9"/>
      <c r="E32" s="9"/>
      <c r="F32" s="9"/>
      <c r="G32" s="12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</row>
    <row r="33" spans="1:37" x14ac:dyDescent="0.3">
      <c r="A33" s="9"/>
      <c r="B33" s="9"/>
      <c r="C33" s="9"/>
      <c r="D33" s="9"/>
      <c r="E33" s="9"/>
      <c r="F33" s="9"/>
      <c r="G33" s="12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</row>
    <row r="34" spans="1:37" x14ac:dyDescent="0.3">
      <c r="A34" s="9"/>
      <c r="B34" s="9"/>
      <c r="C34" s="9"/>
      <c r="D34" s="9"/>
      <c r="E34" s="9"/>
      <c r="F34" s="9"/>
      <c r="G34" s="1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</row>
    <row r="35" spans="1:37" x14ac:dyDescent="0.3">
      <c r="A35" s="9"/>
      <c r="B35" s="9"/>
      <c r="C35" s="9"/>
      <c r="D35" s="9"/>
      <c r="E35" s="9"/>
      <c r="F35" s="9"/>
      <c r="G35" s="12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</row>
    <row r="36" spans="1:37" x14ac:dyDescent="0.3">
      <c r="A36" s="9"/>
      <c r="B36" s="9"/>
      <c r="C36" s="9"/>
      <c r="D36" s="9"/>
      <c r="E36" s="9"/>
      <c r="F36" s="9"/>
      <c r="G36" s="12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</row>
    <row r="37" spans="1:37" x14ac:dyDescent="0.3">
      <c r="A37" s="9"/>
      <c r="B37" s="9"/>
      <c r="C37" s="9"/>
      <c r="D37" s="9"/>
      <c r="E37" s="9"/>
      <c r="F37" s="9"/>
      <c r="G37" s="12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</row>
    <row r="38" spans="1:37" x14ac:dyDescent="0.3">
      <c r="A38" s="9"/>
      <c r="B38" s="9"/>
      <c r="C38" s="9"/>
      <c r="D38" s="9"/>
      <c r="E38" s="9"/>
      <c r="F38" s="9"/>
      <c r="G38" s="1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</row>
    <row r="39" spans="1:37" x14ac:dyDescent="0.3">
      <c r="A39" s="9"/>
      <c r="B39" s="9"/>
      <c r="C39" s="9"/>
      <c r="D39" s="9"/>
      <c r="E39" s="9"/>
      <c r="F39" s="9"/>
      <c r="G39" s="12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</row>
    <row r="40" spans="1:37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</row>
    <row r="41" spans="1:37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</row>
    <row r="42" spans="1:37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</row>
    <row r="43" spans="1:37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</row>
    <row r="44" spans="1:37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</row>
    <row r="45" spans="1:37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</row>
    <row r="46" spans="1:37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</row>
    <row r="47" spans="1:37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</row>
    <row r="48" spans="1:37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</row>
    <row r="49" spans="1:37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</row>
    <row r="50" spans="1:37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</row>
    <row r="51" spans="1:37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</row>
    <row r="52" spans="1:37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</row>
    <row r="53" spans="1:37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</row>
    <row r="54" spans="1:37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</row>
    <row r="55" spans="1:37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</row>
    <row r="56" spans="1:37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</row>
    <row r="57" spans="1:37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</row>
    <row r="58" spans="1:37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</row>
    <row r="59" spans="1:37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</row>
    <row r="60" spans="1:37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</row>
    <row r="61" spans="1:37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</row>
    <row r="62" spans="1:37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</row>
    <row r="63" spans="1:37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</row>
    <row r="64" spans="1:37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</row>
    <row r="65" spans="1:37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</row>
    <row r="66" spans="1:37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</row>
    <row r="67" spans="1:37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</row>
    <row r="68" spans="1:37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</row>
    <row r="69" spans="1:37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</row>
    <row r="70" spans="1:37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</row>
    <row r="71" spans="1:37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</row>
    <row r="72" spans="1:37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</row>
    <row r="73" spans="1:37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</row>
    <row r="74" spans="1:37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</row>
    <row r="75" spans="1:37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</row>
    <row r="76" spans="1:37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</row>
    <row r="77" spans="1:37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</row>
    <row r="78" spans="1:37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</row>
    <row r="79" spans="1:37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</row>
    <row r="80" spans="1:37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</row>
    <row r="81" spans="1:37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</row>
    <row r="82" spans="1:37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</row>
    <row r="83" spans="1:37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</row>
    <row r="84" spans="1:37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</row>
    <row r="85" spans="1:37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</row>
    <row r="86" spans="1:37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</row>
    <row r="87" spans="1:37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</row>
    <row r="88" spans="1:37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</row>
    <row r="89" spans="1:37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</row>
    <row r="90" spans="1:37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</row>
    <row r="91" spans="1:37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</row>
    <row r="92" spans="1:37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</row>
    <row r="93" spans="1:37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</row>
    <row r="94" spans="1:37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</row>
    <row r="95" spans="1:37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</row>
    <row r="96" spans="1:37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</row>
    <row r="97" spans="1:37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</row>
    <row r="98" spans="1:37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</row>
    <row r="99" spans="1:37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</row>
    <row r="100" spans="1:37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</row>
    <row r="101" spans="1:37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</row>
    <row r="102" spans="1:37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</row>
    <row r="103" spans="1:37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</row>
    <row r="104" spans="1:37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</row>
    <row r="105" spans="1:37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</row>
    <row r="106" spans="1:37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</row>
    <row r="107" spans="1:37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</row>
    <row r="108" spans="1:37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</row>
    <row r="109" spans="1:37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</row>
    <row r="110" spans="1:37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</row>
    <row r="111" spans="1:37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</row>
    <row r="112" spans="1:37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</row>
    <row r="113" spans="1:37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</row>
    <row r="114" spans="1:37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</row>
    <row r="115" spans="1:37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</row>
    <row r="116" spans="1:37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</row>
    <row r="117" spans="1:37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</row>
    <row r="118" spans="1:37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</row>
    <row r="119" spans="1:37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</row>
    <row r="120" spans="1:37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</row>
    <row r="121" spans="1:37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</row>
    <row r="122" spans="1:37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</row>
    <row r="123" spans="1:37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</row>
    <row r="124" spans="1:37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</row>
    <row r="125" spans="1:37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</row>
    <row r="126" spans="1:37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</row>
    <row r="127" spans="1:37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</row>
    <row r="128" spans="1:37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</row>
    <row r="129" spans="1:37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</row>
    <row r="130" spans="1:37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</row>
    <row r="131" spans="1:37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</row>
    <row r="132" spans="1:37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</row>
    <row r="133" spans="1:37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K133"/>
  <sheetViews>
    <sheetView showGridLines="0" workbookViewId="0"/>
  </sheetViews>
  <sheetFormatPr defaultRowHeight="14.4" x14ac:dyDescent="0.3"/>
  <cols>
    <col min="7" max="7" width="5.5546875" customWidth="1"/>
    <col min="8" max="8" width="2" customWidth="1"/>
    <col min="14" max="14" width="1.77734375" customWidth="1"/>
  </cols>
  <sheetData>
    <row r="1" spans="1:37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37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</row>
    <row r="3" spans="1:37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</row>
    <row r="4" spans="1:37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 spans="1:37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</row>
    <row r="6" spans="1:37" ht="7.8" customHeight="1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9"/>
      <c r="AD6" s="9"/>
      <c r="AE6" s="9"/>
      <c r="AF6" s="9"/>
      <c r="AG6" s="9"/>
      <c r="AH6" s="9"/>
      <c r="AI6" s="9"/>
      <c r="AJ6" s="9"/>
      <c r="AK6" s="9"/>
    </row>
    <row r="7" spans="1:37" x14ac:dyDescent="0.3">
      <c r="A7" s="9"/>
      <c r="B7" s="9"/>
      <c r="C7" s="9"/>
      <c r="D7" s="9"/>
      <c r="E7" s="9"/>
      <c r="F7" s="9"/>
      <c r="G7" s="9"/>
      <c r="H7" s="1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</row>
    <row r="8" spans="1:37" x14ac:dyDescent="0.3">
      <c r="A8" s="9"/>
      <c r="B8" s="9"/>
      <c r="C8" s="9"/>
      <c r="D8" s="9"/>
      <c r="E8" s="9"/>
      <c r="F8" s="9"/>
      <c r="G8" s="9"/>
      <c r="H8" s="1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</row>
    <row r="9" spans="1:37" x14ac:dyDescent="0.3">
      <c r="A9" s="9"/>
      <c r="B9" s="9"/>
      <c r="C9" s="9"/>
      <c r="D9" s="9"/>
      <c r="E9" s="9"/>
      <c r="F9" s="9"/>
      <c r="G9" s="9"/>
      <c r="H9" s="1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</row>
    <row r="10" spans="1:37" x14ac:dyDescent="0.3">
      <c r="A10" s="9"/>
      <c r="B10" s="9"/>
      <c r="C10" s="9"/>
      <c r="D10" s="9"/>
      <c r="E10" s="9"/>
      <c r="F10" s="9"/>
      <c r="G10" s="9"/>
      <c r="H10" s="1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pans="1:37" x14ac:dyDescent="0.3">
      <c r="A11" s="9"/>
      <c r="B11" s="9"/>
      <c r="C11" s="9"/>
      <c r="D11" s="9"/>
      <c r="E11" s="9"/>
      <c r="F11" s="9"/>
      <c r="G11" s="9"/>
      <c r="H11" s="1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</row>
    <row r="12" spans="1:37" x14ac:dyDescent="0.3">
      <c r="A12" s="9"/>
      <c r="B12" s="9"/>
      <c r="C12" s="9"/>
      <c r="D12" s="9"/>
      <c r="E12" s="9"/>
      <c r="F12" s="9"/>
      <c r="G12" s="9"/>
      <c r="H12" s="1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</row>
    <row r="13" spans="1:37" x14ac:dyDescent="0.3">
      <c r="A13" s="9"/>
      <c r="B13" s="9"/>
      <c r="C13" s="9"/>
      <c r="D13" s="9"/>
      <c r="E13" s="9"/>
      <c r="F13" s="9"/>
      <c r="G13" s="9"/>
      <c r="H13" s="1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</row>
    <row r="14" spans="1:37" x14ac:dyDescent="0.3">
      <c r="A14" s="9"/>
      <c r="B14" s="9"/>
      <c r="C14" s="9"/>
      <c r="D14" s="9"/>
      <c r="E14" s="9"/>
      <c r="F14" s="9"/>
      <c r="G14" s="9"/>
      <c r="H14" s="1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</row>
    <row r="15" spans="1:37" x14ac:dyDescent="0.3">
      <c r="A15" s="9"/>
      <c r="B15" s="9"/>
      <c r="C15" s="9"/>
      <c r="D15" s="9"/>
      <c r="E15" s="9"/>
      <c r="F15" s="9"/>
      <c r="G15" s="9"/>
      <c r="H15" s="1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</row>
    <row r="16" spans="1:37" x14ac:dyDescent="0.3">
      <c r="A16" s="9"/>
      <c r="B16" s="9"/>
      <c r="C16" s="9"/>
      <c r="D16" s="9"/>
      <c r="E16" s="9"/>
      <c r="F16" s="9"/>
      <c r="G16" s="9"/>
      <c r="H16" s="1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</row>
    <row r="17" spans="1:37" x14ac:dyDescent="0.3">
      <c r="A17" s="9"/>
      <c r="B17" s="9"/>
      <c r="C17" s="9"/>
      <c r="D17" s="9"/>
      <c r="E17" s="9"/>
      <c r="F17" s="9"/>
      <c r="G17" s="9"/>
      <c r="H17" s="1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</row>
    <row r="18" spans="1:37" x14ac:dyDescent="0.3">
      <c r="A18" s="9"/>
      <c r="B18" s="9"/>
      <c r="C18" s="9"/>
      <c r="D18" s="9"/>
      <c r="E18" s="9"/>
      <c r="F18" s="9"/>
      <c r="G18" s="9"/>
      <c r="H18" s="1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</row>
    <row r="19" spans="1:37" x14ac:dyDescent="0.3">
      <c r="A19" s="9"/>
      <c r="B19" s="9"/>
      <c r="C19" s="9"/>
      <c r="D19" s="9"/>
      <c r="E19" s="9"/>
      <c r="F19" s="9"/>
      <c r="G19" s="9"/>
      <c r="H19" s="1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1:37" x14ac:dyDescent="0.3">
      <c r="A20" s="9"/>
      <c r="B20" s="9"/>
      <c r="C20" s="9"/>
      <c r="D20" s="9"/>
      <c r="E20" s="9"/>
      <c r="F20" s="9"/>
      <c r="G20" s="9"/>
      <c r="H20" s="1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</row>
    <row r="21" spans="1:37" x14ac:dyDescent="0.3">
      <c r="A21" s="9"/>
      <c r="B21" s="9"/>
      <c r="C21" s="9"/>
      <c r="D21" s="9"/>
      <c r="E21" s="9"/>
      <c r="F21" s="9"/>
      <c r="G21" s="9"/>
      <c r="H21" s="1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</row>
    <row r="22" spans="1:37" x14ac:dyDescent="0.3">
      <c r="A22" s="9"/>
      <c r="B22" s="9"/>
      <c r="C22" s="9"/>
      <c r="D22" s="9"/>
      <c r="E22" s="9"/>
      <c r="F22" s="9"/>
      <c r="G22" s="9"/>
      <c r="H22" s="1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</row>
    <row r="23" spans="1:37" x14ac:dyDescent="0.3">
      <c r="A23" s="9"/>
      <c r="B23" s="9"/>
      <c r="C23" s="9"/>
      <c r="D23" s="9"/>
      <c r="E23" s="9"/>
      <c r="F23" s="9"/>
      <c r="G23" s="9"/>
      <c r="H23" s="1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r="24" spans="1:37" x14ac:dyDescent="0.3">
      <c r="A24" s="9"/>
      <c r="B24" s="9"/>
      <c r="C24" s="9"/>
      <c r="D24" s="9"/>
      <c r="E24" s="9"/>
      <c r="F24" s="9"/>
      <c r="G24" s="9"/>
      <c r="H24" s="1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  <row r="25" spans="1:37" x14ac:dyDescent="0.3">
      <c r="A25" s="9"/>
      <c r="B25" s="9"/>
      <c r="C25" s="9"/>
      <c r="D25" s="9"/>
      <c r="E25" s="9"/>
      <c r="F25" s="9"/>
      <c r="G25" s="9"/>
      <c r="H25" s="1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</row>
    <row r="26" spans="1:37" x14ac:dyDescent="0.3">
      <c r="A26" s="9"/>
      <c r="B26" s="9"/>
      <c r="C26" s="9"/>
      <c r="D26" s="9"/>
      <c r="E26" s="9"/>
      <c r="F26" s="9"/>
      <c r="G26" s="9"/>
      <c r="H26" s="1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</row>
    <row r="27" spans="1:37" x14ac:dyDescent="0.3">
      <c r="A27" s="9"/>
      <c r="B27" s="9"/>
      <c r="C27" s="9"/>
      <c r="D27" s="9"/>
      <c r="E27" s="9"/>
      <c r="F27" s="9"/>
      <c r="G27" s="9"/>
      <c r="H27" s="1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</row>
    <row r="28" spans="1:37" x14ac:dyDescent="0.3">
      <c r="A28" s="9"/>
      <c r="B28" s="9"/>
      <c r="C28" s="9"/>
      <c r="D28" s="9"/>
      <c r="E28" s="9"/>
      <c r="F28" s="9"/>
      <c r="G28" s="9"/>
      <c r="H28" s="1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</row>
    <row r="29" spans="1:37" x14ac:dyDescent="0.3">
      <c r="A29" s="9"/>
      <c r="B29" s="9"/>
      <c r="C29" s="9"/>
      <c r="D29" s="9"/>
      <c r="E29" s="9"/>
      <c r="F29" s="9"/>
      <c r="G29" s="9"/>
      <c r="H29" s="1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</row>
    <row r="30" spans="1:37" x14ac:dyDescent="0.3">
      <c r="A30" s="9"/>
      <c r="B30" s="9"/>
      <c r="C30" s="9"/>
      <c r="D30" s="9"/>
      <c r="E30" s="9"/>
      <c r="F30" s="9"/>
      <c r="G30" s="9"/>
      <c r="H30" s="1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</row>
    <row r="31" spans="1:37" x14ac:dyDescent="0.3">
      <c r="A31" s="9"/>
      <c r="B31" s="9"/>
      <c r="C31" s="9"/>
      <c r="D31" s="9"/>
      <c r="E31" s="9"/>
      <c r="F31" s="9"/>
      <c r="G31" s="9"/>
      <c r="H31" s="1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</row>
    <row r="32" spans="1:37" x14ac:dyDescent="0.3">
      <c r="A32" s="9"/>
      <c r="B32" s="9"/>
      <c r="C32" s="9"/>
      <c r="D32" s="9"/>
      <c r="E32" s="9"/>
      <c r="F32" s="9"/>
      <c r="G32" s="9"/>
      <c r="H32" s="1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</row>
    <row r="33" spans="1:37" x14ac:dyDescent="0.3">
      <c r="A33" s="9"/>
      <c r="B33" s="9"/>
      <c r="C33" s="9"/>
      <c r="D33" s="9"/>
      <c r="E33" s="9"/>
      <c r="F33" s="9"/>
      <c r="G33" s="9"/>
      <c r="H33" s="1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</row>
    <row r="34" spans="1:37" x14ac:dyDescent="0.3">
      <c r="A34" s="9"/>
      <c r="B34" s="9"/>
      <c r="C34" s="9"/>
      <c r="D34" s="9"/>
      <c r="E34" s="9"/>
      <c r="F34" s="9"/>
      <c r="G34" s="9"/>
      <c r="H34" s="1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</row>
    <row r="35" spans="1:37" x14ac:dyDescent="0.3">
      <c r="A35" s="9"/>
      <c r="B35" s="9"/>
      <c r="C35" s="9"/>
      <c r="D35" s="9"/>
      <c r="E35" s="9"/>
      <c r="F35" s="9"/>
      <c r="G35" s="9"/>
      <c r="H35" s="1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</row>
    <row r="36" spans="1:37" x14ac:dyDescent="0.3">
      <c r="A36" s="9"/>
      <c r="B36" s="9"/>
      <c r="C36" s="9"/>
      <c r="D36" s="9"/>
      <c r="E36" s="9"/>
      <c r="F36" s="9"/>
      <c r="G36" s="9"/>
      <c r="H36" s="1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</row>
    <row r="37" spans="1:37" x14ac:dyDescent="0.3">
      <c r="A37" s="9"/>
      <c r="B37" s="9"/>
      <c r="C37" s="9"/>
      <c r="D37" s="9"/>
      <c r="E37" s="9"/>
      <c r="F37" s="9"/>
      <c r="G37" s="9"/>
      <c r="H37" s="1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</row>
    <row r="38" spans="1:37" x14ac:dyDescent="0.3">
      <c r="A38" s="9"/>
      <c r="B38" s="9"/>
      <c r="C38" s="9"/>
      <c r="D38" s="9"/>
      <c r="E38" s="9"/>
      <c r="F38" s="9"/>
      <c r="G38" s="9"/>
      <c r="H38" s="1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</row>
    <row r="39" spans="1:37" x14ac:dyDescent="0.3">
      <c r="A39" s="9"/>
      <c r="B39" s="9"/>
      <c r="C39" s="9"/>
      <c r="D39" s="9"/>
      <c r="E39" s="9"/>
      <c r="F39" s="9"/>
      <c r="G39" s="9"/>
      <c r="H39" s="1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</row>
    <row r="40" spans="1:37" x14ac:dyDescent="0.3">
      <c r="A40" s="9"/>
      <c r="B40" s="9"/>
      <c r="C40" s="9"/>
      <c r="D40" s="9"/>
      <c r="E40" s="9"/>
      <c r="F40" s="9"/>
      <c r="G40" s="9"/>
      <c r="H40" s="1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</row>
    <row r="41" spans="1:37" x14ac:dyDescent="0.3">
      <c r="A41" s="9"/>
      <c r="B41" s="9"/>
      <c r="C41" s="9"/>
      <c r="D41" s="9"/>
      <c r="E41" s="9"/>
      <c r="F41" s="9"/>
      <c r="G41" s="9"/>
      <c r="H41" s="1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</row>
    <row r="42" spans="1:37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</row>
    <row r="43" spans="1:37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</row>
    <row r="44" spans="1:37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</row>
    <row r="45" spans="1:37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</row>
    <row r="46" spans="1:37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</row>
    <row r="47" spans="1:37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</row>
    <row r="48" spans="1:37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</row>
    <row r="49" spans="1:37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</row>
    <row r="50" spans="1:37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</row>
    <row r="51" spans="1:37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</row>
    <row r="52" spans="1:37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</row>
    <row r="53" spans="1:37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</row>
    <row r="54" spans="1:37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</row>
    <row r="55" spans="1:37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</row>
    <row r="56" spans="1:37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</row>
    <row r="57" spans="1:37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</row>
    <row r="58" spans="1:37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</row>
    <row r="59" spans="1:37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</row>
    <row r="60" spans="1:37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</row>
    <row r="61" spans="1:37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</row>
    <row r="62" spans="1:37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</row>
    <row r="63" spans="1:37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</row>
    <row r="64" spans="1:37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</row>
    <row r="65" spans="1:37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</row>
    <row r="66" spans="1:37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</row>
    <row r="67" spans="1:37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</row>
    <row r="68" spans="1:37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</row>
    <row r="69" spans="1:37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</row>
    <row r="70" spans="1:37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</row>
    <row r="71" spans="1:37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</row>
    <row r="72" spans="1:37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</row>
    <row r="73" spans="1:37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</row>
    <row r="74" spans="1:37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</row>
    <row r="75" spans="1:37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</row>
    <row r="76" spans="1:37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</row>
    <row r="77" spans="1:37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</row>
    <row r="78" spans="1:37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</row>
    <row r="79" spans="1:37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</row>
    <row r="80" spans="1:37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</row>
    <row r="81" spans="1:37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</row>
    <row r="82" spans="1:37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</row>
    <row r="83" spans="1:37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</row>
    <row r="84" spans="1:37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</row>
    <row r="85" spans="1:37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</row>
    <row r="86" spans="1:37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</row>
    <row r="87" spans="1:37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</row>
    <row r="88" spans="1:37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</row>
    <row r="89" spans="1:37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</row>
    <row r="90" spans="1:37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</row>
    <row r="91" spans="1:37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</row>
    <row r="92" spans="1:37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</row>
    <row r="93" spans="1:37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</row>
    <row r="94" spans="1:37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</row>
    <row r="95" spans="1:37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</row>
    <row r="96" spans="1:37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</row>
    <row r="97" spans="1:37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</row>
    <row r="98" spans="1:37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</row>
    <row r="99" spans="1:37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</row>
    <row r="100" spans="1:37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</row>
    <row r="101" spans="1:37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</row>
    <row r="102" spans="1:37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</row>
    <row r="103" spans="1:37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</row>
    <row r="104" spans="1:37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</row>
    <row r="105" spans="1:37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</row>
    <row r="106" spans="1:37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</row>
    <row r="107" spans="1:37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</row>
    <row r="108" spans="1:37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</row>
    <row r="109" spans="1:37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</row>
    <row r="110" spans="1:37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</row>
    <row r="111" spans="1:37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</row>
    <row r="112" spans="1:37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</row>
    <row r="113" spans="1:37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</row>
    <row r="114" spans="1:37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</row>
    <row r="115" spans="1:37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</row>
    <row r="116" spans="1:37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</row>
    <row r="117" spans="1:37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</row>
    <row r="118" spans="1:37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</row>
    <row r="119" spans="1:37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</row>
    <row r="120" spans="1:37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</row>
    <row r="121" spans="1:37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</row>
    <row r="122" spans="1:37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</row>
    <row r="123" spans="1:37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</row>
    <row r="124" spans="1:37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</row>
    <row r="125" spans="1:37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</row>
    <row r="126" spans="1:37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</row>
    <row r="127" spans="1:37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</row>
    <row r="128" spans="1:37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</row>
    <row r="129" spans="1:37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</row>
    <row r="130" spans="1:37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</row>
    <row r="131" spans="1:37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</row>
    <row r="132" spans="1:37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</row>
    <row r="133" spans="1:37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K133"/>
  <sheetViews>
    <sheetView showGridLines="0" workbookViewId="0">
      <selection activeCell="Q2" sqref="Q2"/>
    </sheetView>
  </sheetViews>
  <sheetFormatPr defaultRowHeight="14.4" x14ac:dyDescent="0.3"/>
  <cols>
    <col min="7" max="7" width="5.5546875" customWidth="1"/>
    <col min="8" max="8" width="2" customWidth="1"/>
  </cols>
  <sheetData>
    <row r="1" spans="1:37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37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</row>
    <row r="3" spans="1:37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</row>
    <row r="4" spans="1:37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 spans="1:37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</row>
    <row r="6" spans="1:37" ht="7.8" customHeight="1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</row>
    <row r="7" spans="1:37" x14ac:dyDescent="0.3">
      <c r="A7" s="9"/>
      <c r="B7" s="9"/>
      <c r="C7" s="9"/>
      <c r="D7" s="9"/>
      <c r="E7" s="9"/>
      <c r="F7" s="9"/>
      <c r="G7" s="9"/>
      <c r="H7" s="1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</row>
    <row r="8" spans="1:37" x14ac:dyDescent="0.3">
      <c r="A8" s="9"/>
      <c r="B8" s="9"/>
      <c r="C8" s="9"/>
      <c r="D8" s="9"/>
      <c r="E8" s="9"/>
      <c r="F8" s="9"/>
      <c r="G8" s="9"/>
      <c r="H8" s="1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</row>
    <row r="9" spans="1:37" x14ac:dyDescent="0.3">
      <c r="A9" s="9"/>
      <c r="B9" s="9"/>
      <c r="C9" s="9"/>
      <c r="D9" s="9"/>
      <c r="E9" s="9"/>
      <c r="F9" s="9"/>
      <c r="G9" s="9"/>
      <c r="H9" s="1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</row>
    <row r="10" spans="1:37" x14ac:dyDescent="0.3">
      <c r="A10" s="9"/>
      <c r="B10" s="9"/>
      <c r="C10" s="9"/>
      <c r="D10" s="9"/>
      <c r="E10" s="9"/>
      <c r="F10" s="9"/>
      <c r="G10" s="9"/>
      <c r="H10" s="1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pans="1:37" x14ac:dyDescent="0.3">
      <c r="A11" s="9"/>
      <c r="B11" s="9"/>
      <c r="C11" s="9"/>
      <c r="D11" s="9"/>
      <c r="E11" s="9"/>
      <c r="F11" s="9"/>
      <c r="G11" s="9"/>
      <c r="H11" s="1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</row>
    <row r="12" spans="1:37" x14ac:dyDescent="0.3">
      <c r="A12" s="9"/>
      <c r="B12" s="9"/>
      <c r="C12" s="9"/>
      <c r="D12" s="9"/>
      <c r="E12" s="9"/>
      <c r="F12" s="9"/>
      <c r="G12" s="9"/>
      <c r="H12" s="1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</row>
    <row r="13" spans="1:37" x14ac:dyDescent="0.3">
      <c r="A13" s="9"/>
      <c r="B13" s="9"/>
      <c r="C13" s="9"/>
      <c r="D13" s="9"/>
      <c r="E13" s="9"/>
      <c r="F13" s="9"/>
      <c r="G13" s="9"/>
      <c r="H13" s="1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</row>
    <row r="14" spans="1:37" x14ac:dyDescent="0.3">
      <c r="A14" s="9"/>
      <c r="B14" s="9"/>
      <c r="C14" s="9"/>
      <c r="D14" s="9"/>
      <c r="E14" s="9"/>
      <c r="F14" s="9"/>
      <c r="G14" s="9"/>
      <c r="H14" s="1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</row>
    <row r="15" spans="1:37" x14ac:dyDescent="0.3">
      <c r="A15" s="9"/>
      <c r="B15" s="9"/>
      <c r="C15" s="9"/>
      <c r="D15" s="9"/>
      <c r="E15" s="9"/>
      <c r="F15" s="9"/>
      <c r="G15" s="9"/>
      <c r="H15" s="1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</row>
    <row r="16" spans="1:37" x14ac:dyDescent="0.3">
      <c r="A16" s="9"/>
      <c r="B16" s="9"/>
      <c r="C16" s="9"/>
      <c r="D16" s="9"/>
      <c r="E16" s="9"/>
      <c r="F16" s="9"/>
      <c r="G16" s="9"/>
      <c r="H16" s="1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</row>
    <row r="17" spans="1:37" x14ac:dyDescent="0.3">
      <c r="A17" s="9"/>
      <c r="B17" s="9"/>
      <c r="C17" s="9"/>
      <c r="D17" s="9"/>
      <c r="E17" s="9"/>
      <c r="F17" s="9"/>
      <c r="G17" s="9"/>
      <c r="H17" s="1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</row>
    <row r="18" spans="1:37" x14ac:dyDescent="0.3">
      <c r="A18" s="9"/>
      <c r="B18" s="9"/>
      <c r="C18" s="9"/>
      <c r="D18" s="9"/>
      <c r="E18" s="9"/>
      <c r="F18" s="9"/>
      <c r="G18" s="9"/>
      <c r="H18" s="1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</row>
    <row r="19" spans="1:37" x14ac:dyDescent="0.3">
      <c r="A19" s="9"/>
      <c r="B19" s="9"/>
      <c r="C19" s="9"/>
      <c r="D19" s="9"/>
      <c r="E19" s="9"/>
      <c r="F19" s="9"/>
      <c r="G19" s="9"/>
      <c r="H19" s="1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1:37" x14ac:dyDescent="0.3">
      <c r="A20" s="9"/>
      <c r="B20" s="9"/>
      <c r="C20" s="9"/>
      <c r="D20" s="9"/>
      <c r="E20" s="9"/>
      <c r="F20" s="9"/>
      <c r="G20" s="9"/>
      <c r="H20" s="1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</row>
    <row r="21" spans="1:37" x14ac:dyDescent="0.3">
      <c r="A21" s="9"/>
      <c r="B21" s="9"/>
      <c r="C21" s="9"/>
      <c r="D21" s="9"/>
      <c r="E21" s="9"/>
      <c r="F21" s="9"/>
      <c r="G21" s="9"/>
      <c r="H21" s="1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</row>
    <row r="22" spans="1:37" x14ac:dyDescent="0.3">
      <c r="A22" s="9"/>
      <c r="B22" s="9"/>
      <c r="C22" s="9"/>
      <c r="D22" s="9"/>
      <c r="E22" s="9"/>
      <c r="F22" s="9"/>
      <c r="G22" s="9"/>
      <c r="H22" s="1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</row>
    <row r="23" spans="1:37" x14ac:dyDescent="0.3">
      <c r="A23" s="9"/>
      <c r="B23" s="9"/>
      <c r="C23" s="9"/>
      <c r="D23" s="9"/>
      <c r="E23" s="9"/>
      <c r="F23" s="9"/>
      <c r="G23" s="9"/>
      <c r="H23" s="1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r="24" spans="1:37" x14ac:dyDescent="0.3">
      <c r="A24" s="9"/>
      <c r="B24" s="9"/>
      <c r="C24" s="9"/>
      <c r="D24" s="9"/>
      <c r="E24" s="9"/>
      <c r="F24" s="9"/>
      <c r="G24" s="9"/>
      <c r="H24" s="1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  <row r="25" spans="1:37" x14ac:dyDescent="0.3">
      <c r="A25" s="9"/>
      <c r="B25" s="9"/>
      <c r="C25" s="9"/>
      <c r="D25" s="9"/>
      <c r="E25" s="9"/>
      <c r="F25" s="9"/>
      <c r="G25" s="9"/>
      <c r="H25" s="1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</row>
    <row r="26" spans="1:37" x14ac:dyDescent="0.3">
      <c r="A26" s="9"/>
      <c r="B26" s="9"/>
      <c r="C26" s="9"/>
      <c r="D26" s="9"/>
      <c r="E26" s="9"/>
      <c r="F26" s="9"/>
      <c r="G26" s="9"/>
      <c r="H26" s="1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</row>
    <row r="27" spans="1:37" x14ac:dyDescent="0.3">
      <c r="A27" s="9"/>
      <c r="B27" s="9"/>
      <c r="C27" s="9"/>
      <c r="D27" s="9"/>
      <c r="E27" s="9"/>
      <c r="F27" s="9"/>
      <c r="G27" s="9"/>
      <c r="H27" s="1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</row>
    <row r="28" spans="1:37" x14ac:dyDescent="0.3">
      <c r="A28" s="9"/>
      <c r="B28" s="9"/>
      <c r="C28" s="9"/>
      <c r="D28" s="9"/>
      <c r="E28" s="9"/>
      <c r="F28" s="9"/>
      <c r="G28" s="9"/>
      <c r="H28" s="1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</row>
    <row r="29" spans="1:37" x14ac:dyDescent="0.3">
      <c r="A29" s="9"/>
      <c r="B29" s="9"/>
      <c r="C29" s="9"/>
      <c r="D29" s="9"/>
      <c r="E29" s="9"/>
      <c r="F29" s="9"/>
      <c r="G29" s="9"/>
      <c r="H29" s="1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</row>
    <row r="30" spans="1:37" x14ac:dyDescent="0.3">
      <c r="A30" s="9"/>
      <c r="B30" s="9"/>
      <c r="C30" s="9"/>
      <c r="D30" s="9"/>
      <c r="E30" s="9"/>
      <c r="F30" s="9"/>
      <c r="G30" s="9"/>
      <c r="H30" s="1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</row>
    <row r="31" spans="1:37" x14ac:dyDescent="0.3">
      <c r="A31" s="9"/>
      <c r="B31" s="9"/>
      <c r="C31" s="9"/>
      <c r="D31" s="9"/>
      <c r="E31" s="9"/>
      <c r="F31" s="9"/>
      <c r="G31" s="9"/>
      <c r="H31" s="1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</row>
    <row r="32" spans="1:37" x14ac:dyDescent="0.3">
      <c r="A32" s="9"/>
      <c r="B32" s="9"/>
      <c r="C32" s="9"/>
      <c r="D32" s="9"/>
      <c r="E32" s="9"/>
      <c r="F32" s="9"/>
      <c r="G32" s="9"/>
      <c r="H32" s="1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</row>
    <row r="33" spans="1:37" x14ac:dyDescent="0.3">
      <c r="A33" s="9"/>
      <c r="B33" s="9"/>
      <c r="C33" s="9"/>
      <c r="D33" s="9"/>
      <c r="E33" s="9"/>
      <c r="F33" s="9"/>
      <c r="G33" s="9"/>
      <c r="H33" s="1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</row>
    <row r="34" spans="1:37" x14ac:dyDescent="0.3">
      <c r="A34" s="9"/>
      <c r="B34" s="9"/>
      <c r="C34" s="9"/>
      <c r="D34" s="9"/>
      <c r="E34" s="9"/>
      <c r="F34" s="9"/>
      <c r="G34" s="9"/>
      <c r="H34" s="1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</row>
    <row r="35" spans="1:37" x14ac:dyDescent="0.3">
      <c r="A35" s="9"/>
      <c r="B35" s="9"/>
      <c r="C35" s="9"/>
      <c r="D35" s="9"/>
      <c r="E35" s="9"/>
      <c r="F35" s="9"/>
      <c r="G35" s="9"/>
      <c r="H35" s="1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</row>
    <row r="36" spans="1:37" x14ac:dyDescent="0.3">
      <c r="A36" s="9"/>
      <c r="B36" s="9"/>
      <c r="C36" s="9"/>
      <c r="D36" s="9"/>
      <c r="E36" s="9"/>
      <c r="F36" s="9"/>
      <c r="G36" s="9"/>
      <c r="H36" s="1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</row>
    <row r="37" spans="1:37" x14ac:dyDescent="0.3">
      <c r="A37" s="9"/>
      <c r="B37" s="9"/>
      <c r="C37" s="9"/>
      <c r="D37" s="9"/>
      <c r="E37" s="9"/>
      <c r="F37" s="9"/>
      <c r="G37" s="9"/>
      <c r="H37" s="1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</row>
    <row r="38" spans="1:37" x14ac:dyDescent="0.3">
      <c r="A38" s="9"/>
      <c r="B38" s="9"/>
      <c r="C38" s="9"/>
      <c r="D38" s="9"/>
      <c r="E38" s="9"/>
      <c r="F38" s="9"/>
      <c r="G38" s="9"/>
      <c r="H38" s="1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</row>
    <row r="39" spans="1:37" x14ac:dyDescent="0.3">
      <c r="A39" s="9"/>
      <c r="B39" s="9"/>
      <c r="C39" s="9"/>
      <c r="D39" s="9"/>
      <c r="E39" s="9"/>
      <c r="F39" s="9"/>
      <c r="G39" s="9"/>
      <c r="H39" s="1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</row>
    <row r="40" spans="1:37" x14ac:dyDescent="0.3">
      <c r="A40" s="9"/>
      <c r="B40" s="9"/>
      <c r="C40" s="9"/>
      <c r="D40" s="9"/>
      <c r="E40" s="9"/>
      <c r="F40" s="9"/>
      <c r="G40" s="9"/>
      <c r="H40" s="1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</row>
    <row r="41" spans="1:37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</row>
    <row r="42" spans="1:37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</row>
    <row r="43" spans="1:37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</row>
    <row r="44" spans="1:37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</row>
    <row r="45" spans="1:37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</row>
    <row r="46" spans="1:37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</row>
    <row r="47" spans="1:37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</row>
    <row r="48" spans="1:37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</row>
    <row r="49" spans="1:37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</row>
    <row r="50" spans="1:37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</row>
    <row r="51" spans="1:37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</row>
    <row r="52" spans="1:37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</row>
    <row r="53" spans="1:37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</row>
    <row r="54" spans="1:37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</row>
    <row r="55" spans="1:37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</row>
    <row r="56" spans="1:37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</row>
    <row r="57" spans="1:37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</row>
    <row r="58" spans="1:37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</row>
    <row r="59" spans="1:37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</row>
    <row r="60" spans="1:37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</row>
    <row r="61" spans="1:37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</row>
    <row r="62" spans="1:37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</row>
    <row r="63" spans="1:37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</row>
    <row r="64" spans="1:37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</row>
    <row r="65" spans="1:37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</row>
    <row r="66" spans="1:37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</row>
    <row r="67" spans="1:37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</row>
    <row r="68" spans="1:37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</row>
    <row r="69" spans="1:37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</row>
    <row r="70" spans="1:37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</row>
    <row r="71" spans="1:37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</row>
    <row r="72" spans="1:37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</row>
    <row r="73" spans="1:37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</row>
    <row r="74" spans="1:37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</row>
    <row r="75" spans="1:37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</row>
    <row r="76" spans="1:37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</row>
    <row r="77" spans="1:37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</row>
    <row r="78" spans="1:37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</row>
    <row r="79" spans="1:37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</row>
    <row r="80" spans="1:37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</row>
    <row r="81" spans="1:37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</row>
    <row r="82" spans="1:37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</row>
    <row r="83" spans="1:37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</row>
    <row r="84" spans="1:37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</row>
    <row r="85" spans="1:37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</row>
    <row r="86" spans="1:37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</row>
    <row r="87" spans="1:37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</row>
    <row r="88" spans="1:37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</row>
    <row r="89" spans="1:37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</row>
    <row r="90" spans="1:37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</row>
    <row r="91" spans="1:37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</row>
    <row r="92" spans="1:37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</row>
    <row r="93" spans="1:37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</row>
    <row r="94" spans="1:37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</row>
    <row r="95" spans="1:37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</row>
    <row r="96" spans="1:37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</row>
    <row r="97" spans="1:37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</row>
    <row r="98" spans="1:37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</row>
    <row r="99" spans="1:37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</row>
    <row r="100" spans="1:37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</row>
    <row r="101" spans="1:37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</row>
    <row r="102" spans="1:37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</row>
    <row r="103" spans="1:37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</row>
    <row r="104" spans="1:37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</row>
    <row r="105" spans="1:37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</row>
    <row r="106" spans="1:37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</row>
    <row r="107" spans="1:37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</row>
    <row r="108" spans="1:37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</row>
    <row r="109" spans="1:37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</row>
    <row r="110" spans="1:37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</row>
    <row r="111" spans="1:37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</row>
    <row r="112" spans="1:37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</row>
    <row r="113" spans="1:37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</row>
    <row r="114" spans="1:37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</row>
    <row r="115" spans="1:37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</row>
    <row r="116" spans="1:37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</row>
    <row r="117" spans="1:37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</row>
    <row r="118" spans="1:37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</row>
    <row r="119" spans="1:37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</row>
    <row r="120" spans="1:37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</row>
    <row r="121" spans="1:37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</row>
    <row r="122" spans="1:37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</row>
    <row r="123" spans="1:37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</row>
    <row r="124" spans="1:37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</row>
    <row r="125" spans="1:37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</row>
    <row r="126" spans="1:37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</row>
    <row r="127" spans="1:37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</row>
    <row r="128" spans="1:37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</row>
    <row r="129" spans="1:37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</row>
    <row r="130" spans="1:37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</row>
    <row r="131" spans="1:37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</row>
    <row r="132" spans="1:37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</row>
    <row r="133" spans="1:37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</row>
  </sheetData>
  <pageMargins left="0.7" right="0.7" top="0.75" bottom="0.75" header="0.3" footer="0.3"/>
  <drawing r:id="rId1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K133"/>
  <sheetViews>
    <sheetView showGridLines="0" tabSelected="1" workbookViewId="0">
      <selection activeCell="B2" sqref="B2"/>
    </sheetView>
  </sheetViews>
  <sheetFormatPr defaultRowHeight="14.4" x14ac:dyDescent="0.3"/>
  <cols>
    <col min="7" max="7" width="5.5546875" customWidth="1"/>
    <col min="8" max="8" width="2" customWidth="1"/>
  </cols>
  <sheetData>
    <row r="1" spans="1:37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37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</row>
    <row r="3" spans="1:37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</row>
    <row r="4" spans="1:37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 spans="1:37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</row>
    <row r="6" spans="1:37" ht="7.8" customHeight="1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</row>
    <row r="7" spans="1:37" x14ac:dyDescent="0.3">
      <c r="A7" s="9"/>
      <c r="B7" s="9"/>
      <c r="C7" s="9"/>
      <c r="D7" s="9"/>
      <c r="E7" s="9"/>
      <c r="F7" s="9"/>
      <c r="G7" s="9"/>
      <c r="H7" s="1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</row>
    <row r="8" spans="1:37" x14ac:dyDescent="0.3">
      <c r="A8" s="9"/>
      <c r="B8" s="9"/>
      <c r="C8" s="9"/>
      <c r="D8" s="9"/>
      <c r="E8" s="9"/>
      <c r="F8" s="9"/>
      <c r="G8" s="9"/>
      <c r="H8" s="1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</row>
    <row r="9" spans="1:37" x14ac:dyDescent="0.3">
      <c r="A9" s="9"/>
      <c r="B9" s="9"/>
      <c r="C9" s="9"/>
      <c r="D9" s="9"/>
      <c r="E9" s="9"/>
      <c r="F9" s="9"/>
      <c r="G9" s="9"/>
      <c r="H9" s="1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</row>
    <row r="10" spans="1:37" x14ac:dyDescent="0.3">
      <c r="A10" s="9"/>
      <c r="B10" s="9"/>
      <c r="C10" s="9"/>
      <c r="D10" s="9"/>
      <c r="E10" s="9"/>
      <c r="F10" s="9"/>
      <c r="G10" s="9"/>
      <c r="H10" s="1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</row>
    <row r="11" spans="1:37" x14ac:dyDescent="0.3">
      <c r="A11" s="9"/>
      <c r="B11" s="9"/>
      <c r="C11" s="9"/>
      <c r="D11" s="9"/>
      <c r="E11" s="9"/>
      <c r="F11" s="9"/>
      <c r="G11" s="9"/>
      <c r="H11" s="1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</row>
    <row r="12" spans="1:37" x14ac:dyDescent="0.3">
      <c r="A12" s="9"/>
      <c r="B12" s="9"/>
      <c r="C12" s="9"/>
      <c r="D12" s="9"/>
      <c r="E12" s="9"/>
      <c r="F12" s="9"/>
      <c r="G12" s="9"/>
      <c r="H12" s="1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</row>
    <row r="13" spans="1:37" x14ac:dyDescent="0.3">
      <c r="A13" s="9"/>
      <c r="B13" s="9"/>
      <c r="C13" s="9"/>
      <c r="D13" s="9"/>
      <c r="E13" s="9"/>
      <c r="F13" s="9"/>
      <c r="G13" s="9"/>
      <c r="H13" s="1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</row>
    <row r="14" spans="1:37" x14ac:dyDescent="0.3">
      <c r="A14" s="9"/>
      <c r="B14" s="9"/>
      <c r="C14" s="9"/>
      <c r="D14" s="9"/>
      <c r="E14" s="9"/>
      <c r="F14" s="9"/>
      <c r="G14" s="9"/>
      <c r="H14" s="1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</row>
    <row r="15" spans="1:37" x14ac:dyDescent="0.3">
      <c r="A15" s="9"/>
      <c r="B15" s="9"/>
      <c r="C15" s="9"/>
      <c r="D15" s="9"/>
      <c r="E15" s="9"/>
      <c r="F15" s="9"/>
      <c r="G15" s="9"/>
      <c r="H15" s="1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</row>
    <row r="16" spans="1:37" x14ac:dyDescent="0.3">
      <c r="A16" s="9"/>
      <c r="B16" s="9"/>
      <c r="C16" s="9"/>
      <c r="D16" s="9"/>
      <c r="E16" s="9"/>
      <c r="F16" s="9"/>
      <c r="G16" s="9"/>
      <c r="H16" s="1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</row>
    <row r="17" spans="1:37" x14ac:dyDescent="0.3">
      <c r="A17" s="9"/>
      <c r="B17" s="9"/>
      <c r="C17" s="9"/>
      <c r="D17" s="9"/>
      <c r="E17" s="9"/>
      <c r="F17" s="9"/>
      <c r="G17" s="9"/>
      <c r="H17" s="1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</row>
    <row r="18" spans="1:37" x14ac:dyDescent="0.3">
      <c r="A18" s="9"/>
      <c r="B18" s="9"/>
      <c r="C18" s="9"/>
      <c r="D18" s="9"/>
      <c r="E18" s="9"/>
      <c r="F18" s="9"/>
      <c r="G18" s="9"/>
      <c r="H18" s="1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</row>
    <row r="19" spans="1:37" x14ac:dyDescent="0.3">
      <c r="A19" s="9"/>
      <c r="B19" s="9"/>
      <c r="C19" s="9"/>
      <c r="D19" s="9"/>
      <c r="E19" s="9"/>
      <c r="F19" s="9"/>
      <c r="G19" s="9"/>
      <c r="H19" s="1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</row>
    <row r="20" spans="1:37" x14ac:dyDescent="0.3">
      <c r="A20" s="9"/>
      <c r="B20" s="9"/>
      <c r="C20" s="9"/>
      <c r="D20" s="9"/>
      <c r="E20" s="9"/>
      <c r="F20" s="9"/>
      <c r="G20" s="9"/>
      <c r="H20" s="1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</row>
    <row r="21" spans="1:37" x14ac:dyDescent="0.3">
      <c r="A21" s="9"/>
      <c r="B21" s="9"/>
      <c r="C21" s="9"/>
      <c r="D21" s="9"/>
      <c r="E21" s="9"/>
      <c r="F21" s="9"/>
      <c r="G21" s="9"/>
      <c r="H21" s="1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</row>
    <row r="22" spans="1:37" x14ac:dyDescent="0.3">
      <c r="A22" s="9"/>
      <c r="B22" s="9"/>
      <c r="C22" s="9"/>
      <c r="D22" s="9"/>
      <c r="E22" s="9"/>
      <c r="F22" s="9"/>
      <c r="G22" s="9"/>
      <c r="H22" s="1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</row>
    <row r="23" spans="1:37" x14ac:dyDescent="0.3">
      <c r="A23" s="9"/>
      <c r="B23" s="9"/>
      <c r="C23" s="9"/>
      <c r="D23" s="9"/>
      <c r="E23" s="9"/>
      <c r="F23" s="9"/>
      <c r="G23" s="9"/>
      <c r="H23" s="1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</row>
    <row r="24" spans="1:37" x14ac:dyDescent="0.3">
      <c r="A24" s="9"/>
      <c r="B24" s="9"/>
      <c r="C24" s="9"/>
      <c r="D24" s="9"/>
      <c r="E24" s="9"/>
      <c r="F24" s="9"/>
      <c r="G24" s="9"/>
      <c r="H24" s="1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</row>
    <row r="25" spans="1:37" x14ac:dyDescent="0.3">
      <c r="A25" s="9"/>
      <c r="B25" s="9"/>
      <c r="C25" s="9"/>
      <c r="D25" s="9"/>
      <c r="E25" s="9"/>
      <c r="F25" s="9"/>
      <c r="G25" s="9"/>
      <c r="H25" s="1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</row>
    <row r="26" spans="1:37" x14ac:dyDescent="0.3">
      <c r="A26" s="9"/>
      <c r="B26" s="9"/>
      <c r="C26" s="9"/>
      <c r="D26" s="9"/>
      <c r="E26" s="9"/>
      <c r="F26" s="9"/>
      <c r="G26" s="9"/>
      <c r="H26" s="1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</row>
    <row r="27" spans="1:37" x14ac:dyDescent="0.3">
      <c r="A27" s="9"/>
      <c r="B27" s="9"/>
      <c r="C27" s="9"/>
      <c r="D27" s="9"/>
      <c r="E27" s="9"/>
      <c r="F27" s="9"/>
      <c r="G27" s="9"/>
      <c r="H27" s="1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</row>
    <row r="28" spans="1:37" x14ac:dyDescent="0.3">
      <c r="A28" s="9"/>
      <c r="B28" s="9"/>
      <c r="C28" s="9"/>
      <c r="D28" s="9"/>
      <c r="E28" s="9"/>
      <c r="F28" s="9"/>
      <c r="G28" s="9"/>
      <c r="H28" s="1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</row>
    <row r="29" spans="1:37" x14ac:dyDescent="0.3">
      <c r="A29" s="9"/>
      <c r="B29" s="9"/>
      <c r="C29" s="9"/>
      <c r="D29" s="9"/>
      <c r="E29" s="9"/>
      <c r="F29" s="9"/>
      <c r="G29" s="9"/>
      <c r="H29" s="1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</row>
    <row r="30" spans="1:37" x14ac:dyDescent="0.3">
      <c r="A30" s="9"/>
      <c r="B30" s="9"/>
      <c r="C30" s="9"/>
      <c r="D30" s="9"/>
      <c r="E30" s="9"/>
      <c r="F30" s="9"/>
      <c r="G30" s="9"/>
      <c r="H30" s="1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</row>
    <row r="31" spans="1:37" x14ac:dyDescent="0.3">
      <c r="A31" s="9"/>
      <c r="B31" s="9"/>
      <c r="C31" s="9"/>
      <c r="D31" s="9"/>
      <c r="E31" s="9"/>
      <c r="F31" s="9"/>
      <c r="G31" s="9"/>
      <c r="H31" s="1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</row>
    <row r="32" spans="1:37" x14ac:dyDescent="0.3">
      <c r="A32" s="9"/>
      <c r="B32" s="9"/>
      <c r="C32" s="9"/>
      <c r="D32" s="9"/>
      <c r="E32" s="9"/>
      <c r="F32" s="9"/>
      <c r="G32" s="9"/>
      <c r="H32" s="1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</row>
    <row r="33" spans="1:37" x14ac:dyDescent="0.3">
      <c r="A33" s="9"/>
      <c r="B33" s="9"/>
      <c r="C33" s="9"/>
      <c r="D33" s="9"/>
      <c r="E33" s="9"/>
      <c r="F33" s="9"/>
      <c r="G33" s="9"/>
      <c r="H33" s="1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</row>
    <row r="34" spans="1:37" x14ac:dyDescent="0.3">
      <c r="A34" s="9"/>
      <c r="B34" s="9"/>
      <c r="C34" s="9"/>
      <c r="D34" s="9"/>
      <c r="E34" s="9"/>
      <c r="F34" s="9"/>
      <c r="G34" s="9"/>
      <c r="H34" s="1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</row>
    <row r="35" spans="1:37" x14ac:dyDescent="0.3">
      <c r="A35" s="9"/>
      <c r="B35" s="9"/>
      <c r="C35" s="9"/>
      <c r="D35" s="9"/>
      <c r="E35" s="9"/>
      <c r="F35" s="9"/>
      <c r="G35" s="9"/>
      <c r="H35" s="1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</row>
    <row r="36" spans="1:37" x14ac:dyDescent="0.3">
      <c r="A36" s="9"/>
      <c r="B36" s="9"/>
      <c r="C36" s="9"/>
      <c r="D36" s="9"/>
      <c r="E36" s="9"/>
      <c r="F36" s="9"/>
      <c r="G36" s="9"/>
      <c r="H36" s="1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</row>
    <row r="37" spans="1:37" x14ac:dyDescent="0.3">
      <c r="A37" s="9"/>
      <c r="B37" s="9"/>
      <c r="C37" s="9"/>
      <c r="D37" s="9"/>
      <c r="E37" s="9"/>
      <c r="F37" s="9"/>
      <c r="G37" s="9"/>
      <c r="H37" s="1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</row>
    <row r="38" spans="1:37" x14ac:dyDescent="0.3">
      <c r="A38" s="9"/>
      <c r="B38" s="9"/>
      <c r="C38" s="9"/>
      <c r="D38" s="9"/>
      <c r="E38" s="9"/>
      <c r="F38" s="9"/>
      <c r="G38" s="9"/>
      <c r="H38" s="1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</row>
    <row r="39" spans="1:37" x14ac:dyDescent="0.3">
      <c r="A39" s="9"/>
      <c r="B39" s="9"/>
      <c r="C39" s="9"/>
      <c r="D39" s="9"/>
      <c r="E39" s="9"/>
      <c r="F39" s="9"/>
      <c r="G39" s="9"/>
      <c r="H39" s="1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</row>
    <row r="40" spans="1:37" x14ac:dyDescent="0.3">
      <c r="A40" s="9"/>
      <c r="B40" s="9"/>
      <c r="C40" s="9"/>
      <c r="D40" s="9"/>
      <c r="E40" s="9"/>
      <c r="F40" s="9"/>
      <c r="G40" s="9"/>
      <c r="H40" s="1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</row>
    <row r="41" spans="1:37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</row>
    <row r="42" spans="1:37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</row>
    <row r="43" spans="1:37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</row>
    <row r="44" spans="1:37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</row>
    <row r="45" spans="1:37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</row>
    <row r="46" spans="1:37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</row>
    <row r="47" spans="1:37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</row>
    <row r="48" spans="1:37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</row>
    <row r="49" spans="1:37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</row>
    <row r="50" spans="1:37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</row>
    <row r="51" spans="1:37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</row>
    <row r="52" spans="1:37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</row>
    <row r="53" spans="1:37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</row>
    <row r="54" spans="1:37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</row>
    <row r="55" spans="1:37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</row>
    <row r="56" spans="1:37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</row>
    <row r="57" spans="1:37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</row>
    <row r="58" spans="1:37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</row>
    <row r="59" spans="1:37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</row>
    <row r="60" spans="1:37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</row>
    <row r="61" spans="1:37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</row>
    <row r="62" spans="1:37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</row>
    <row r="63" spans="1:37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</row>
    <row r="64" spans="1:37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</row>
    <row r="65" spans="1:37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</row>
    <row r="66" spans="1:37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</row>
    <row r="67" spans="1:37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</row>
    <row r="68" spans="1:37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</row>
    <row r="69" spans="1:37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</row>
    <row r="70" spans="1:37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</row>
    <row r="71" spans="1:37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</row>
    <row r="72" spans="1:37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</row>
    <row r="73" spans="1:37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</row>
    <row r="74" spans="1:37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</row>
    <row r="75" spans="1:37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</row>
    <row r="76" spans="1:37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</row>
    <row r="77" spans="1:37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</row>
    <row r="78" spans="1:37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</row>
    <row r="79" spans="1:37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</row>
    <row r="80" spans="1:37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</row>
    <row r="81" spans="1:37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</row>
    <row r="82" spans="1:37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</row>
    <row r="83" spans="1:37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</row>
    <row r="84" spans="1:37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</row>
    <row r="85" spans="1:37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</row>
    <row r="86" spans="1:37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</row>
    <row r="87" spans="1:37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</row>
    <row r="88" spans="1:37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</row>
    <row r="89" spans="1:37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</row>
    <row r="90" spans="1:37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</row>
    <row r="91" spans="1:37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</row>
    <row r="92" spans="1:37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</row>
    <row r="93" spans="1:37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</row>
    <row r="94" spans="1:37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</row>
    <row r="95" spans="1:37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</row>
    <row r="96" spans="1:37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</row>
    <row r="97" spans="1:37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</row>
    <row r="98" spans="1:37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</row>
    <row r="99" spans="1:37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</row>
    <row r="100" spans="1:37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</row>
    <row r="101" spans="1:37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</row>
    <row r="102" spans="1:37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</row>
    <row r="103" spans="1:37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</row>
    <row r="104" spans="1:37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</row>
    <row r="105" spans="1:37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</row>
    <row r="106" spans="1:37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</row>
    <row r="107" spans="1:37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</row>
    <row r="108" spans="1:37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</row>
    <row r="109" spans="1:37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</row>
    <row r="110" spans="1:37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</row>
    <row r="111" spans="1:37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</row>
    <row r="112" spans="1:37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</row>
    <row r="113" spans="1:37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</row>
    <row r="114" spans="1:37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</row>
    <row r="115" spans="1:37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</row>
    <row r="116" spans="1:37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</row>
    <row r="117" spans="1:37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</row>
    <row r="118" spans="1:37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</row>
    <row r="119" spans="1:37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</row>
    <row r="120" spans="1:37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</row>
    <row r="121" spans="1:37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</row>
    <row r="122" spans="1:37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</row>
    <row r="123" spans="1:37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</row>
    <row r="124" spans="1:37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</row>
    <row r="125" spans="1:37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</row>
    <row r="126" spans="1:37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</row>
    <row r="127" spans="1:37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</row>
    <row r="128" spans="1:37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</row>
    <row r="129" spans="1:37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</row>
    <row r="130" spans="1:37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</row>
    <row r="131" spans="1:37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</row>
    <row r="132" spans="1:37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</row>
    <row r="133" spans="1:37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R1793"/>
  <sheetViews>
    <sheetView topLeftCell="F724" workbookViewId="0">
      <selection activeCell="O740" sqref="O740"/>
    </sheetView>
  </sheetViews>
  <sheetFormatPr defaultRowHeight="14.4" x14ac:dyDescent="0.3"/>
  <cols>
    <col min="1" max="1" width="10.5546875" bestFit="1" customWidth="1"/>
    <col min="2" max="2" width="11.33203125" customWidth="1"/>
    <col min="3" max="3" width="20.77734375" bestFit="1" customWidth="1"/>
    <col min="4" max="4" width="19" customWidth="1"/>
    <col min="5" max="5" width="26.109375" customWidth="1"/>
    <col min="6" max="6" width="16.21875" customWidth="1"/>
    <col min="7" max="7" width="15.21875" customWidth="1"/>
    <col min="8" max="8" width="23.5546875" customWidth="1"/>
    <col min="9" max="9" width="13.44140625" customWidth="1"/>
    <col min="10" max="10" width="11.44140625" customWidth="1"/>
    <col min="11" max="11" width="32.21875" bestFit="1" customWidth="1"/>
    <col min="12" max="12" width="20" customWidth="1"/>
    <col min="13" max="13" width="19.21875" customWidth="1"/>
    <col min="14" max="16" width="18.77734375" customWidth="1"/>
    <col min="17" max="17" width="21.88671875" customWidth="1"/>
    <col min="18" max="18" width="16.5546875" customWidth="1"/>
  </cols>
  <sheetData>
    <row r="1" spans="1:18" x14ac:dyDescent="0.3">
      <c r="A1" t="s">
        <v>0</v>
      </c>
      <c r="B1" t="s">
        <v>1</v>
      </c>
      <c r="C1" t="s">
        <v>56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85</v>
      </c>
      <c r="L1" t="s">
        <v>14</v>
      </c>
      <c r="M1" t="s">
        <v>15</v>
      </c>
      <c r="N1" t="s">
        <v>17</v>
      </c>
      <c r="O1" t="s">
        <v>64</v>
      </c>
      <c r="P1" t="s">
        <v>65</v>
      </c>
      <c r="Q1" t="s">
        <v>83</v>
      </c>
      <c r="R1" t="s">
        <v>18</v>
      </c>
    </row>
    <row r="2" spans="1:18" x14ac:dyDescent="0.3">
      <c r="A2" s="1" t="d">
        <v>2023-10-01</v>
      </c>
      <c r="B2">
        <v>45513</v>
      </c>
      <c r="C2" t="str">
        <f>VLOOKUP(Fato_Producao[[#This Row],[referencia]], Dim_Produtos!A:B,2,FALSE)</f>
        <v>filete pescada</v>
      </c>
      <c r="D2">
        <v>2362</v>
      </c>
      <c r="E2">
        <v>2230</v>
      </c>
      <c r="F2" s="5">
        <v>5.5899999999999998E-2</v>
      </c>
      <c r="G2" s="6">
        <v>42.24</v>
      </c>
      <c r="H2">
        <v>3</v>
      </c>
      <c r="I2">
        <v>126</v>
      </c>
      <c r="J2">
        <v>3</v>
      </c>
      <c r="K2">
        <f>Fato_Producao[[#This Row],[embalagens_danificadas]]+Fato_Producao[[#This Row],[peso_errado]]+Fato_Producao[[#This Row],[impressao]]</f>
        <v>132</v>
      </c>
      <c r="L2" s="1" t="d">
        <v>2023-09-16</v>
      </c>
      <c r="M2">
        <v>15</v>
      </c>
      <c r="N2" s="7">
        <v>5.49</v>
      </c>
      <c r="O2" s="4" t="str">
        <f t="shared" ref="O2:O65" si="0">TEXT(A2, "mmmm")</f>
        <v>outubro</v>
      </c>
      <c r="P2" s="4">
        <f t="shared" ref="P2:P65" si="1">YEAR(A2)</f>
        <v>2023</v>
      </c>
      <c r="Q2" s="4" t="str">
        <f t="shared" ref="Q2:Q65" si="2">IF(M3 &gt;= M2, "", M2)</f>
        <v/>
      </c>
      <c r="R2" t="s">
        <v>24</v>
      </c>
    </row>
    <row r="3" spans="1:18" x14ac:dyDescent="0.3">
      <c r="A3" s="1" t="d">
        <v>2023-10-02</v>
      </c>
      <c r="B3">
        <v>45501</v>
      </c>
      <c r="C3" t="str">
        <f>VLOOKUP(Fato_Producao[[#This Row],[referencia]], Dim_Produtos!A:B,2,FALSE)</f>
        <v>pescada posta cozer</v>
      </c>
      <c r="D3">
        <v>2400</v>
      </c>
      <c r="E3">
        <v>2249</v>
      </c>
      <c r="F3" s="5">
        <v>6.2899999999999998E-2</v>
      </c>
      <c r="G3" s="6">
        <v>48.32</v>
      </c>
      <c r="H3">
        <v>5</v>
      </c>
      <c r="I3">
        <v>144</v>
      </c>
      <c r="J3">
        <v>2</v>
      </c>
      <c r="K3">
        <f>Fato_Producao[[#This Row],[embalagens_danificadas]]+Fato_Producao[[#This Row],[peso_errado]]+Fato_Producao[[#This Row],[impressao]]</f>
        <v>151</v>
      </c>
      <c r="L3" s="1" t="d">
        <v>2023-09-16</v>
      </c>
      <c r="M3">
        <v>16</v>
      </c>
      <c r="N3" s="7">
        <v>6.76</v>
      </c>
      <c r="O3" s="4" t="str">
        <f t="shared" si="0"/>
        <v>outubro</v>
      </c>
      <c r="P3" s="4">
        <f t="shared" si="1"/>
        <v>2023</v>
      </c>
      <c r="Q3" s="4" t="str">
        <f t="shared" si="2"/>
        <v/>
      </c>
      <c r="R3" t="s">
        <v>24</v>
      </c>
    </row>
    <row r="4" spans="1:18" x14ac:dyDescent="0.3">
      <c r="A4" s="1" t="d">
        <v>2023-10-02</v>
      </c>
      <c r="B4">
        <v>45504</v>
      </c>
      <c r="C4" t="str">
        <f>VLOOKUP(Fato_Producao[[#This Row],[referencia]], Dim_Produtos!A:B,2,FALSE)</f>
        <v>pescada posta fritar</v>
      </c>
      <c r="D4">
        <v>3163</v>
      </c>
      <c r="E4">
        <v>2938</v>
      </c>
      <c r="F4" s="5">
        <v>7.1099999999999997E-2</v>
      </c>
      <c r="G4" s="6">
        <v>72</v>
      </c>
      <c r="H4">
        <v>8</v>
      </c>
      <c r="I4">
        <v>214</v>
      </c>
      <c r="J4">
        <v>3</v>
      </c>
      <c r="K4">
        <f>Fato_Producao[[#This Row],[embalagens_danificadas]]+Fato_Producao[[#This Row],[peso_errado]]+Fato_Producao[[#This Row],[impressao]]</f>
        <v>225</v>
      </c>
      <c r="L4" s="1" t="d">
        <v>2023-09-16</v>
      </c>
      <c r="M4">
        <v>16</v>
      </c>
      <c r="N4" s="7">
        <v>10.08</v>
      </c>
      <c r="O4" s="4" t="str">
        <f t="shared" si="0"/>
        <v>outubro</v>
      </c>
      <c r="P4" s="4">
        <f t="shared" si="1"/>
        <v>2023</v>
      </c>
      <c r="Q4" s="4" t="str">
        <f t="shared" si="2"/>
        <v/>
      </c>
      <c r="R4" t="s">
        <v>24</v>
      </c>
    </row>
    <row r="5" spans="1:18" x14ac:dyDescent="0.3">
      <c r="A5" s="1" t="d">
        <v>2023-10-03</v>
      </c>
      <c r="B5">
        <v>45501</v>
      </c>
      <c r="C5" t="str">
        <f>VLOOKUP(Fato_Producao[[#This Row],[referencia]], Dim_Produtos!A:B,2,FALSE)</f>
        <v>pescada posta cozer</v>
      </c>
      <c r="D5">
        <v>2821</v>
      </c>
      <c r="E5">
        <v>2671</v>
      </c>
      <c r="F5" s="5">
        <v>5.3199999999999997E-2</v>
      </c>
      <c r="G5" s="6">
        <v>48</v>
      </c>
      <c r="H5">
        <v>7</v>
      </c>
      <c r="I5">
        <v>141</v>
      </c>
      <c r="J5">
        <v>2</v>
      </c>
      <c r="K5">
        <f>Fato_Producao[[#This Row],[embalagens_danificadas]]+Fato_Producao[[#This Row],[peso_errado]]+Fato_Producao[[#This Row],[impressao]]</f>
        <v>150</v>
      </c>
      <c r="L5" s="1" t="d">
        <v>2023-09-16</v>
      </c>
      <c r="M5">
        <v>17</v>
      </c>
      <c r="N5" s="7">
        <v>6.72</v>
      </c>
      <c r="O5" s="4" t="str">
        <f t="shared" si="0"/>
        <v>outubro</v>
      </c>
      <c r="P5" s="4">
        <f t="shared" si="1"/>
        <v>2023</v>
      </c>
      <c r="Q5" s="4" t="str">
        <f t="shared" si="2"/>
        <v/>
      </c>
      <c r="R5" t="s">
        <v>24</v>
      </c>
    </row>
    <row r="6" spans="1:18" x14ac:dyDescent="0.3">
      <c r="A6" s="1" t="d">
        <v>2023-10-04</v>
      </c>
      <c r="B6">
        <v>45509</v>
      </c>
      <c r="C6" t="str">
        <f>VLOOKUP(Fato_Producao[[#This Row],[referencia]], Dim_Produtos!A:B,2,FALSE)</f>
        <v>lascas bacalhau</v>
      </c>
      <c r="D6">
        <v>3379</v>
      </c>
      <c r="E6">
        <v>3124</v>
      </c>
      <c r="F6" s="5">
        <v>7.5499999999999998E-2</v>
      </c>
      <c r="G6" s="6">
        <v>71.400000000000006</v>
      </c>
      <c r="H6">
        <v>17</v>
      </c>
      <c r="I6">
        <v>235</v>
      </c>
      <c r="J6">
        <v>3</v>
      </c>
      <c r="K6">
        <f>Fato_Producao[[#This Row],[embalagens_danificadas]]+Fato_Producao[[#This Row],[peso_errado]]+Fato_Producao[[#This Row],[impressao]]</f>
        <v>255</v>
      </c>
      <c r="L6" s="1" t="d">
        <v>2023-09-16</v>
      </c>
      <c r="M6">
        <v>18</v>
      </c>
      <c r="N6" s="7">
        <v>9.2799999999999994</v>
      </c>
      <c r="O6" s="4" t="str">
        <f t="shared" si="0"/>
        <v>outubro</v>
      </c>
      <c r="P6" s="4">
        <f t="shared" si="1"/>
        <v>2023</v>
      </c>
      <c r="Q6" s="4" t="str">
        <f t="shared" si="2"/>
        <v/>
      </c>
      <c r="R6" t="s">
        <v>24</v>
      </c>
    </row>
    <row r="7" spans="1:18" x14ac:dyDescent="0.3">
      <c r="A7" s="1" t="d">
        <v>2023-10-04</v>
      </c>
      <c r="B7">
        <v>45507</v>
      </c>
      <c r="C7" t="str">
        <f>VLOOKUP(Fato_Producao[[#This Row],[referencia]], Dim_Produtos!A:B,2,FALSE)</f>
        <v>salmao posta</v>
      </c>
      <c r="D7">
        <v>2137</v>
      </c>
      <c r="E7">
        <v>2012</v>
      </c>
      <c r="F7" s="5">
        <v>5.8500000000000003E-2</v>
      </c>
      <c r="G7" s="6">
        <v>43.75</v>
      </c>
      <c r="H7">
        <v>4</v>
      </c>
      <c r="I7">
        <v>117</v>
      </c>
      <c r="J7">
        <v>4</v>
      </c>
      <c r="K7">
        <f>Fato_Producao[[#This Row],[embalagens_danificadas]]+Fato_Producao[[#This Row],[peso_errado]]+Fato_Producao[[#This Row],[impressao]]</f>
        <v>125</v>
      </c>
      <c r="L7" s="1" t="d">
        <v>2023-09-16</v>
      </c>
      <c r="M7">
        <v>18</v>
      </c>
      <c r="N7" s="7">
        <v>7</v>
      </c>
      <c r="O7" s="4" t="str">
        <f t="shared" si="0"/>
        <v>outubro</v>
      </c>
      <c r="P7" s="4">
        <f t="shared" si="1"/>
        <v>2023</v>
      </c>
      <c r="Q7" s="4" t="str">
        <f t="shared" si="2"/>
        <v/>
      </c>
      <c r="R7" t="s">
        <v>24</v>
      </c>
    </row>
    <row r="8" spans="1:18" x14ac:dyDescent="0.3">
      <c r="A8" s="1" t="d">
        <v>2023-10-05</v>
      </c>
      <c r="B8">
        <v>45512</v>
      </c>
      <c r="C8" t="str">
        <f>VLOOKUP(Fato_Producao[[#This Row],[referencia]], Dim_Produtos!A:B,2,FALSE)</f>
        <v>red-fish posta</v>
      </c>
      <c r="D8">
        <v>2980</v>
      </c>
      <c r="E8">
        <v>2790</v>
      </c>
      <c r="F8" s="5">
        <v>6.3799999999999996E-2</v>
      </c>
      <c r="G8" s="6">
        <v>64.599999999999994</v>
      </c>
      <c r="H8">
        <v>8</v>
      </c>
      <c r="I8">
        <v>180</v>
      </c>
      <c r="J8">
        <v>2</v>
      </c>
      <c r="K8">
        <f>Fato_Producao[[#This Row],[embalagens_danificadas]]+Fato_Producao[[#This Row],[peso_errado]]+Fato_Producao[[#This Row],[impressao]]</f>
        <v>190</v>
      </c>
      <c r="L8" s="1" t="d">
        <v>2023-09-16</v>
      </c>
      <c r="M8">
        <v>19</v>
      </c>
      <c r="N8" s="7">
        <v>9.0399999999999991</v>
      </c>
      <c r="O8" s="4" t="str">
        <f t="shared" si="0"/>
        <v>outubro</v>
      </c>
      <c r="P8" s="4">
        <f t="shared" si="1"/>
        <v>2023</v>
      </c>
      <c r="Q8" s="4" t="str">
        <f t="shared" si="2"/>
        <v/>
      </c>
      <c r="R8" t="s">
        <v>24</v>
      </c>
    </row>
    <row r="9" spans="1:18" x14ac:dyDescent="0.3">
      <c r="A9" s="1" t="d">
        <v>2023-10-05</v>
      </c>
      <c r="B9">
        <v>45506</v>
      </c>
      <c r="C9" t="str">
        <f>VLOOKUP(Fato_Producao[[#This Row],[referencia]], Dim_Produtos!A:B,2,FALSE)</f>
        <v>perca posta</v>
      </c>
      <c r="D9">
        <v>3888</v>
      </c>
      <c r="E9">
        <v>3629</v>
      </c>
      <c r="F9" s="5">
        <v>6.6600000000000006E-2</v>
      </c>
      <c r="G9" s="6">
        <v>90.65</v>
      </c>
      <c r="H9">
        <v>7</v>
      </c>
      <c r="I9">
        <v>247</v>
      </c>
      <c r="J9">
        <v>5</v>
      </c>
      <c r="K9">
        <f>Fato_Producao[[#This Row],[embalagens_danificadas]]+Fato_Producao[[#This Row],[peso_errado]]+Fato_Producao[[#This Row],[impressao]]</f>
        <v>259</v>
      </c>
      <c r="L9" s="1" t="d">
        <v>2023-09-16</v>
      </c>
      <c r="M9">
        <v>19</v>
      </c>
      <c r="N9" s="7">
        <v>13.6</v>
      </c>
      <c r="O9" s="4" t="str">
        <f t="shared" si="0"/>
        <v>outubro</v>
      </c>
      <c r="P9" s="4">
        <f t="shared" si="1"/>
        <v>2023</v>
      </c>
      <c r="Q9" s="4" t="str">
        <f t="shared" si="2"/>
        <v/>
      </c>
      <c r="R9" t="s">
        <v>24</v>
      </c>
    </row>
    <row r="10" spans="1:18" x14ac:dyDescent="0.3">
      <c r="A10" s="1" t="d">
        <v>2023-10-06</v>
      </c>
      <c r="B10">
        <v>45506</v>
      </c>
      <c r="C10" t="str">
        <f>VLOOKUP(Fato_Producao[[#This Row],[referencia]], Dim_Produtos!A:B,2,FALSE)</f>
        <v>perca posta</v>
      </c>
      <c r="D10">
        <v>3551</v>
      </c>
      <c r="E10">
        <v>3309</v>
      </c>
      <c r="F10" s="5">
        <v>6.8099999999999994E-2</v>
      </c>
      <c r="G10" s="6">
        <v>84.7</v>
      </c>
      <c r="H10">
        <v>11</v>
      </c>
      <c r="I10">
        <v>227</v>
      </c>
      <c r="J10">
        <v>4</v>
      </c>
      <c r="K10">
        <f>Fato_Producao[[#This Row],[embalagens_danificadas]]+Fato_Producao[[#This Row],[peso_errado]]+Fato_Producao[[#This Row],[impressao]]</f>
        <v>242</v>
      </c>
      <c r="L10" s="1" t="d">
        <v>2023-09-16</v>
      </c>
      <c r="M10">
        <v>20</v>
      </c>
      <c r="N10" s="7">
        <v>12.71</v>
      </c>
      <c r="O10" s="4" t="str">
        <f t="shared" si="0"/>
        <v>outubro</v>
      </c>
      <c r="P10" s="4">
        <f t="shared" si="1"/>
        <v>2023</v>
      </c>
      <c r="Q10" s="4" t="str">
        <f t="shared" si="2"/>
        <v/>
      </c>
      <c r="R10" t="s">
        <v>24</v>
      </c>
    </row>
    <row r="11" spans="1:18" x14ac:dyDescent="0.3">
      <c r="A11" s="1" t="d">
        <v>2023-10-07</v>
      </c>
      <c r="B11">
        <v>45502</v>
      </c>
      <c r="C11" t="str">
        <f>VLOOKUP(Fato_Producao[[#This Row],[referencia]], Dim_Produtos!A:B,2,FALSE)</f>
        <v>carapau pelim</v>
      </c>
      <c r="D11">
        <v>2828</v>
      </c>
      <c r="E11">
        <v>2580</v>
      </c>
      <c r="F11" s="5">
        <v>8.77E-2</v>
      </c>
      <c r="G11" s="6">
        <v>74.400000000000006</v>
      </c>
      <c r="H11">
        <v>72</v>
      </c>
      <c r="I11">
        <v>170</v>
      </c>
      <c r="J11">
        <v>6</v>
      </c>
      <c r="K11">
        <f>Fato_Producao[[#This Row],[embalagens_danificadas]]+Fato_Producao[[#This Row],[peso_errado]]+Fato_Producao[[#This Row],[impressao]]</f>
        <v>248</v>
      </c>
      <c r="L11" s="1" t="d">
        <v>2023-09-16</v>
      </c>
      <c r="M11">
        <v>21</v>
      </c>
      <c r="N11" s="7">
        <v>9.67</v>
      </c>
      <c r="O11" s="4" t="str">
        <f t="shared" si="0"/>
        <v>outubro</v>
      </c>
      <c r="P11" s="4">
        <f t="shared" si="1"/>
        <v>2023</v>
      </c>
      <c r="Q11" s="4" t="str">
        <f t="shared" si="2"/>
        <v/>
      </c>
      <c r="R11" t="s">
        <v>24</v>
      </c>
    </row>
    <row r="12" spans="1:18" x14ac:dyDescent="0.3">
      <c r="A12" s="1" t="d">
        <v>2023-10-07</v>
      </c>
      <c r="B12">
        <v>45508</v>
      </c>
      <c r="C12" t="str">
        <f>VLOOKUP(Fato_Producao[[#This Row],[referencia]], Dim_Produtos!A:B,2,FALSE)</f>
        <v>lula suja</v>
      </c>
      <c r="D12">
        <v>2006</v>
      </c>
      <c r="E12">
        <v>1828</v>
      </c>
      <c r="F12" s="5">
        <v>8.8700000000000001E-2</v>
      </c>
      <c r="G12" s="6">
        <v>56.96</v>
      </c>
      <c r="H12">
        <v>15</v>
      </c>
      <c r="I12">
        <v>159</v>
      </c>
      <c r="J12">
        <v>4</v>
      </c>
      <c r="K12">
        <f>Fato_Producao[[#This Row],[embalagens_danificadas]]+Fato_Producao[[#This Row],[peso_errado]]+Fato_Producao[[#This Row],[impressao]]</f>
        <v>178</v>
      </c>
      <c r="L12" s="1" t="d">
        <v>2023-09-16</v>
      </c>
      <c r="M12">
        <v>21</v>
      </c>
      <c r="N12" s="7">
        <v>7.97</v>
      </c>
      <c r="O12" s="4" t="str">
        <f t="shared" si="0"/>
        <v>outubro</v>
      </c>
      <c r="P12" s="4">
        <f t="shared" si="1"/>
        <v>2023</v>
      </c>
      <c r="Q12" s="4" t="str">
        <f t="shared" si="2"/>
        <v/>
      </c>
      <c r="R12" t="s">
        <v>24</v>
      </c>
    </row>
    <row r="13" spans="1:18" x14ac:dyDescent="0.3">
      <c r="A13" s="1" t="d">
        <v>2023-10-08</v>
      </c>
      <c r="B13">
        <v>45503</v>
      </c>
      <c r="C13" t="str">
        <f>VLOOKUP(Fato_Producao[[#This Row],[referencia]], Dim_Produtos!A:B,2,FALSE)</f>
        <v>sardinha pequena</v>
      </c>
      <c r="D13">
        <v>3557</v>
      </c>
      <c r="E13">
        <v>3305</v>
      </c>
      <c r="F13" s="5">
        <v>7.0800000000000002E-2</v>
      </c>
      <c r="G13" s="6">
        <v>65.52</v>
      </c>
      <c r="H13">
        <v>10</v>
      </c>
      <c r="I13">
        <v>237</v>
      </c>
      <c r="J13">
        <v>5</v>
      </c>
      <c r="K13">
        <f>Fato_Producao[[#This Row],[embalagens_danificadas]]+Fato_Producao[[#This Row],[peso_errado]]+Fato_Producao[[#This Row],[impressao]]</f>
        <v>252</v>
      </c>
      <c r="L13" s="1" t="d">
        <v>2023-09-16</v>
      </c>
      <c r="M13">
        <v>22</v>
      </c>
      <c r="N13" s="7">
        <v>7.21</v>
      </c>
      <c r="O13" s="4" t="str">
        <f t="shared" si="0"/>
        <v>outubro</v>
      </c>
      <c r="P13" s="4">
        <f t="shared" si="1"/>
        <v>2023</v>
      </c>
      <c r="Q13" s="4" t="str">
        <f t="shared" si="2"/>
        <v/>
      </c>
      <c r="R13" t="s">
        <v>24</v>
      </c>
    </row>
    <row r="14" spans="1:18" x14ac:dyDescent="0.3">
      <c r="A14" s="1" t="d">
        <v>2023-10-09</v>
      </c>
      <c r="B14">
        <v>45512</v>
      </c>
      <c r="C14" t="str">
        <f>VLOOKUP(Fato_Producao[[#This Row],[referencia]], Dim_Produtos!A:B,2,FALSE)</f>
        <v>red-fish posta</v>
      </c>
      <c r="D14">
        <v>2983</v>
      </c>
      <c r="E14">
        <v>2752</v>
      </c>
      <c r="F14" s="5">
        <v>7.7399999999999997E-2</v>
      </c>
      <c r="G14" s="6">
        <v>78.540000000000006</v>
      </c>
      <c r="H14">
        <v>10</v>
      </c>
      <c r="I14">
        <v>217</v>
      </c>
      <c r="J14">
        <v>4</v>
      </c>
      <c r="K14">
        <f>Fato_Producao[[#This Row],[embalagens_danificadas]]+Fato_Producao[[#This Row],[peso_errado]]+Fato_Producao[[#This Row],[impressao]]</f>
        <v>231</v>
      </c>
      <c r="L14" s="1" t="d">
        <v>2023-09-16</v>
      </c>
      <c r="M14">
        <v>23</v>
      </c>
      <c r="N14" s="7">
        <v>11</v>
      </c>
      <c r="O14" s="4" t="str">
        <f t="shared" si="0"/>
        <v>outubro</v>
      </c>
      <c r="P14" s="4">
        <f t="shared" si="1"/>
        <v>2023</v>
      </c>
      <c r="Q14" s="4" t="str">
        <f t="shared" si="2"/>
        <v/>
      </c>
      <c r="R14" t="s">
        <v>24</v>
      </c>
    </row>
    <row r="15" spans="1:18" x14ac:dyDescent="0.3">
      <c r="A15" s="1" t="d">
        <v>2023-10-10</v>
      </c>
      <c r="B15">
        <v>45511</v>
      </c>
      <c r="C15" t="str">
        <f>VLOOKUP(Fato_Producao[[#This Row],[referencia]], Dim_Produtos!A:B,2,FALSE)</f>
        <v>lula limpa</v>
      </c>
      <c r="D15">
        <v>2851</v>
      </c>
      <c r="E15">
        <v>2585</v>
      </c>
      <c r="F15" s="5">
        <v>9.3299999999999994E-2</v>
      </c>
      <c r="G15" s="6">
        <v>85.12</v>
      </c>
      <c r="H15">
        <v>29</v>
      </c>
      <c r="I15">
        <v>230</v>
      </c>
      <c r="J15">
        <v>7</v>
      </c>
      <c r="K15">
        <f>Fato_Producao[[#This Row],[embalagens_danificadas]]+Fato_Producao[[#This Row],[peso_errado]]+Fato_Producao[[#This Row],[impressao]]</f>
        <v>266</v>
      </c>
      <c r="L15" s="1" t="d">
        <v>2023-09-16</v>
      </c>
      <c r="M15">
        <v>24</v>
      </c>
      <c r="N15" s="7">
        <v>11.92</v>
      </c>
      <c r="O15" s="4" t="str">
        <f t="shared" si="0"/>
        <v>outubro</v>
      </c>
      <c r="P15" s="4">
        <f t="shared" si="1"/>
        <v>2023</v>
      </c>
      <c r="Q15" s="4" t="str">
        <f t="shared" si="2"/>
        <v/>
      </c>
      <c r="R15" t="s">
        <v>24</v>
      </c>
    </row>
    <row r="16" spans="1:18" x14ac:dyDescent="0.3">
      <c r="A16" s="1" t="d">
        <v>2023-10-11</v>
      </c>
      <c r="B16">
        <v>45506</v>
      </c>
      <c r="C16" t="str">
        <f>VLOOKUP(Fato_Producao[[#This Row],[referencia]], Dim_Produtos!A:B,2,FALSE)</f>
        <v>perca posta</v>
      </c>
      <c r="D16">
        <v>3296</v>
      </c>
      <c r="E16">
        <v>3112</v>
      </c>
      <c r="F16" s="5">
        <v>5.5800000000000002E-2</v>
      </c>
      <c r="G16" s="6">
        <v>64.400000000000006</v>
      </c>
      <c r="H16">
        <v>8</v>
      </c>
      <c r="I16">
        <v>171</v>
      </c>
      <c r="J16">
        <v>5</v>
      </c>
      <c r="K16">
        <f>Fato_Producao[[#This Row],[embalagens_danificadas]]+Fato_Producao[[#This Row],[peso_errado]]+Fato_Producao[[#This Row],[impressao]]</f>
        <v>184</v>
      </c>
      <c r="L16" s="1" t="d">
        <v>2023-09-16</v>
      </c>
      <c r="M16">
        <v>25</v>
      </c>
      <c r="N16" s="7">
        <v>9.66</v>
      </c>
      <c r="O16" s="4" t="str">
        <f t="shared" si="0"/>
        <v>outubro</v>
      </c>
      <c r="P16" s="4">
        <f t="shared" si="1"/>
        <v>2023</v>
      </c>
      <c r="Q16" s="4" t="str">
        <f t="shared" si="2"/>
        <v/>
      </c>
      <c r="R16" t="s">
        <v>24</v>
      </c>
    </row>
    <row r="17" spans="1:18" x14ac:dyDescent="0.3">
      <c r="A17" s="1" t="d">
        <v>2023-10-12</v>
      </c>
      <c r="B17">
        <v>45506</v>
      </c>
      <c r="C17" t="str">
        <f>VLOOKUP(Fato_Producao[[#This Row],[referencia]], Dim_Produtos!A:B,2,FALSE)</f>
        <v>perca posta</v>
      </c>
      <c r="D17">
        <v>2509</v>
      </c>
      <c r="E17">
        <v>2357</v>
      </c>
      <c r="F17" s="5">
        <v>6.0600000000000001E-2</v>
      </c>
      <c r="G17" s="6">
        <v>53.2</v>
      </c>
      <c r="H17">
        <v>9</v>
      </c>
      <c r="I17">
        <v>141</v>
      </c>
      <c r="J17">
        <v>2</v>
      </c>
      <c r="K17">
        <f>Fato_Producao[[#This Row],[embalagens_danificadas]]+Fato_Producao[[#This Row],[peso_errado]]+Fato_Producao[[#This Row],[impressao]]</f>
        <v>152</v>
      </c>
      <c r="L17" s="1" t="d">
        <v>2023-09-16</v>
      </c>
      <c r="M17">
        <v>26</v>
      </c>
      <c r="N17" s="7">
        <v>7.98</v>
      </c>
      <c r="O17" s="4" t="str">
        <f t="shared" si="0"/>
        <v>outubro</v>
      </c>
      <c r="P17" s="4">
        <f t="shared" si="1"/>
        <v>2023</v>
      </c>
      <c r="Q17" s="4" t="str">
        <f t="shared" si="2"/>
        <v/>
      </c>
      <c r="R17" t="s">
        <v>24</v>
      </c>
    </row>
    <row r="18" spans="1:18" x14ac:dyDescent="0.3">
      <c r="A18" s="1" t="d">
        <v>2023-10-12</v>
      </c>
      <c r="B18">
        <v>45502</v>
      </c>
      <c r="C18" t="str">
        <f>VLOOKUP(Fato_Producao[[#This Row],[referencia]], Dim_Produtos!A:B,2,FALSE)</f>
        <v>carapau pelim</v>
      </c>
      <c r="D18">
        <v>3057</v>
      </c>
      <c r="E18">
        <v>2815</v>
      </c>
      <c r="F18" s="5">
        <v>7.9200000000000007E-2</v>
      </c>
      <c r="G18" s="6">
        <v>72.599999999999994</v>
      </c>
      <c r="H18">
        <v>61</v>
      </c>
      <c r="I18">
        <v>173</v>
      </c>
      <c r="J18">
        <v>8</v>
      </c>
      <c r="K18">
        <f>Fato_Producao[[#This Row],[embalagens_danificadas]]+Fato_Producao[[#This Row],[peso_errado]]+Fato_Producao[[#This Row],[impressao]]</f>
        <v>242</v>
      </c>
      <c r="L18" s="1" t="d">
        <v>2023-09-16</v>
      </c>
      <c r="M18">
        <v>26</v>
      </c>
      <c r="N18" s="7">
        <v>9.44</v>
      </c>
      <c r="O18" s="4" t="str">
        <f t="shared" si="0"/>
        <v>outubro</v>
      </c>
      <c r="P18" s="4">
        <f t="shared" si="1"/>
        <v>2023</v>
      </c>
      <c r="Q18" s="4" t="str">
        <f t="shared" si="2"/>
        <v/>
      </c>
      <c r="R18" t="s">
        <v>24</v>
      </c>
    </row>
    <row r="19" spans="1:18" x14ac:dyDescent="0.3">
      <c r="A19" s="1" t="d">
        <v>2023-10-13</v>
      </c>
      <c r="B19">
        <v>45500</v>
      </c>
      <c r="C19" t="str">
        <f>VLOOKUP(Fato_Producao[[#This Row],[referencia]], Dim_Produtos!A:B,2,FALSE)</f>
        <v>filete pescada</v>
      </c>
      <c r="D19">
        <v>2363</v>
      </c>
      <c r="E19">
        <v>2231</v>
      </c>
      <c r="F19" s="5">
        <v>5.5899999999999998E-2</v>
      </c>
      <c r="G19" s="6">
        <v>36.96</v>
      </c>
      <c r="H19">
        <v>4</v>
      </c>
      <c r="I19">
        <v>125</v>
      </c>
      <c r="J19">
        <v>3</v>
      </c>
      <c r="K19">
        <f>Fato_Producao[[#This Row],[embalagens_danificadas]]+Fato_Producao[[#This Row],[peso_errado]]+Fato_Producao[[#This Row],[impressao]]</f>
        <v>132</v>
      </c>
      <c r="L19" s="1" t="d">
        <v>2023-09-16</v>
      </c>
      <c r="M19">
        <v>27</v>
      </c>
      <c r="N19" s="7">
        <v>4.4400000000000004</v>
      </c>
      <c r="O19" s="4" t="str">
        <f t="shared" si="0"/>
        <v>outubro</v>
      </c>
      <c r="P19" s="4">
        <f t="shared" si="1"/>
        <v>2023</v>
      </c>
      <c r="Q19" s="4" t="str">
        <f t="shared" si="2"/>
        <v/>
      </c>
      <c r="R19" t="s">
        <v>24</v>
      </c>
    </row>
    <row r="20" spans="1:18" x14ac:dyDescent="0.3">
      <c r="A20" s="1" t="d">
        <v>2023-10-14</v>
      </c>
      <c r="B20">
        <v>45507</v>
      </c>
      <c r="C20" t="str">
        <f>VLOOKUP(Fato_Producao[[#This Row],[referencia]], Dim_Produtos!A:B,2,FALSE)</f>
        <v>salmao posta</v>
      </c>
      <c r="D20">
        <v>2498</v>
      </c>
      <c r="E20">
        <v>2333</v>
      </c>
      <c r="F20" s="5">
        <v>6.6100000000000006E-2</v>
      </c>
      <c r="G20" s="6">
        <v>57.75</v>
      </c>
      <c r="H20">
        <v>8</v>
      </c>
      <c r="I20">
        <v>152</v>
      </c>
      <c r="J20">
        <v>5</v>
      </c>
      <c r="K20">
        <f>Fato_Producao[[#This Row],[embalagens_danificadas]]+Fato_Producao[[#This Row],[peso_errado]]+Fato_Producao[[#This Row],[impressao]]</f>
        <v>165</v>
      </c>
      <c r="L20" s="1" t="d">
        <v>2023-09-16</v>
      </c>
      <c r="M20">
        <v>28</v>
      </c>
      <c r="N20" s="7">
        <v>9.24</v>
      </c>
      <c r="O20" s="4" t="str">
        <f t="shared" si="0"/>
        <v>outubro</v>
      </c>
      <c r="P20" s="4">
        <f t="shared" si="1"/>
        <v>2023</v>
      </c>
      <c r="Q20" s="4" t="str">
        <f t="shared" si="2"/>
        <v/>
      </c>
      <c r="R20" t="s">
        <v>24</v>
      </c>
    </row>
    <row r="21" spans="1:18" x14ac:dyDescent="0.3">
      <c r="A21" s="1" t="d">
        <v>2023-10-15</v>
      </c>
      <c r="B21">
        <v>45501</v>
      </c>
      <c r="C21" t="str">
        <f>VLOOKUP(Fato_Producao[[#This Row],[referencia]], Dim_Produtos!A:B,2,FALSE)</f>
        <v>pescada posta cozer</v>
      </c>
      <c r="D21">
        <v>2876</v>
      </c>
      <c r="E21">
        <v>2592</v>
      </c>
      <c r="F21" s="5">
        <v>9.8699999999999996E-2</v>
      </c>
      <c r="G21" s="6">
        <v>90.88</v>
      </c>
      <c r="H21">
        <v>8</v>
      </c>
      <c r="I21">
        <v>272</v>
      </c>
      <c r="J21">
        <v>4</v>
      </c>
      <c r="K21">
        <f>Fato_Producao[[#This Row],[embalagens_danificadas]]+Fato_Producao[[#This Row],[peso_errado]]+Fato_Producao[[#This Row],[impressao]]</f>
        <v>284</v>
      </c>
      <c r="L21" s="1" t="d">
        <v>2023-09-16</v>
      </c>
      <c r="M21">
        <v>29</v>
      </c>
      <c r="N21" s="7">
        <v>12.72</v>
      </c>
      <c r="O21" s="4" t="str">
        <f t="shared" si="0"/>
        <v>outubro</v>
      </c>
      <c r="P21" s="4">
        <f t="shared" si="1"/>
        <v>2023</v>
      </c>
      <c r="Q21" s="4" t="str">
        <f t="shared" si="2"/>
        <v/>
      </c>
      <c r="R21" t="s">
        <v>24</v>
      </c>
    </row>
    <row r="22" spans="1:18" x14ac:dyDescent="0.3">
      <c r="A22" s="1" t="d">
        <v>2023-10-16</v>
      </c>
      <c r="B22">
        <v>45510</v>
      </c>
      <c r="C22" t="str">
        <f>VLOOKUP(Fato_Producao[[#This Row],[referencia]], Dim_Produtos!A:B,2,FALSE)</f>
        <v>tiras pota</v>
      </c>
      <c r="D22">
        <v>1922</v>
      </c>
      <c r="E22">
        <v>1735</v>
      </c>
      <c r="F22" s="5">
        <v>9.7299999999999998E-2</v>
      </c>
      <c r="G22" s="6">
        <v>59.84</v>
      </c>
      <c r="H22">
        <v>28</v>
      </c>
      <c r="I22">
        <v>156</v>
      </c>
      <c r="J22">
        <v>3</v>
      </c>
      <c r="K22">
        <f>Fato_Producao[[#This Row],[embalagens_danificadas]]+Fato_Producao[[#This Row],[peso_errado]]+Fato_Producao[[#This Row],[impressao]]</f>
        <v>187</v>
      </c>
      <c r="L22" s="1" t="d">
        <v>2023-09-16</v>
      </c>
      <c r="M22">
        <v>30</v>
      </c>
      <c r="N22" s="7">
        <v>8.3800000000000008</v>
      </c>
      <c r="O22" s="4" t="str">
        <f t="shared" si="0"/>
        <v>outubro</v>
      </c>
      <c r="P22" s="4">
        <f t="shared" si="1"/>
        <v>2023</v>
      </c>
      <c r="Q22" s="4" t="str">
        <f t="shared" si="2"/>
        <v/>
      </c>
      <c r="R22" t="s">
        <v>24</v>
      </c>
    </row>
    <row r="23" spans="1:18" x14ac:dyDescent="0.3">
      <c r="A23" s="1" t="d">
        <v>2023-10-16</v>
      </c>
      <c r="B23">
        <v>45514</v>
      </c>
      <c r="C23" t="str">
        <f>VLOOKUP(Fato_Producao[[#This Row],[referencia]], Dim_Produtos!A:B,2,FALSE)</f>
        <v>sardinha pequena</v>
      </c>
      <c r="D23">
        <v>3991</v>
      </c>
      <c r="E23">
        <v>3676</v>
      </c>
      <c r="F23" s="5">
        <v>7.8899999999999998E-2</v>
      </c>
      <c r="G23" s="6">
        <v>94.5</v>
      </c>
      <c r="H23">
        <v>19</v>
      </c>
      <c r="I23">
        <v>292</v>
      </c>
      <c r="J23">
        <v>4</v>
      </c>
      <c r="K23">
        <f>Fato_Producao[[#This Row],[embalagens_danificadas]]+Fato_Producao[[#This Row],[peso_errado]]+Fato_Producao[[#This Row],[impressao]]</f>
        <v>315</v>
      </c>
      <c r="L23" s="1" t="d">
        <v>2023-09-16</v>
      </c>
      <c r="M23">
        <v>30</v>
      </c>
      <c r="N23" s="7">
        <v>11.34</v>
      </c>
      <c r="O23" s="4" t="str">
        <f t="shared" si="0"/>
        <v>outubro</v>
      </c>
      <c r="P23" s="4">
        <f t="shared" si="1"/>
        <v>2023</v>
      </c>
      <c r="Q23" s="4" t="str">
        <f t="shared" si="2"/>
        <v/>
      </c>
      <c r="R23" t="s">
        <v>24</v>
      </c>
    </row>
    <row r="24" spans="1:18" x14ac:dyDescent="0.3">
      <c r="A24" s="1" t="d">
        <v>2023-10-17</v>
      </c>
      <c r="B24">
        <v>45503</v>
      </c>
      <c r="C24" t="str">
        <f>VLOOKUP(Fato_Producao[[#This Row],[referencia]], Dim_Produtos!A:B,2,FALSE)</f>
        <v>sardinha pequena</v>
      </c>
      <c r="D24">
        <v>3755</v>
      </c>
      <c r="E24">
        <v>3459</v>
      </c>
      <c r="F24" s="5">
        <v>7.8799999999999995E-2</v>
      </c>
      <c r="G24" s="6">
        <v>76.959999999999994</v>
      </c>
      <c r="H24">
        <v>13</v>
      </c>
      <c r="I24">
        <v>279</v>
      </c>
      <c r="J24">
        <v>4</v>
      </c>
      <c r="K24">
        <f>Fato_Producao[[#This Row],[embalagens_danificadas]]+Fato_Producao[[#This Row],[peso_errado]]+Fato_Producao[[#This Row],[impressao]]</f>
        <v>296</v>
      </c>
      <c r="L24" s="1" t="d">
        <v>2023-09-16</v>
      </c>
      <c r="M24">
        <v>31</v>
      </c>
      <c r="N24" s="7">
        <v>8.4700000000000006</v>
      </c>
      <c r="O24" s="4" t="str">
        <f t="shared" si="0"/>
        <v>outubro</v>
      </c>
      <c r="P24" s="4">
        <f t="shared" si="1"/>
        <v>2023</v>
      </c>
      <c r="Q24" s="4" t="str">
        <f t="shared" si="2"/>
        <v/>
      </c>
      <c r="R24" t="s">
        <v>24</v>
      </c>
    </row>
    <row r="25" spans="1:18" x14ac:dyDescent="0.3">
      <c r="A25" s="1" t="d">
        <v>2023-10-18</v>
      </c>
      <c r="B25">
        <v>45506</v>
      </c>
      <c r="C25" t="str">
        <f>VLOOKUP(Fato_Producao[[#This Row],[referencia]], Dim_Produtos!A:B,2,FALSE)</f>
        <v>perca posta</v>
      </c>
      <c r="D25">
        <v>4185</v>
      </c>
      <c r="E25">
        <v>3913</v>
      </c>
      <c r="F25" s="5">
        <v>6.5000000000000002E-2</v>
      </c>
      <c r="G25" s="6">
        <v>95.2</v>
      </c>
      <c r="H25">
        <v>8</v>
      </c>
      <c r="I25">
        <v>257</v>
      </c>
      <c r="J25">
        <v>7</v>
      </c>
      <c r="K25">
        <f>Fato_Producao[[#This Row],[embalagens_danificadas]]+Fato_Producao[[#This Row],[peso_errado]]+Fato_Producao[[#This Row],[impressao]]</f>
        <v>272</v>
      </c>
      <c r="L25" s="1" t="d">
        <v>2023-09-16</v>
      </c>
      <c r="M25">
        <v>32</v>
      </c>
      <c r="N25" s="7">
        <v>14.28</v>
      </c>
      <c r="O25" s="4" t="str">
        <f t="shared" si="0"/>
        <v>outubro</v>
      </c>
      <c r="P25" s="4">
        <f t="shared" si="1"/>
        <v>2023</v>
      </c>
      <c r="Q25" s="4" t="str">
        <f t="shared" si="2"/>
        <v/>
      </c>
      <c r="R25" t="s">
        <v>24</v>
      </c>
    </row>
    <row r="26" spans="1:18" x14ac:dyDescent="0.3">
      <c r="A26" s="1" t="d">
        <v>2023-10-18</v>
      </c>
      <c r="B26">
        <v>45501</v>
      </c>
      <c r="C26" t="str">
        <f>VLOOKUP(Fato_Producao[[#This Row],[referencia]], Dim_Produtos!A:B,2,FALSE)</f>
        <v>pescada posta cozer</v>
      </c>
      <c r="D26">
        <v>3998</v>
      </c>
      <c r="E26">
        <v>3617</v>
      </c>
      <c r="F26" s="5">
        <v>9.5299999999999996E-2</v>
      </c>
      <c r="G26" s="6">
        <v>121.92</v>
      </c>
      <c r="H26">
        <v>20</v>
      </c>
      <c r="I26">
        <v>350</v>
      </c>
      <c r="J26">
        <v>11</v>
      </c>
      <c r="K26">
        <f>Fato_Producao[[#This Row],[embalagens_danificadas]]+Fato_Producao[[#This Row],[peso_errado]]+Fato_Producao[[#This Row],[impressao]]</f>
        <v>381</v>
      </c>
      <c r="L26" s="1" t="d">
        <v>2023-09-16</v>
      </c>
      <c r="M26">
        <v>32</v>
      </c>
      <c r="N26" s="7">
        <v>17.07</v>
      </c>
      <c r="O26" s="4" t="str">
        <f t="shared" si="0"/>
        <v>outubro</v>
      </c>
      <c r="P26" s="4">
        <f t="shared" si="1"/>
        <v>2023</v>
      </c>
      <c r="Q26" s="4" t="str">
        <f t="shared" si="2"/>
        <v/>
      </c>
      <c r="R26" t="s">
        <v>24</v>
      </c>
    </row>
    <row r="27" spans="1:18" x14ac:dyDescent="0.3">
      <c r="A27" s="1" t="d">
        <v>2023-10-19</v>
      </c>
      <c r="B27">
        <v>45500</v>
      </c>
      <c r="C27" t="str">
        <f>VLOOKUP(Fato_Producao[[#This Row],[referencia]], Dim_Produtos!A:B,2,FALSE)</f>
        <v>filete pescada</v>
      </c>
      <c r="D27">
        <v>3849</v>
      </c>
      <c r="E27">
        <v>3593</v>
      </c>
      <c r="F27" s="5">
        <v>6.6500000000000004E-2</v>
      </c>
      <c r="G27" s="6">
        <v>71.680000000000007</v>
      </c>
      <c r="H27">
        <v>6</v>
      </c>
      <c r="I27">
        <v>245</v>
      </c>
      <c r="J27">
        <v>5</v>
      </c>
      <c r="K27">
        <f>Fato_Producao[[#This Row],[embalagens_danificadas]]+Fato_Producao[[#This Row],[peso_errado]]+Fato_Producao[[#This Row],[impressao]]</f>
        <v>256</v>
      </c>
      <c r="L27" s="1" t="d">
        <v>2023-09-16</v>
      </c>
      <c r="M27">
        <v>33</v>
      </c>
      <c r="N27" s="7">
        <v>8.6</v>
      </c>
      <c r="O27" s="4" t="str">
        <f t="shared" si="0"/>
        <v>outubro</v>
      </c>
      <c r="P27" s="4">
        <f t="shared" si="1"/>
        <v>2023</v>
      </c>
      <c r="Q27" s="4" t="str">
        <f t="shared" si="2"/>
        <v/>
      </c>
      <c r="R27" t="s">
        <v>24</v>
      </c>
    </row>
    <row r="28" spans="1:18" x14ac:dyDescent="0.3">
      <c r="A28" s="1" t="d">
        <v>2023-10-19</v>
      </c>
      <c r="B28">
        <v>45510</v>
      </c>
      <c r="C28" t="str">
        <f>VLOOKUP(Fato_Producao[[#This Row],[referencia]], Dim_Produtos!A:B,2,FALSE)</f>
        <v>tiras pota</v>
      </c>
      <c r="D28">
        <v>3856</v>
      </c>
      <c r="E28">
        <v>3462</v>
      </c>
      <c r="F28" s="5">
        <v>0.1022</v>
      </c>
      <c r="G28" s="6">
        <v>126.08</v>
      </c>
      <c r="H28">
        <v>55</v>
      </c>
      <c r="I28">
        <v>332</v>
      </c>
      <c r="J28">
        <v>7</v>
      </c>
      <c r="K28">
        <f>Fato_Producao[[#This Row],[embalagens_danificadas]]+Fato_Producao[[#This Row],[peso_errado]]+Fato_Producao[[#This Row],[impressao]]</f>
        <v>394</v>
      </c>
      <c r="L28" s="1" t="d">
        <v>2023-09-16</v>
      </c>
      <c r="M28">
        <v>33</v>
      </c>
      <c r="N28" s="7">
        <v>17.649999999999999</v>
      </c>
      <c r="O28" s="4" t="str">
        <f t="shared" si="0"/>
        <v>outubro</v>
      </c>
      <c r="P28" s="4">
        <f t="shared" si="1"/>
        <v>2023</v>
      </c>
      <c r="Q28" s="4" t="str">
        <f t="shared" si="2"/>
        <v/>
      </c>
      <c r="R28" t="s">
        <v>24</v>
      </c>
    </row>
    <row r="29" spans="1:18" x14ac:dyDescent="0.3">
      <c r="A29" s="1" t="d">
        <v>2023-10-20</v>
      </c>
      <c r="B29">
        <v>45503</v>
      </c>
      <c r="C29" t="str">
        <f>VLOOKUP(Fato_Producao[[#This Row],[referencia]], Dim_Produtos!A:B,2,FALSE)</f>
        <v>sardinha pequena</v>
      </c>
      <c r="D29">
        <v>2386</v>
      </c>
      <c r="E29">
        <v>2217</v>
      </c>
      <c r="F29" s="5">
        <v>7.0800000000000002E-2</v>
      </c>
      <c r="G29" s="6">
        <v>43.94</v>
      </c>
      <c r="H29">
        <v>5</v>
      </c>
      <c r="I29">
        <v>160</v>
      </c>
      <c r="J29">
        <v>4</v>
      </c>
      <c r="K29">
        <f>Fato_Producao[[#This Row],[embalagens_danificadas]]+Fato_Producao[[#This Row],[peso_errado]]+Fato_Producao[[#This Row],[impressao]]</f>
        <v>169</v>
      </c>
      <c r="L29" s="1" t="d">
        <v>2023-09-16</v>
      </c>
      <c r="M29">
        <v>34</v>
      </c>
      <c r="N29" s="7">
        <v>4.83</v>
      </c>
      <c r="O29" s="4" t="str">
        <f t="shared" si="0"/>
        <v>outubro</v>
      </c>
      <c r="P29" s="4">
        <f t="shared" si="1"/>
        <v>2023</v>
      </c>
      <c r="Q29" s="4" t="str">
        <f t="shared" si="2"/>
        <v/>
      </c>
      <c r="R29" t="s">
        <v>24</v>
      </c>
    </row>
    <row r="30" spans="1:18" x14ac:dyDescent="0.3">
      <c r="A30" s="1" t="d">
        <v>2023-10-20</v>
      </c>
      <c r="B30">
        <v>45513</v>
      </c>
      <c r="C30" t="str">
        <f>VLOOKUP(Fato_Producao[[#This Row],[referencia]], Dim_Produtos!A:B,2,FALSE)</f>
        <v>filete pescada</v>
      </c>
      <c r="D30">
        <v>3296</v>
      </c>
      <c r="E30">
        <v>3058</v>
      </c>
      <c r="F30" s="5">
        <v>7.22E-2</v>
      </c>
      <c r="G30" s="6">
        <v>76.16</v>
      </c>
      <c r="H30">
        <v>11</v>
      </c>
      <c r="I30">
        <v>224</v>
      </c>
      <c r="J30">
        <v>3</v>
      </c>
      <c r="K30">
        <f>Fato_Producao[[#This Row],[embalagens_danificadas]]+Fato_Producao[[#This Row],[peso_errado]]+Fato_Producao[[#This Row],[impressao]]</f>
        <v>238</v>
      </c>
      <c r="L30" s="1" t="d">
        <v>2023-09-16</v>
      </c>
      <c r="M30">
        <v>34</v>
      </c>
      <c r="N30" s="7">
        <v>9.9</v>
      </c>
      <c r="O30" s="4" t="str">
        <f t="shared" si="0"/>
        <v>outubro</v>
      </c>
      <c r="P30" s="4">
        <f t="shared" si="1"/>
        <v>2023</v>
      </c>
      <c r="Q30" s="4" t="str">
        <f t="shared" si="2"/>
        <v/>
      </c>
      <c r="R30" t="s">
        <v>24</v>
      </c>
    </row>
    <row r="31" spans="1:18" x14ac:dyDescent="0.3">
      <c r="A31" s="1" t="d">
        <v>2023-10-21</v>
      </c>
      <c r="B31">
        <v>45500</v>
      </c>
      <c r="C31" t="str">
        <f>VLOOKUP(Fato_Producao[[#This Row],[referencia]], Dim_Produtos!A:B,2,FALSE)</f>
        <v>filete pescada</v>
      </c>
      <c r="D31">
        <v>2197</v>
      </c>
      <c r="E31">
        <v>2083</v>
      </c>
      <c r="F31" s="5">
        <v>5.1900000000000002E-2</v>
      </c>
      <c r="G31" s="6">
        <v>31.92</v>
      </c>
      <c r="H31">
        <v>3</v>
      </c>
      <c r="I31">
        <v>108</v>
      </c>
      <c r="J31">
        <v>3</v>
      </c>
      <c r="K31">
        <f>Fato_Producao[[#This Row],[embalagens_danificadas]]+Fato_Producao[[#This Row],[peso_errado]]+Fato_Producao[[#This Row],[impressao]]</f>
        <v>114</v>
      </c>
      <c r="L31" s="1" t="d">
        <v>2023-09-16</v>
      </c>
      <c r="M31">
        <v>35</v>
      </c>
      <c r="N31" s="7">
        <v>3.83</v>
      </c>
      <c r="O31" s="4" t="str">
        <f t="shared" si="0"/>
        <v>outubro</v>
      </c>
      <c r="P31" s="4">
        <f t="shared" si="1"/>
        <v>2023</v>
      </c>
      <c r="Q31" s="4" t="str">
        <f t="shared" si="2"/>
        <v/>
      </c>
      <c r="R31" t="s">
        <v>24</v>
      </c>
    </row>
    <row r="32" spans="1:18" x14ac:dyDescent="0.3">
      <c r="A32" s="1" t="d">
        <v>2023-10-21</v>
      </c>
      <c r="B32">
        <v>45506</v>
      </c>
      <c r="C32" t="str">
        <f>VLOOKUP(Fato_Producao[[#This Row],[referencia]], Dim_Produtos!A:B,2,FALSE)</f>
        <v>perca posta</v>
      </c>
      <c r="D32">
        <v>3018</v>
      </c>
      <c r="E32">
        <v>2778</v>
      </c>
      <c r="F32" s="5">
        <v>7.9500000000000001E-2</v>
      </c>
      <c r="G32" s="6">
        <v>84</v>
      </c>
      <c r="H32">
        <v>13</v>
      </c>
      <c r="I32">
        <v>223</v>
      </c>
      <c r="J32">
        <v>4</v>
      </c>
      <c r="K32">
        <f>Fato_Producao[[#This Row],[embalagens_danificadas]]+Fato_Producao[[#This Row],[peso_errado]]+Fato_Producao[[#This Row],[impressao]]</f>
        <v>240</v>
      </c>
      <c r="L32" s="1" t="d">
        <v>2023-09-16</v>
      </c>
      <c r="M32">
        <v>35</v>
      </c>
      <c r="N32" s="7">
        <v>12.6</v>
      </c>
      <c r="O32" s="4" t="str">
        <f t="shared" si="0"/>
        <v>outubro</v>
      </c>
      <c r="P32" s="4">
        <f t="shared" si="1"/>
        <v>2023</v>
      </c>
      <c r="Q32" s="4" t="str">
        <f t="shared" si="2"/>
        <v/>
      </c>
      <c r="R32" t="s">
        <v>24</v>
      </c>
    </row>
    <row r="33" spans="1:18" x14ac:dyDescent="0.3">
      <c r="A33" s="1" t="d">
        <v>2023-10-22</v>
      </c>
      <c r="B33">
        <v>45505</v>
      </c>
      <c r="C33" t="str">
        <f>VLOOKUP(Fato_Producao[[#This Row],[referencia]], Dim_Produtos!A:B,2,FALSE)</f>
        <v>camarao</v>
      </c>
      <c r="D33">
        <v>4077</v>
      </c>
      <c r="E33">
        <v>3661</v>
      </c>
      <c r="F33" s="5">
        <v>0.10199999999999999</v>
      </c>
      <c r="G33" s="6">
        <v>124.8</v>
      </c>
      <c r="H33">
        <v>127</v>
      </c>
      <c r="I33">
        <v>277</v>
      </c>
      <c r="J33">
        <v>12</v>
      </c>
      <c r="K33">
        <f>Fato_Producao[[#This Row],[embalagens_danificadas]]+Fato_Producao[[#This Row],[peso_errado]]+Fato_Producao[[#This Row],[impressao]]</f>
        <v>416</v>
      </c>
      <c r="L33" s="1" t="d">
        <v>2023-09-16</v>
      </c>
      <c r="M33">
        <v>36</v>
      </c>
      <c r="N33" s="7">
        <v>18.72</v>
      </c>
      <c r="O33" s="4" t="str">
        <f t="shared" si="0"/>
        <v>outubro</v>
      </c>
      <c r="P33" s="4">
        <f t="shared" si="1"/>
        <v>2023</v>
      </c>
      <c r="Q33" s="4" t="str">
        <f t="shared" si="2"/>
        <v/>
      </c>
      <c r="R33" t="s">
        <v>24</v>
      </c>
    </row>
    <row r="34" spans="1:18" x14ac:dyDescent="0.3">
      <c r="A34" s="1" t="d">
        <v>2023-10-23</v>
      </c>
      <c r="B34">
        <v>45513</v>
      </c>
      <c r="C34" t="str">
        <f>VLOOKUP(Fato_Producao[[#This Row],[referencia]], Dim_Produtos!A:B,2,FALSE)</f>
        <v>filete pescada</v>
      </c>
      <c r="D34">
        <v>4131</v>
      </c>
      <c r="E34">
        <v>3795</v>
      </c>
      <c r="F34" s="5">
        <v>8.1299999999999997E-2</v>
      </c>
      <c r="G34" s="6">
        <v>107.52</v>
      </c>
      <c r="H34">
        <v>15</v>
      </c>
      <c r="I34">
        <v>314</v>
      </c>
      <c r="J34">
        <v>7</v>
      </c>
      <c r="K34">
        <f>Fato_Producao[[#This Row],[embalagens_danificadas]]+Fato_Producao[[#This Row],[peso_errado]]+Fato_Producao[[#This Row],[impressao]]</f>
        <v>336</v>
      </c>
      <c r="L34" s="1" t="d">
        <v>2023-09-16</v>
      </c>
      <c r="M34">
        <v>37</v>
      </c>
      <c r="N34" s="7">
        <v>13.98</v>
      </c>
      <c r="O34" s="4" t="str">
        <f t="shared" si="0"/>
        <v>outubro</v>
      </c>
      <c r="P34" s="4">
        <f t="shared" si="1"/>
        <v>2023</v>
      </c>
      <c r="Q34" s="4" t="str">
        <f t="shared" si="2"/>
        <v/>
      </c>
      <c r="R34" t="s">
        <v>24</v>
      </c>
    </row>
    <row r="35" spans="1:18" x14ac:dyDescent="0.3">
      <c r="A35" s="1" t="d">
        <v>2023-10-23</v>
      </c>
      <c r="B35">
        <v>45500</v>
      </c>
      <c r="C35" t="str">
        <f>VLOOKUP(Fato_Producao[[#This Row],[referencia]], Dim_Produtos!A:B,2,FALSE)</f>
        <v>filete pescada</v>
      </c>
      <c r="D35">
        <v>1816</v>
      </c>
      <c r="E35">
        <v>1689</v>
      </c>
      <c r="F35" s="5">
        <v>6.9900000000000004E-2</v>
      </c>
      <c r="G35" s="6">
        <v>35.56</v>
      </c>
      <c r="H35">
        <v>6</v>
      </c>
      <c r="I35">
        <v>119</v>
      </c>
      <c r="J35">
        <v>2</v>
      </c>
      <c r="K35">
        <f>Fato_Producao[[#This Row],[embalagens_danificadas]]+Fato_Producao[[#This Row],[peso_errado]]+Fato_Producao[[#This Row],[impressao]]</f>
        <v>127</v>
      </c>
      <c r="L35" s="1" t="d">
        <v>2023-09-16</v>
      </c>
      <c r="M35">
        <v>37</v>
      </c>
      <c r="N35" s="7">
        <v>4.2699999999999996</v>
      </c>
      <c r="O35" s="4" t="str">
        <f t="shared" si="0"/>
        <v>outubro</v>
      </c>
      <c r="P35" s="4">
        <f t="shared" si="1"/>
        <v>2023</v>
      </c>
      <c r="Q35" s="4" t="str">
        <f t="shared" si="2"/>
        <v/>
      </c>
      <c r="R35" t="s">
        <v>24</v>
      </c>
    </row>
    <row r="36" spans="1:18" x14ac:dyDescent="0.3">
      <c r="A36" s="1" t="d">
        <v>2023-10-24</v>
      </c>
      <c r="B36">
        <v>45511</v>
      </c>
      <c r="C36" t="str">
        <f>VLOOKUP(Fato_Producao[[#This Row],[referencia]], Dim_Produtos!A:B,2,FALSE)</f>
        <v>lula limpa</v>
      </c>
      <c r="D36">
        <v>3568</v>
      </c>
      <c r="E36">
        <v>3228</v>
      </c>
      <c r="F36" s="5">
        <v>9.5299999999999996E-2</v>
      </c>
      <c r="G36" s="6">
        <v>108.8</v>
      </c>
      <c r="H36">
        <v>41</v>
      </c>
      <c r="I36">
        <v>289</v>
      </c>
      <c r="J36">
        <v>10</v>
      </c>
      <c r="K36">
        <f>Fato_Producao[[#This Row],[embalagens_danificadas]]+Fato_Producao[[#This Row],[peso_errado]]+Fato_Producao[[#This Row],[impressao]]</f>
        <v>340</v>
      </c>
      <c r="L36" s="1" t="d">
        <v>2023-09-16</v>
      </c>
      <c r="M36">
        <v>38</v>
      </c>
      <c r="N36" s="7">
        <v>15.23</v>
      </c>
      <c r="O36" s="4" t="str">
        <f t="shared" si="0"/>
        <v>outubro</v>
      </c>
      <c r="P36" s="4">
        <f t="shared" si="1"/>
        <v>2023</v>
      </c>
      <c r="Q36" s="4" t="str">
        <f t="shared" si="2"/>
        <v/>
      </c>
      <c r="R36" t="s">
        <v>24</v>
      </c>
    </row>
    <row r="37" spans="1:18" x14ac:dyDescent="0.3">
      <c r="A37" s="1" t="d">
        <v>2023-10-24</v>
      </c>
      <c r="B37">
        <v>45503</v>
      </c>
      <c r="C37" t="str">
        <f>VLOOKUP(Fato_Producao[[#This Row],[referencia]], Dim_Produtos!A:B,2,FALSE)</f>
        <v>sardinha pequena</v>
      </c>
      <c r="D37">
        <v>1990</v>
      </c>
      <c r="E37">
        <v>1815</v>
      </c>
      <c r="F37" s="5">
        <v>8.7900000000000006E-2</v>
      </c>
      <c r="G37" s="6">
        <v>45.5</v>
      </c>
      <c r="H37">
        <v>11</v>
      </c>
      <c r="I37">
        <v>161</v>
      </c>
      <c r="J37">
        <v>3</v>
      </c>
      <c r="K37">
        <f>Fato_Producao[[#This Row],[embalagens_danificadas]]+Fato_Producao[[#This Row],[peso_errado]]+Fato_Producao[[#This Row],[impressao]]</f>
        <v>175</v>
      </c>
      <c r="L37" s="1" t="d">
        <v>2023-09-16</v>
      </c>
      <c r="M37">
        <v>38</v>
      </c>
      <c r="N37" s="7">
        <v>5</v>
      </c>
      <c r="O37" s="4" t="str">
        <f t="shared" si="0"/>
        <v>outubro</v>
      </c>
      <c r="P37" s="4">
        <f t="shared" si="1"/>
        <v>2023</v>
      </c>
      <c r="Q37" s="4" t="str">
        <f t="shared" si="2"/>
        <v/>
      </c>
      <c r="R37" t="s">
        <v>24</v>
      </c>
    </row>
    <row r="38" spans="1:18" x14ac:dyDescent="0.3">
      <c r="A38" s="1" t="d">
        <v>2023-10-25</v>
      </c>
      <c r="B38">
        <v>45501</v>
      </c>
      <c r="C38" t="str">
        <f>VLOOKUP(Fato_Producao[[#This Row],[referencia]], Dim_Produtos!A:B,2,FALSE)</f>
        <v>pescada posta cozer</v>
      </c>
      <c r="D38">
        <v>3616</v>
      </c>
      <c r="E38">
        <v>3278</v>
      </c>
      <c r="F38" s="5">
        <v>9.35E-2</v>
      </c>
      <c r="G38" s="6">
        <v>108.16</v>
      </c>
      <c r="H38">
        <v>24</v>
      </c>
      <c r="I38">
        <v>309</v>
      </c>
      <c r="J38">
        <v>5</v>
      </c>
      <c r="K38">
        <f>Fato_Producao[[#This Row],[embalagens_danificadas]]+Fato_Producao[[#This Row],[peso_errado]]+Fato_Producao[[#This Row],[impressao]]</f>
        <v>338</v>
      </c>
      <c r="L38" s="1" t="d">
        <v>2023-09-16</v>
      </c>
      <c r="M38">
        <v>39</v>
      </c>
      <c r="N38" s="7">
        <v>15.14</v>
      </c>
      <c r="O38" s="4" t="str">
        <f t="shared" si="0"/>
        <v>outubro</v>
      </c>
      <c r="P38" s="4">
        <f t="shared" si="1"/>
        <v>2023</v>
      </c>
      <c r="Q38" s="4" t="str">
        <f t="shared" si="2"/>
        <v/>
      </c>
      <c r="R38" t="s">
        <v>24</v>
      </c>
    </row>
    <row r="39" spans="1:18" x14ac:dyDescent="0.3">
      <c r="A39" s="1" t="d">
        <v>2023-10-25</v>
      </c>
      <c r="B39">
        <v>45514</v>
      </c>
      <c r="C39" t="str">
        <f>VLOOKUP(Fato_Producao[[#This Row],[referencia]], Dim_Produtos!A:B,2,FALSE)</f>
        <v>sardinha pequena</v>
      </c>
      <c r="D39">
        <v>3486</v>
      </c>
      <c r="E39">
        <v>3175</v>
      </c>
      <c r="F39" s="5">
        <v>8.9200000000000002E-2</v>
      </c>
      <c r="G39" s="6">
        <v>93.3</v>
      </c>
      <c r="H39">
        <v>11</v>
      </c>
      <c r="I39">
        <v>291</v>
      </c>
      <c r="J39">
        <v>9</v>
      </c>
      <c r="K39">
        <f>Fato_Producao[[#This Row],[embalagens_danificadas]]+Fato_Producao[[#This Row],[peso_errado]]+Fato_Producao[[#This Row],[impressao]]</f>
        <v>311</v>
      </c>
      <c r="L39" s="1" t="d">
        <v>2023-09-16</v>
      </c>
      <c r="M39">
        <v>39</v>
      </c>
      <c r="N39" s="7">
        <v>11.2</v>
      </c>
      <c r="O39" s="4" t="str">
        <f t="shared" si="0"/>
        <v>outubro</v>
      </c>
      <c r="P39" s="4">
        <f t="shared" si="1"/>
        <v>2023</v>
      </c>
      <c r="Q39" s="4" t="str">
        <f t="shared" si="2"/>
        <v/>
      </c>
      <c r="R39" t="s">
        <v>24</v>
      </c>
    </row>
    <row r="40" spans="1:18" x14ac:dyDescent="0.3">
      <c r="A40" s="1" t="d">
        <v>2023-10-26</v>
      </c>
      <c r="B40">
        <v>45500</v>
      </c>
      <c r="C40" t="str">
        <f>VLOOKUP(Fato_Producao[[#This Row],[referencia]], Dim_Produtos!A:B,2,FALSE)</f>
        <v>filete pescada</v>
      </c>
      <c r="D40">
        <v>2045</v>
      </c>
      <c r="E40">
        <v>1933</v>
      </c>
      <c r="F40" s="5">
        <v>5.4800000000000001E-2</v>
      </c>
      <c r="G40" s="6">
        <v>31.36</v>
      </c>
      <c r="H40">
        <v>3</v>
      </c>
      <c r="I40">
        <v>106</v>
      </c>
      <c r="J40">
        <v>3</v>
      </c>
      <c r="K40">
        <f>Fato_Producao[[#This Row],[embalagens_danificadas]]+Fato_Producao[[#This Row],[peso_errado]]+Fato_Producao[[#This Row],[impressao]]</f>
        <v>112</v>
      </c>
      <c r="L40" s="1" t="d">
        <v>2023-09-16</v>
      </c>
      <c r="M40">
        <v>40</v>
      </c>
      <c r="N40" s="7">
        <v>3.76</v>
      </c>
      <c r="O40" s="4" t="str">
        <f t="shared" si="0"/>
        <v>outubro</v>
      </c>
      <c r="P40" s="4">
        <f t="shared" si="1"/>
        <v>2023</v>
      </c>
      <c r="Q40" s="4" t="str">
        <f t="shared" si="2"/>
        <v/>
      </c>
      <c r="R40" t="s">
        <v>24</v>
      </c>
    </row>
    <row r="41" spans="1:18" x14ac:dyDescent="0.3">
      <c r="A41" s="1" t="d">
        <v>2023-10-26</v>
      </c>
      <c r="B41">
        <v>45512</v>
      </c>
      <c r="C41" t="str">
        <f>VLOOKUP(Fato_Producao[[#This Row],[referencia]], Dim_Produtos!A:B,2,FALSE)</f>
        <v>red-fish posta</v>
      </c>
      <c r="D41">
        <v>3329</v>
      </c>
      <c r="E41">
        <v>3109</v>
      </c>
      <c r="F41" s="5">
        <v>6.6100000000000006E-2</v>
      </c>
      <c r="G41" s="6">
        <v>74.8</v>
      </c>
      <c r="H41">
        <v>63</v>
      </c>
      <c r="I41">
        <v>45</v>
      </c>
      <c r="J41">
        <v>112</v>
      </c>
      <c r="K41">
        <f>Fato_Producao[[#This Row],[embalagens_danificadas]]+Fato_Producao[[#This Row],[peso_errado]]+Fato_Producao[[#This Row],[impressao]]</f>
        <v>220</v>
      </c>
      <c r="L41" s="1" t="d">
        <v>2023-09-16</v>
      </c>
      <c r="M41">
        <v>40</v>
      </c>
      <c r="N41" s="7">
        <v>10.47</v>
      </c>
      <c r="O41" s="4" t="str">
        <f t="shared" si="0"/>
        <v>outubro</v>
      </c>
      <c r="P41" s="4">
        <f t="shared" si="1"/>
        <v>2023</v>
      </c>
      <c r="Q41" s="4" t="str">
        <f t="shared" si="2"/>
        <v/>
      </c>
      <c r="R41" t="s">
        <v>50</v>
      </c>
    </row>
    <row r="42" spans="1:18" x14ac:dyDescent="0.3">
      <c r="A42" s="1" t="d">
        <v>2023-10-27</v>
      </c>
      <c r="B42">
        <v>45513</v>
      </c>
      <c r="C42" t="str">
        <f>VLOOKUP(Fato_Producao[[#This Row],[referencia]], Dim_Produtos!A:B,2,FALSE)</f>
        <v>filete pescada</v>
      </c>
      <c r="D42">
        <v>2199</v>
      </c>
      <c r="E42">
        <v>2030</v>
      </c>
      <c r="F42" s="5">
        <v>7.6899999999999996E-2</v>
      </c>
      <c r="G42" s="6">
        <v>54.08</v>
      </c>
      <c r="H42">
        <v>7</v>
      </c>
      <c r="I42">
        <v>159</v>
      </c>
      <c r="J42">
        <v>3</v>
      </c>
      <c r="K42">
        <f>Fato_Producao[[#This Row],[embalagens_danificadas]]+Fato_Producao[[#This Row],[peso_errado]]+Fato_Producao[[#This Row],[impressao]]</f>
        <v>169</v>
      </c>
      <c r="L42" s="1" t="d">
        <v>2023-09-16</v>
      </c>
      <c r="M42">
        <v>41</v>
      </c>
      <c r="N42" s="7">
        <v>7.03</v>
      </c>
      <c r="O42" s="4" t="str">
        <f t="shared" si="0"/>
        <v>outubro</v>
      </c>
      <c r="P42" s="4">
        <f t="shared" si="1"/>
        <v>2023</v>
      </c>
      <c r="Q42" s="4" t="str">
        <f t="shared" si="2"/>
        <v/>
      </c>
      <c r="R42" t="s">
        <v>24</v>
      </c>
    </row>
    <row r="43" spans="1:18" x14ac:dyDescent="0.3">
      <c r="A43" s="1" t="d">
        <v>2023-10-28</v>
      </c>
      <c r="B43">
        <v>45513</v>
      </c>
      <c r="C43" t="str">
        <f>VLOOKUP(Fato_Producao[[#This Row],[referencia]], Dim_Produtos!A:B,2,FALSE)</f>
        <v>filete pescada</v>
      </c>
      <c r="D43">
        <v>2948</v>
      </c>
      <c r="E43">
        <v>2733</v>
      </c>
      <c r="F43" s="5">
        <v>7.2900000000000006E-2</v>
      </c>
      <c r="G43" s="6">
        <v>68.8</v>
      </c>
      <c r="H43">
        <v>7</v>
      </c>
      <c r="I43">
        <v>205</v>
      </c>
      <c r="J43">
        <v>3</v>
      </c>
      <c r="K43">
        <f>Fato_Producao[[#This Row],[embalagens_danificadas]]+Fato_Producao[[#This Row],[peso_errado]]+Fato_Producao[[#This Row],[impressao]]</f>
        <v>215</v>
      </c>
      <c r="L43" s="1" t="d">
        <v>2023-09-16</v>
      </c>
      <c r="M43">
        <v>42</v>
      </c>
      <c r="N43" s="7">
        <v>8.94</v>
      </c>
      <c r="O43" s="4" t="str">
        <f t="shared" si="0"/>
        <v>outubro</v>
      </c>
      <c r="P43" s="4">
        <f t="shared" si="1"/>
        <v>2023</v>
      </c>
      <c r="Q43" s="4" t="str">
        <f t="shared" si="2"/>
        <v/>
      </c>
      <c r="R43" t="s">
        <v>24</v>
      </c>
    </row>
    <row r="44" spans="1:18" x14ac:dyDescent="0.3">
      <c r="A44" s="1" t="d">
        <v>2023-10-29</v>
      </c>
      <c r="B44">
        <v>45514</v>
      </c>
      <c r="C44" t="str">
        <f>VLOOKUP(Fato_Producao[[#This Row],[referencia]], Dim_Produtos!A:B,2,FALSE)</f>
        <v>sardinha pequena</v>
      </c>
      <c r="D44">
        <v>2877</v>
      </c>
      <c r="E44">
        <v>2659</v>
      </c>
      <c r="F44" s="5">
        <v>7.5800000000000006E-2</v>
      </c>
      <c r="G44" s="6">
        <v>65.400000000000006</v>
      </c>
      <c r="H44">
        <v>11</v>
      </c>
      <c r="I44">
        <v>201</v>
      </c>
      <c r="J44">
        <v>6</v>
      </c>
      <c r="K44">
        <f>Fato_Producao[[#This Row],[embalagens_danificadas]]+Fato_Producao[[#This Row],[peso_errado]]+Fato_Producao[[#This Row],[impressao]]</f>
        <v>218</v>
      </c>
      <c r="L44" s="1" t="d">
        <v>2023-09-16</v>
      </c>
      <c r="M44">
        <v>43</v>
      </c>
      <c r="N44" s="7">
        <v>7.85</v>
      </c>
      <c r="O44" s="4" t="str">
        <f t="shared" si="0"/>
        <v>outubro</v>
      </c>
      <c r="P44" s="4">
        <f t="shared" si="1"/>
        <v>2023</v>
      </c>
      <c r="Q44" s="4" t="str">
        <f t="shared" si="2"/>
        <v/>
      </c>
      <c r="R44" t="s">
        <v>24</v>
      </c>
    </row>
    <row r="45" spans="1:18" x14ac:dyDescent="0.3">
      <c r="A45" s="1" t="d">
        <v>2023-10-30</v>
      </c>
      <c r="B45">
        <v>45505</v>
      </c>
      <c r="C45" t="str">
        <f>VLOOKUP(Fato_Producao[[#This Row],[referencia]], Dim_Produtos!A:B,2,FALSE)</f>
        <v>camarao</v>
      </c>
      <c r="D45">
        <v>2676</v>
      </c>
      <c r="E45">
        <v>2425</v>
      </c>
      <c r="F45" s="5">
        <v>9.3799999999999994E-2</v>
      </c>
      <c r="G45" s="6">
        <v>75.3</v>
      </c>
      <c r="H45">
        <v>59</v>
      </c>
      <c r="I45">
        <v>184</v>
      </c>
      <c r="J45">
        <v>8</v>
      </c>
      <c r="K45">
        <f>Fato_Producao[[#This Row],[embalagens_danificadas]]+Fato_Producao[[#This Row],[peso_errado]]+Fato_Producao[[#This Row],[impressao]]</f>
        <v>251</v>
      </c>
      <c r="L45" s="1" t="d">
        <v>2023-09-16</v>
      </c>
      <c r="M45">
        <v>44</v>
      </c>
      <c r="N45" s="7">
        <v>11.29</v>
      </c>
      <c r="O45" s="4" t="str">
        <f t="shared" si="0"/>
        <v>outubro</v>
      </c>
      <c r="P45" s="4">
        <f t="shared" si="1"/>
        <v>2023</v>
      </c>
      <c r="Q45" s="4" t="str">
        <f t="shared" si="2"/>
        <v/>
      </c>
      <c r="R45" t="s">
        <v>24</v>
      </c>
    </row>
    <row r="46" spans="1:18" x14ac:dyDescent="0.3">
      <c r="A46" s="1" t="d">
        <v>2023-10-30</v>
      </c>
      <c r="B46">
        <v>45507</v>
      </c>
      <c r="C46" t="str">
        <f>VLOOKUP(Fato_Producao[[#This Row],[referencia]], Dim_Produtos!A:B,2,FALSE)</f>
        <v>salmao posta</v>
      </c>
      <c r="D46">
        <v>2068</v>
      </c>
      <c r="E46">
        <v>1908</v>
      </c>
      <c r="F46" s="5">
        <v>7.7399999999999997E-2</v>
      </c>
      <c r="G46" s="6">
        <v>56</v>
      </c>
      <c r="H46">
        <v>6</v>
      </c>
      <c r="I46">
        <v>152</v>
      </c>
      <c r="J46">
        <v>2</v>
      </c>
      <c r="K46">
        <f>Fato_Producao[[#This Row],[embalagens_danificadas]]+Fato_Producao[[#This Row],[peso_errado]]+Fato_Producao[[#This Row],[impressao]]</f>
        <v>160</v>
      </c>
      <c r="L46" s="1" t="d">
        <v>2023-09-16</v>
      </c>
      <c r="M46">
        <v>44</v>
      </c>
      <c r="N46" s="7">
        <v>8.9600000000000009</v>
      </c>
      <c r="O46" s="4" t="str">
        <f t="shared" si="0"/>
        <v>outubro</v>
      </c>
      <c r="P46" s="4">
        <f t="shared" si="1"/>
        <v>2023</v>
      </c>
      <c r="Q46" s="4" t="str">
        <f t="shared" si="2"/>
        <v/>
      </c>
      <c r="R46" t="s">
        <v>24</v>
      </c>
    </row>
    <row r="47" spans="1:18" x14ac:dyDescent="0.3">
      <c r="A47" s="1" t="d">
        <v>2023-10-31</v>
      </c>
      <c r="B47">
        <v>45513</v>
      </c>
      <c r="C47" t="str">
        <f>VLOOKUP(Fato_Producao[[#This Row],[referencia]], Dim_Produtos!A:B,2,FALSE)</f>
        <v>filete pescada</v>
      </c>
      <c r="D47">
        <v>2950</v>
      </c>
      <c r="E47">
        <v>2730</v>
      </c>
      <c r="F47" s="5">
        <v>7.46E-2</v>
      </c>
      <c r="G47" s="6">
        <v>70.400000000000006</v>
      </c>
      <c r="H47">
        <v>12</v>
      </c>
      <c r="I47">
        <v>205</v>
      </c>
      <c r="J47">
        <v>3</v>
      </c>
      <c r="K47">
        <f>Fato_Producao[[#This Row],[embalagens_danificadas]]+Fato_Producao[[#This Row],[peso_errado]]+Fato_Producao[[#This Row],[impressao]]</f>
        <v>220</v>
      </c>
      <c r="L47" s="1" t="d">
        <v>2023-09-16</v>
      </c>
      <c r="M47">
        <v>45</v>
      </c>
      <c r="N47" s="7">
        <v>9.15</v>
      </c>
      <c r="O47" s="4" t="str">
        <f t="shared" si="0"/>
        <v>outubro</v>
      </c>
      <c r="P47" s="4">
        <f t="shared" si="1"/>
        <v>2023</v>
      </c>
      <c r="Q47" s="4" t="str">
        <f t="shared" si="2"/>
        <v/>
      </c>
      <c r="R47" t="s">
        <v>24</v>
      </c>
    </row>
    <row r="48" spans="1:18" x14ac:dyDescent="0.3">
      <c r="A48" s="1" t="d">
        <v>2023-11-01</v>
      </c>
      <c r="B48">
        <v>45501</v>
      </c>
      <c r="C48" t="str">
        <f>VLOOKUP(Fato_Producao[[#This Row],[referencia]], Dim_Produtos!A:B,2,FALSE)</f>
        <v>pescada posta cozer</v>
      </c>
      <c r="D48">
        <v>2919</v>
      </c>
      <c r="E48">
        <v>2610</v>
      </c>
      <c r="F48" s="5">
        <v>0.10589999999999999</v>
      </c>
      <c r="G48" s="6">
        <v>98.88</v>
      </c>
      <c r="H48">
        <v>14</v>
      </c>
      <c r="I48">
        <v>286</v>
      </c>
      <c r="J48">
        <v>9</v>
      </c>
      <c r="K48">
        <f>Fato_Producao[[#This Row],[embalagens_danificadas]]+Fato_Producao[[#This Row],[peso_errado]]+Fato_Producao[[#This Row],[impressao]]</f>
        <v>309</v>
      </c>
      <c r="L48" s="1" t="d">
        <v>2023-09-16</v>
      </c>
      <c r="M48">
        <v>46</v>
      </c>
      <c r="N48" s="7">
        <v>13.84</v>
      </c>
      <c r="O48" s="4" t="str">
        <f t="shared" si="0"/>
        <v>novembro</v>
      </c>
      <c r="P48" s="4">
        <f t="shared" si="1"/>
        <v>2023</v>
      </c>
      <c r="Q48" s="4" t="str">
        <f t="shared" si="2"/>
        <v/>
      </c>
      <c r="R48" t="s">
        <v>24</v>
      </c>
    </row>
    <row r="49" spans="1:18" x14ac:dyDescent="0.3">
      <c r="A49" s="1" t="d">
        <v>2023-11-02</v>
      </c>
      <c r="B49">
        <v>45514</v>
      </c>
      <c r="C49" t="str">
        <f>VLOOKUP(Fato_Producao[[#This Row],[referencia]], Dim_Produtos!A:B,2,FALSE)</f>
        <v>sardinha pequena</v>
      </c>
      <c r="D49">
        <v>2380</v>
      </c>
      <c r="E49">
        <v>2134</v>
      </c>
      <c r="F49" s="5">
        <v>0.10340000000000001</v>
      </c>
      <c r="G49" s="6">
        <v>73.8</v>
      </c>
      <c r="H49">
        <v>13</v>
      </c>
      <c r="I49">
        <v>229</v>
      </c>
      <c r="J49">
        <v>4</v>
      </c>
      <c r="K49">
        <f>Fato_Producao[[#This Row],[embalagens_danificadas]]+Fato_Producao[[#This Row],[peso_errado]]+Fato_Producao[[#This Row],[impressao]]</f>
        <v>246</v>
      </c>
      <c r="L49" s="1" t="d">
        <v>2023-09-16</v>
      </c>
      <c r="M49">
        <v>47</v>
      </c>
      <c r="N49" s="7">
        <v>8.86</v>
      </c>
      <c r="O49" s="4" t="str">
        <f t="shared" si="0"/>
        <v>novembro</v>
      </c>
      <c r="P49" s="4">
        <f t="shared" si="1"/>
        <v>2023</v>
      </c>
      <c r="Q49" s="4" t="str">
        <f t="shared" si="2"/>
        <v/>
      </c>
      <c r="R49" t="s">
        <v>24</v>
      </c>
    </row>
    <row r="50" spans="1:18" x14ac:dyDescent="0.3">
      <c r="A50" s="1" t="d">
        <v>2023-11-02</v>
      </c>
      <c r="B50">
        <v>45502</v>
      </c>
      <c r="C50" t="str">
        <f>VLOOKUP(Fato_Producao[[#This Row],[referencia]], Dim_Produtos!A:B,2,FALSE)</f>
        <v>carapau pelim</v>
      </c>
      <c r="D50">
        <v>2796</v>
      </c>
      <c r="E50">
        <v>2548</v>
      </c>
      <c r="F50" s="5">
        <v>8.8700000000000001E-2</v>
      </c>
      <c r="G50" s="6">
        <v>74.400000000000006</v>
      </c>
      <c r="H50">
        <v>48</v>
      </c>
      <c r="I50">
        <v>195</v>
      </c>
      <c r="J50">
        <v>5</v>
      </c>
      <c r="K50">
        <f>Fato_Producao[[#This Row],[embalagens_danificadas]]+Fato_Producao[[#This Row],[peso_errado]]+Fato_Producao[[#This Row],[impressao]]</f>
        <v>248</v>
      </c>
      <c r="L50" s="1" t="d">
        <v>2023-09-16</v>
      </c>
      <c r="M50">
        <v>47</v>
      </c>
      <c r="N50" s="7">
        <v>9.67</v>
      </c>
      <c r="O50" s="4" t="str">
        <f t="shared" si="0"/>
        <v>novembro</v>
      </c>
      <c r="P50" s="4">
        <f t="shared" si="1"/>
        <v>2023</v>
      </c>
      <c r="Q50" s="4" t="str">
        <f t="shared" si="2"/>
        <v/>
      </c>
      <c r="R50" t="s">
        <v>24</v>
      </c>
    </row>
    <row r="51" spans="1:18" x14ac:dyDescent="0.3">
      <c r="A51" s="1" t="d">
        <v>2023-11-03</v>
      </c>
      <c r="B51">
        <v>45504</v>
      </c>
      <c r="C51" t="str">
        <f>VLOOKUP(Fato_Producao[[#This Row],[referencia]], Dim_Produtos!A:B,2,FALSE)</f>
        <v>pescada posta fritar</v>
      </c>
      <c r="D51">
        <v>3027</v>
      </c>
      <c r="E51">
        <v>2779</v>
      </c>
      <c r="F51" s="5">
        <v>8.1900000000000001E-2</v>
      </c>
      <c r="G51" s="6">
        <v>79.36</v>
      </c>
      <c r="H51">
        <v>102</v>
      </c>
      <c r="I51">
        <v>12</v>
      </c>
      <c r="J51">
        <v>134</v>
      </c>
      <c r="K51">
        <f>Fato_Producao[[#This Row],[embalagens_danificadas]]+Fato_Producao[[#This Row],[peso_errado]]+Fato_Producao[[#This Row],[impressao]]</f>
        <v>248</v>
      </c>
      <c r="L51" s="1" t="d">
        <v>2023-09-16</v>
      </c>
      <c r="M51">
        <v>48</v>
      </c>
      <c r="N51" s="7">
        <v>11.11</v>
      </c>
      <c r="O51" s="4" t="str">
        <f t="shared" si="0"/>
        <v>novembro</v>
      </c>
      <c r="P51" s="4">
        <f t="shared" si="1"/>
        <v>2023</v>
      </c>
      <c r="Q51" s="4" t="str">
        <f t="shared" si="2"/>
        <v/>
      </c>
      <c r="R51" t="s">
        <v>50</v>
      </c>
    </row>
    <row r="52" spans="1:18" x14ac:dyDescent="0.3">
      <c r="A52" s="1" t="d">
        <v>2023-11-03</v>
      </c>
      <c r="B52">
        <v>45503</v>
      </c>
      <c r="C52" t="str">
        <f>VLOOKUP(Fato_Producao[[#This Row],[referencia]], Dim_Produtos!A:B,2,FALSE)</f>
        <v>sardinha pequena</v>
      </c>
      <c r="D52">
        <v>3112</v>
      </c>
      <c r="E52">
        <v>2757</v>
      </c>
      <c r="F52" s="5">
        <v>0.11409999999999999</v>
      </c>
      <c r="G52" s="6">
        <v>92.3</v>
      </c>
      <c r="H52">
        <v>5</v>
      </c>
      <c r="I52">
        <v>340</v>
      </c>
      <c r="J52">
        <v>10</v>
      </c>
      <c r="K52">
        <f>Fato_Producao[[#This Row],[embalagens_danificadas]]+Fato_Producao[[#This Row],[peso_errado]]+Fato_Producao[[#This Row],[impressao]]</f>
        <v>355</v>
      </c>
      <c r="L52" s="1" t="d">
        <v>2023-09-16</v>
      </c>
      <c r="M52">
        <v>48</v>
      </c>
      <c r="N52" s="7">
        <v>10.15</v>
      </c>
      <c r="O52" s="4" t="str">
        <f t="shared" si="0"/>
        <v>novembro</v>
      </c>
      <c r="P52" s="4">
        <f t="shared" si="1"/>
        <v>2023</v>
      </c>
      <c r="Q52" s="4" t="str">
        <f t="shared" si="2"/>
        <v/>
      </c>
      <c r="R52" t="s">
        <v>24</v>
      </c>
    </row>
    <row r="53" spans="1:18" x14ac:dyDescent="0.3">
      <c r="A53" s="1" t="d">
        <v>2023-11-04</v>
      </c>
      <c r="B53">
        <v>45509</v>
      </c>
      <c r="C53" t="str">
        <f>VLOOKUP(Fato_Producao[[#This Row],[referencia]], Dim_Produtos!A:B,2,FALSE)</f>
        <v>lascas bacalhau</v>
      </c>
      <c r="D53">
        <v>3431</v>
      </c>
      <c r="E53">
        <v>3126</v>
      </c>
      <c r="F53" s="5">
        <v>8.8900000000000007E-2</v>
      </c>
      <c r="G53" s="6">
        <v>85.4</v>
      </c>
      <c r="H53">
        <v>13</v>
      </c>
      <c r="I53">
        <v>288</v>
      </c>
      <c r="J53">
        <v>4</v>
      </c>
      <c r="K53">
        <f>Fato_Producao[[#This Row],[embalagens_danificadas]]+Fato_Producao[[#This Row],[peso_errado]]+Fato_Producao[[#This Row],[impressao]]</f>
        <v>305</v>
      </c>
      <c r="L53" s="1" t="d">
        <v>2023-09-16</v>
      </c>
      <c r="M53">
        <v>49</v>
      </c>
      <c r="N53" s="7">
        <v>11.1</v>
      </c>
      <c r="O53" s="4" t="str">
        <f t="shared" si="0"/>
        <v>novembro</v>
      </c>
      <c r="P53" s="4">
        <f t="shared" si="1"/>
        <v>2023</v>
      </c>
      <c r="Q53" s="4" t="str">
        <f t="shared" si="2"/>
        <v/>
      </c>
      <c r="R53" t="s">
        <v>24</v>
      </c>
    </row>
    <row r="54" spans="1:18" x14ac:dyDescent="0.3">
      <c r="A54" s="1" t="d">
        <v>2023-11-05</v>
      </c>
      <c r="B54">
        <v>45506</v>
      </c>
      <c r="C54" t="str">
        <f>VLOOKUP(Fato_Producao[[#This Row],[referencia]], Dim_Produtos!A:B,2,FALSE)</f>
        <v>perca posta</v>
      </c>
      <c r="D54">
        <v>4105</v>
      </c>
      <c r="E54">
        <v>3759</v>
      </c>
      <c r="F54" s="5">
        <v>8.43E-2</v>
      </c>
      <c r="G54" s="6">
        <v>121.1</v>
      </c>
      <c r="H54">
        <v>15</v>
      </c>
      <c r="I54">
        <v>325</v>
      </c>
      <c r="J54">
        <v>6</v>
      </c>
      <c r="K54">
        <f>Fato_Producao[[#This Row],[embalagens_danificadas]]+Fato_Producao[[#This Row],[peso_errado]]+Fato_Producao[[#This Row],[impressao]]</f>
        <v>346</v>
      </c>
      <c r="L54" s="1" t="d">
        <v>2023-09-16</v>
      </c>
      <c r="M54">
        <v>50</v>
      </c>
      <c r="N54" s="7">
        <v>18.16</v>
      </c>
      <c r="O54" s="4" t="str">
        <f t="shared" si="0"/>
        <v>novembro</v>
      </c>
      <c r="P54" s="4">
        <f t="shared" si="1"/>
        <v>2023</v>
      </c>
      <c r="Q54" s="4">
        <f t="shared" si="2"/>
        <v>50</v>
      </c>
      <c r="R54" t="s">
        <v>24</v>
      </c>
    </row>
    <row r="55" spans="1:18" x14ac:dyDescent="0.3">
      <c r="A55" s="1" t="d">
        <v>2023-11-06</v>
      </c>
      <c r="B55">
        <v>45500</v>
      </c>
      <c r="C55" t="str">
        <f>VLOOKUP(Fato_Producao[[#This Row],[referencia]], Dim_Produtos!A:B,2,FALSE)</f>
        <v>filete pescada</v>
      </c>
      <c r="D55">
        <v>2756</v>
      </c>
      <c r="E55">
        <v>2670</v>
      </c>
      <c r="F55" s="5">
        <v>3.1199999999999999E-2</v>
      </c>
      <c r="G55" s="6">
        <v>24.08</v>
      </c>
      <c r="H55">
        <v>2</v>
      </c>
      <c r="I55">
        <v>82</v>
      </c>
      <c r="J55">
        <v>2</v>
      </c>
      <c r="K55">
        <f>Fato_Producao[[#This Row],[embalagens_danificadas]]+Fato_Producao[[#This Row],[peso_errado]]+Fato_Producao[[#This Row],[impressao]]</f>
        <v>86</v>
      </c>
      <c r="L55" s="1" t="d">
        <v>2023-11-06</v>
      </c>
      <c r="M55">
        <v>0</v>
      </c>
      <c r="N55" s="7">
        <v>2.89</v>
      </c>
      <c r="O55" s="4" t="str">
        <f t="shared" si="0"/>
        <v>novembro</v>
      </c>
      <c r="P55" s="4">
        <f t="shared" si="1"/>
        <v>2023</v>
      </c>
      <c r="Q55" s="4" t="str">
        <f t="shared" si="2"/>
        <v/>
      </c>
      <c r="R55" t="s">
        <v>24</v>
      </c>
    </row>
    <row r="56" spans="1:18" x14ac:dyDescent="0.3">
      <c r="A56" s="1" t="d">
        <v>2023-11-06</v>
      </c>
      <c r="B56">
        <v>45500</v>
      </c>
      <c r="C56" t="str">
        <f>VLOOKUP(Fato_Producao[[#This Row],[referencia]], Dim_Produtos!A:B,2,FALSE)</f>
        <v>filete pescada</v>
      </c>
      <c r="D56">
        <v>2991</v>
      </c>
      <c r="E56">
        <v>2901</v>
      </c>
      <c r="F56" s="5">
        <v>3.0099999999999998E-2</v>
      </c>
      <c r="G56" s="6">
        <v>25.2</v>
      </c>
      <c r="H56">
        <v>3</v>
      </c>
      <c r="I56">
        <v>86</v>
      </c>
      <c r="J56">
        <v>1</v>
      </c>
      <c r="K56">
        <f>Fato_Producao[[#This Row],[embalagens_danificadas]]+Fato_Producao[[#This Row],[peso_errado]]+Fato_Producao[[#This Row],[impressao]]</f>
        <v>90</v>
      </c>
      <c r="L56" s="1" t="d">
        <v>2023-11-06</v>
      </c>
      <c r="M56">
        <v>0</v>
      </c>
      <c r="N56" s="7">
        <v>3.02</v>
      </c>
      <c r="O56" s="4" t="str">
        <f t="shared" si="0"/>
        <v>novembro</v>
      </c>
      <c r="P56" s="4">
        <f t="shared" si="1"/>
        <v>2023</v>
      </c>
      <c r="Q56" s="4" t="str">
        <f t="shared" si="2"/>
        <v/>
      </c>
      <c r="R56" t="s">
        <v>24</v>
      </c>
    </row>
    <row r="57" spans="1:18" x14ac:dyDescent="0.3">
      <c r="A57" s="1" t="d">
        <v>2023-11-07</v>
      </c>
      <c r="B57">
        <v>45508</v>
      </c>
      <c r="C57" t="str">
        <f>VLOOKUP(Fato_Producao[[#This Row],[referencia]], Dim_Produtos!A:B,2,FALSE)</f>
        <v>lula suja</v>
      </c>
      <c r="D57">
        <v>2625</v>
      </c>
      <c r="E57">
        <v>2420</v>
      </c>
      <c r="F57" s="5">
        <v>7.8100000000000003E-2</v>
      </c>
      <c r="G57" s="6">
        <v>65.599999999999994</v>
      </c>
      <c r="H57">
        <v>25</v>
      </c>
      <c r="I57">
        <v>174</v>
      </c>
      <c r="J57">
        <v>6</v>
      </c>
      <c r="K57">
        <f>Fato_Producao[[#This Row],[embalagens_danificadas]]+Fato_Producao[[#This Row],[peso_errado]]+Fato_Producao[[#This Row],[impressao]]</f>
        <v>205</v>
      </c>
      <c r="L57" s="1" t="d">
        <v>2023-11-06</v>
      </c>
      <c r="M57">
        <v>1</v>
      </c>
      <c r="N57" s="7">
        <v>9.18</v>
      </c>
      <c r="O57" s="4" t="str">
        <f t="shared" si="0"/>
        <v>novembro</v>
      </c>
      <c r="P57" s="4">
        <f t="shared" si="1"/>
        <v>2023</v>
      </c>
      <c r="Q57" s="4" t="str">
        <f t="shared" si="2"/>
        <v/>
      </c>
      <c r="R57" t="s">
        <v>24</v>
      </c>
    </row>
    <row r="58" spans="1:18" x14ac:dyDescent="0.3">
      <c r="A58" s="1" t="d">
        <v>2023-11-07</v>
      </c>
      <c r="B58">
        <v>45503</v>
      </c>
      <c r="C58" t="str">
        <f>VLOOKUP(Fato_Producao[[#This Row],[referencia]], Dim_Produtos!A:B,2,FALSE)</f>
        <v>sardinha pequena</v>
      </c>
      <c r="D58">
        <v>2528</v>
      </c>
      <c r="E58">
        <v>2408</v>
      </c>
      <c r="F58" s="5">
        <v>4.7500000000000001E-2</v>
      </c>
      <c r="G58" s="6">
        <v>31.2</v>
      </c>
      <c r="H58">
        <v>3</v>
      </c>
      <c r="I58">
        <v>114</v>
      </c>
      <c r="J58">
        <v>3</v>
      </c>
      <c r="K58">
        <f>Fato_Producao[[#This Row],[embalagens_danificadas]]+Fato_Producao[[#This Row],[peso_errado]]+Fato_Producao[[#This Row],[impressao]]</f>
        <v>120</v>
      </c>
      <c r="L58" s="1" t="d">
        <v>2023-11-06</v>
      </c>
      <c r="M58">
        <v>1</v>
      </c>
      <c r="N58" s="7">
        <v>3.43</v>
      </c>
      <c r="O58" s="4" t="str">
        <f t="shared" si="0"/>
        <v>novembro</v>
      </c>
      <c r="P58" s="4">
        <f t="shared" si="1"/>
        <v>2023</v>
      </c>
      <c r="Q58" s="4" t="str">
        <f t="shared" si="2"/>
        <v/>
      </c>
      <c r="R58" t="s">
        <v>24</v>
      </c>
    </row>
    <row r="59" spans="1:18" x14ac:dyDescent="0.3">
      <c r="A59" s="1" t="d">
        <v>2023-11-08</v>
      </c>
      <c r="B59">
        <v>45503</v>
      </c>
      <c r="C59" t="str">
        <f>VLOOKUP(Fato_Producao[[#This Row],[referencia]], Dim_Produtos!A:B,2,FALSE)</f>
        <v>sardinha pequena</v>
      </c>
      <c r="D59">
        <v>2777</v>
      </c>
      <c r="E59">
        <v>2601</v>
      </c>
      <c r="F59" s="5">
        <v>6.3399999999999998E-2</v>
      </c>
      <c r="G59" s="6">
        <v>45.76</v>
      </c>
      <c r="H59">
        <v>6</v>
      </c>
      <c r="I59">
        <v>165</v>
      </c>
      <c r="J59">
        <v>5</v>
      </c>
      <c r="K59">
        <f>Fato_Producao[[#This Row],[embalagens_danificadas]]+Fato_Producao[[#This Row],[peso_errado]]+Fato_Producao[[#This Row],[impressao]]</f>
        <v>176</v>
      </c>
      <c r="L59" s="1" t="d">
        <v>2023-11-06</v>
      </c>
      <c r="M59">
        <v>2</v>
      </c>
      <c r="N59" s="7">
        <v>5.03</v>
      </c>
      <c r="O59" s="4" t="str">
        <f t="shared" si="0"/>
        <v>novembro</v>
      </c>
      <c r="P59" s="4">
        <f t="shared" si="1"/>
        <v>2023</v>
      </c>
      <c r="Q59" s="4" t="str">
        <f t="shared" si="2"/>
        <v/>
      </c>
      <c r="R59" t="s">
        <v>24</v>
      </c>
    </row>
    <row r="60" spans="1:18" x14ac:dyDescent="0.3">
      <c r="A60" s="1" t="d">
        <v>2023-11-08</v>
      </c>
      <c r="B60">
        <v>45504</v>
      </c>
      <c r="C60" t="str">
        <f>VLOOKUP(Fato_Producao[[#This Row],[referencia]], Dim_Produtos!A:B,2,FALSE)</f>
        <v>pescada posta fritar</v>
      </c>
      <c r="D60">
        <v>3348</v>
      </c>
      <c r="E60">
        <v>3204</v>
      </c>
      <c r="F60" s="5">
        <v>4.2999999999999997E-2</v>
      </c>
      <c r="G60" s="6">
        <v>46.08</v>
      </c>
      <c r="H60">
        <v>6</v>
      </c>
      <c r="I60">
        <v>135</v>
      </c>
      <c r="J60">
        <v>3</v>
      </c>
      <c r="K60">
        <f>Fato_Producao[[#This Row],[embalagens_danificadas]]+Fato_Producao[[#This Row],[peso_errado]]+Fato_Producao[[#This Row],[impressao]]</f>
        <v>144</v>
      </c>
      <c r="L60" s="1" t="d">
        <v>2023-11-06</v>
      </c>
      <c r="M60">
        <v>2</v>
      </c>
      <c r="N60" s="7">
        <v>6.45</v>
      </c>
      <c r="O60" s="4" t="str">
        <f t="shared" si="0"/>
        <v>novembro</v>
      </c>
      <c r="P60" s="4">
        <f t="shared" si="1"/>
        <v>2023</v>
      </c>
      <c r="Q60" s="4" t="str">
        <f t="shared" si="2"/>
        <v/>
      </c>
      <c r="R60" t="s">
        <v>24</v>
      </c>
    </row>
    <row r="61" spans="1:18" x14ac:dyDescent="0.3">
      <c r="A61" s="1" t="d">
        <v>2023-11-09</v>
      </c>
      <c r="B61">
        <v>45512</v>
      </c>
      <c r="C61" t="str">
        <f>VLOOKUP(Fato_Producao[[#This Row],[referencia]], Dim_Produtos!A:B,2,FALSE)</f>
        <v>red-fish posta</v>
      </c>
      <c r="D61">
        <v>2498</v>
      </c>
      <c r="E61">
        <v>2367</v>
      </c>
      <c r="F61" s="5">
        <v>5.2400000000000002E-2</v>
      </c>
      <c r="G61" s="6">
        <v>44.54</v>
      </c>
      <c r="H61">
        <v>7</v>
      </c>
      <c r="I61">
        <v>120</v>
      </c>
      <c r="J61">
        <v>4</v>
      </c>
      <c r="K61">
        <f>Fato_Producao[[#This Row],[embalagens_danificadas]]+Fato_Producao[[#This Row],[peso_errado]]+Fato_Producao[[#This Row],[impressao]]</f>
        <v>131</v>
      </c>
      <c r="L61" s="1" t="d">
        <v>2023-11-06</v>
      </c>
      <c r="M61">
        <v>3</v>
      </c>
      <c r="N61" s="7">
        <v>6.24</v>
      </c>
      <c r="O61" s="4" t="str">
        <f t="shared" si="0"/>
        <v>novembro</v>
      </c>
      <c r="P61" s="4">
        <f t="shared" si="1"/>
        <v>2023</v>
      </c>
      <c r="Q61" s="4" t="str">
        <f t="shared" si="2"/>
        <v/>
      </c>
      <c r="R61" t="s">
        <v>24</v>
      </c>
    </row>
    <row r="62" spans="1:18" x14ac:dyDescent="0.3">
      <c r="A62" s="1" t="d">
        <v>2023-11-10</v>
      </c>
      <c r="B62">
        <v>45508</v>
      </c>
      <c r="C62" t="str">
        <f>VLOOKUP(Fato_Producao[[#This Row],[referencia]], Dim_Produtos!A:B,2,FALSE)</f>
        <v>lula suja</v>
      </c>
      <c r="D62">
        <v>3619</v>
      </c>
      <c r="E62">
        <v>3266</v>
      </c>
      <c r="F62" s="5">
        <v>9.7500000000000003E-2</v>
      </c>
      <c r="G62" s="6">
        <v>112.96</v>
      </c>
      <c r="H62">
        <v>35</v>
      </c>
      <c r="I62">
        <v>312</v>
      </c>
      <c r="J62">
        <v>6</v>
      </c>
      <c r="K62">
        <f>Fato_Producao[[#This Row],[embalagens_danificadas]]+Fato_Producao[[#This Row],[peso_errado]]+Fato_Producao[[#This Row],[impressao]]</f>
        <v>353</v>
      </c>
      <c r="L62" s="1" t="d">
        <v>2023-11-06</v>
      </c>
      <c r="M62">
        <v>4</v>
      </c>
      <c r="N62" s="7">
        <v>15.81</v>
      </c>
      <c r="O62" s="4" t="str">
        <f t="shared" si="0"/>
        <v>novembro</v>
      </c>
      <c r="P62" s="4">
        <f t="shared" si="1"/>
        <v>2023</v>
      </c>
      <c r="Q62" s="4" t="str">
        <f t="shared" si="2"/>
        <v/>
      </c>
      <c r="R62" t="s">
        <v>24</v>
      </c>
    </row>
    <row r="63" spans="1:18" x14ac:dyDescent="0.3">
      <c r="A63" s="1" t="d">
        <v>2023-11-10</v>
      </c>
      <c r="B63">
        <v>45510</v>
      </c>
      <c r="C63" t="str">
        <f>VLOOKUP(Fato_Producao[[#This Row],[referencia]], Dim_Produtos!A:B,2,FALSE)</f>
        <v>tiras pota</v>
      </c>
      <c r="D63">
        <v>3292</v>
      </c>
      <c r="E63">
        <v>3032</v>
      </c>
      <c r="F63" s="5">
        <v>7.9000000000000001E-2</v>
      </c>
      <c r="G63" s="6">
        <v>83.2</v>
      </c>
      <c r="H63">
        <v>35</v>
      </c>
      <c r="I63">
        <v>218</v>
      </c>
      <c r="J63">
        <v>7</v>
      </c>
      <c r="K63">
        <f>Fato_Producao[[#This Row],[embalagens_danificadas]]+Fato_Producao[[#This Row],[peso_errado]]+Fato_Producao[[#This Row],[impressao]]</f>
        <v>260</v>
      </c>
      <c r="L63" s="1" t="d">
        <v>2023-11-06</v>
      </c>
      <c r="M63">
        <v>4</v>
      </c>
      <c r="N63" s="7">
        <v>11.65</v>
      </c>
      <c r="O63" s="4" t="str">
        <f t="shared" si="0"/>
        <v>novembro</v>
      </c>
      <c r="P63" s="4">
        <f t="shared" si="1"/>
        <v>2023</v>
      </c>
      <c r="Q63" s="4" t="str">
        <f t="shared" si="2"/>
        <v/>
      </c>
      <c r="R63" t="s">
        <v>24</v>
      </c>
    </row>
    <row r="64" spans="1:18" x14ac:dyDescent="0.3">
      <c r="A64" s="1" t="d">
        <v>2023-11-11</v>
      </c>
      <c r="B64">
        <v>45509</v>
      </c>
      <c r="C64" t="str">
        <f>VLOOKUP(Fato_Producao[[#This Row],[referencia]], Dim_Produtos!A:B,2,FALSE)</f>
        <v>lascas bacalhau</v>
      </c>
      <c r="D64">
        <v>3009</v>
      </c>
      <c r="E64">
        <v>2835</v>
      </c>
      <c r="F64" s="5">
        <v>5.7799999999999997E-2</v>
      </c>
      <c r="G64" s="6">
        <v>48.72</v>
      </c>
      <c r="H64">
        <v>5</v>
      </c>
      <c r="I64">
        <v>166</v>
      </c>
      <c r="J64">
        <v>3</v>
      </c>
      <c r="K64">
        <f>Fato_Producao[[#This Row],[embalagens_danificadas]]+Fato_Producao[[#This Row],[peso_errado]]+Fato_Producao[[#This Row],[impressao]]</f>
        <v>174</v>
      </c>
      <c r="L64" s="1" t="d">
        <v>2023-11-06</v>
      </c>
      <c r="M64">
        <v>5</v>
      </c>
      <c r="N64" s="7">
        <v>6.33</v>
      </c>
      <c r="O64" s="4" t="str">
        <f t="shared" si="0"/>
        <v>novembro</v>
      </c>
      <c r="P64" s="4">
        <f t="shared" si="1"/>
        <v>2023</v>
      </c>
      <c r="Q64" s="4" t="str">
        <f t="shared" si="2"/>
        <v/>
      </c>
      <c r="R64" t="s">
        <v>24</v>
      </c>
    </row>
    <row r="65" spans="1:18" x14ac:dyDescent="0.3">
      <c r="A65" s="1" t="d">
        <v>2023-11-12</v>
      </c>
      <c r="B65">
        <v>45511</v>
      </c>
      <c r="C65" t="str">
        <f>VLOOKUP(Fato_Producao[[#This Row],[referencia]], Dim_Produtos!A:B,2,FALSE)</f>
        <v>lula limpa</v>
      </c>
      <c r="D65">
        <v>2753</v>
      </c>
      <c r="E65">
        <v>2579</v>
      </c>
      <c r="F65" s="5">
        <v>6.3200000000000006E-2</v>
      </c>
      <c r="G65" s="6">
        <v>55.68</v>
      </c>
      <c r="H65">
        <v>15</v>
      </c>
      <c r="I65">
        <v>157</v>
      </c>
      <c r="J65">
        <v>2</v>
      </c>
      <c r="K65">
        <f>Fato_Producao[[#This Row],[embalagens_danificadas]]+Fato_Producao[[#This Row],[peso_errado]]+Fato_Producao[[#This Row],[impressao]]</f>
        <v>174</v>
      </c>
      <c r="L65" s="1" t="d">
        <v>2023-11-06</v>
      </c>
      <c r="M65">
        <v>6</v>
      </c>
      <c r="N65" s="7">
        <v>7.8</v>
      </c>
      <c r="O65" s="4" t="str">
        <f t="shared" si="0"/>
        <v>novembro</v>
      </c>
      <c r="P65" s="4">
        <f t="shared" si="1"/>
        <v>2023</v>
      </c>
      <c r="Q65" s="4" t="str">
        <f t="shared" si="2"/>
        <v/>
      </c>
      <c r="R65" t="s">
        <v>24</v>
      </c>
    </row>
    <row r="66" spans="1:18" x14ac:dyDescent="0.3">
      <c r="A66" s="1" t="d">
        <v>2023-11-13</v>
      </c>
      <c r="B66">
        <v>45509</v>
      </c>
      <c r="C66" t="str">
        <f>VLOOKUP(Fato_Producao[[#This Row],[referencia]], Dim_Produtos!A:B,2,FALSE)</f>
        <v>lascas bacalhau</v>
      </c>
      <c r="D66">
        <v>3216</v>
      </c>
      <c r="E66">
        <v>3009</v>
      </c>
      <c r="F66" s="5">
        <v>6.4399999999999999E-2</v>
      </c>
      <c r="G66" s="6">
        <v>57.96</v>
      </c>
      <c r="H66">
        <v>12</v>
      </c>
      <c r="I66">
        <v>189</v>
      </c>
      <c r="J66">
        <v>6</v>
      </c>
      <c r="K66">
        <f>Fato_Producao[[#This Row],[embalagens_danificadas]]+Fato_Producao[[#This Row],[peso_errado]]+Fato_Producao[[#This Row],[impressao]]</f>
        <v>207</v>
      </c>
      <c r="L66" s="1" t="d">
        <v>2023-11-06</v>
      </c>
      <c r="M66">
        <v>7</v>
      </c>
      <c r="N66" s="7">
        <v>7.53</v>
      </c>
      <c r="O66" s="4" t="str">
        <f t="shared" ref="O66:O129" si="3">TEXT(A66, "mmmm")</f>
        <v>novembro</v>
      </c>
      <c r="P66" s="4">
        <f t="shared" ref="P66:P129" si="4">YEAR(A66)</f>
        <v>2023</v>
      </c>
      <c r="Q66" s="4" t="str">
        <f t="shared" ref="Q66:Q129" si="5">IF(M67 &gt;= M66, "", M66)</f>
        <v/>
      </c>
      <c r="R66" t="s">
        <v>24</v>
      </c>
    </row>
    <row r="67" spans="1:18" x14ac:dyDescent="0.3">
      <c r="A67" s="1" t="d">
        <v>2023-11-13</v>
      </c>
      <c r="B67">
        <v>45512</v>
      </c>
      <c r="C67" t="str">
        <f>VLOOKUP(Fato_Producao[[#This Row],[referencia]], Dim_Produtos!A:B,2,FALSE)</f>
        <v>red-fish posta</v>
      </c>
      <c r="D67">
        <v>3656</v>
      </c>
      <c r="E67">
        <v>3449</v>
      </c>
      <c r="F67" s="5">
        <v>5.6599999999999998E-2</v>
      </c>
      <c r="G67" s="6">
        <v>70.38</v>
      </c>
      <c r="H67">
        <v>10</v>
      </c>
      <c r="I67">
        <v>191</v>
      </c>
      <c r="J67">
        <v>6</v>
      </c>
      <c r="K67">
        <f>Fato_Producao[[#This Row],[embalagens_danificadas]]+Fato_Producao[[#This Row],[peso_errado]]+Fato_Producao[[#This Row],[impressao]]</f>
        <v>207</v>
      </c>
      <c r="L67" s="1" t="d">
        <v>2023-11-06</v>
      </c>
      <c r="M67">
        <v>7</v>
      </c>
      <c r="N67" s="7">
        <v>9.85</v>
      </c>
      <c r="O67" s="4" t="str">
        <f t="shared" si="3"/>
        <v>novembro</v>
      </c>
      <c r="P67" s="4">
        <f t="shared" si="4"/>
        <v>2023</v>
      </c>
      <c r="Q67" s="4" t="str">
        <f t="shared" si="5"/>
        <v/>
      </c>
      <c r="R67" t="s">
        <v>24</v>
      </c>
    </row>
    <row r="68" spans="1:18" x14ac:dyDescent="0.3">
      <c r="A68" s="1" t="d">
        <v>2023-11-14</v>
      </c>
      <c r="B68">
        <v>45503</v>
      </c>
      <c r="C68" t="str">
        <f>VLOOKUP(Fato_Producao[[#This Row],[referencia]], Dim_Produtos!A:B,2,FALSE)</f>
        <v>sardinha pequena</v>
      </c>
      <c r="D68">
        <v>3610</v>
      </c>
      <c r="E68">
        <v>3383</v>
      </c>
      <c r="F68" s="5">
        <v>6.2899999999999998E-2</v>
      </c>
      <c r="G68" s="6">
        <v>59.02</v>
      </c>
      <c r="H68">
        <v>7</v>
      </c>
      <c r="I68">
        <v>217</v>
      </c>
      <c r="J68">
        <v>3</v>
      </c>
      <c r="K68">
        <f>Fato_Producao[[#This Row],[embalagens_danificadas]]+Fato_Producao[[#This Row],[peso_errado]]+Fato_Producao[[#This Row],[impressao]]</f>
        <v>227</v>
      </c>
      <c r="L68" s="1" t="d">
        <v>2023-11-06</v>
      </c>
      <c r="M68">
        <v>8</v>
      </c>
      <c r="N68" s="7">
        <v>6.49</v>
      </c>
      <c r="O68" s="4" t="str">
        <f t="shared" si="3"/>
        <v>novembro</v>
      </c>
      <c r="P68" s="4">
        <f t="shared" si="4"/>
        <v>2023</v>
      </c>
      <c r="Q68" s="4" t="str">
        <f t="shared" si="5"/>
        <v/>
      </c>
      <c r="R68" t="s">
        <v>24</v>
      </c>
    </row>
    <row r="69" spans="1:18" x14ac:dyDescent="0.3">
      <c r="A69" s="1" t="d">
        <v>2023-11-14</v>
      </c>
      <c r="B69">
        <v>45502</v>
      </c>
      <c r="C69" t="str">
        <f>VLOOKUP(Fato_Producao[[#This Row],[referencia]], Dim_Produtos!A:B,2,FALSE)</f>
        <v>carapau pelim</v>
      </c>
      <c r="D69">
        <v>1972</v>
      </c>
      <c r="E69">
        <v>1825</v>
      </c>
      <c r="F69" s="5">
        <v>7.4499999999999997E-2</v>
      </c>
      <c r="G69" s="6">
        <v>44.1</v>
      </c>
      <c r="H69">
        <v>38</v>
      </c>
      <c r="I69">
        <v>40</v>
      </c>
      <c r="J69">
        <v>69</v>
      </c>
      <c r="K69">
        <f>Fato_Producao[[#This Row],[embalagens_danificadas]]+Fato_Producao[[#This Row],[peso_errado]]+Fato_Producao[[#This Row],[impressao]]</f>
        <v>147</v>
      </c>
      <c r="L69" s="1" t="d">
        <v>2023-11-06</v>
      </c>
      <c r="M69">
        <v>8</v>
      </c>
      <c r="N69" s="7">
        <v>5.73</v>
      </c>
      <c r="O69" s="4" t="str">
        <f t="shared" si="3"/>
        <v>novembro</v>
      </c>
      <c r="P69" s="4">
        <f t="shared" si="4"/>
        <v>2023</v>
      </c>
      <c r="Q69" s="4" t="str">
        <f t="shared" si="5"/>
        <v/>
      </c>
      <c r="R69" t="s">
        <v>50</v>
      </c>
    </row>
    <row r="70" spans="1:18" x14ac:dyDescent="0.3">
      <c r="A70" s="1" t="d">
        <v>2023-11-15</v>
      </c>
      <c r="B70">
        <v>45512</v>
      </c>
      <c r="C70" t="str">
        <f>VLOOKUP(Fato_Producao[[#This Row],[referencia]], Dim_Produtos!A:B,2,FALSE)</f>
        <v>red-fish posta</v>
      </c>
      <c r="D70">
        <v>2694</v>
      </c>
      <c r="E70">
        <v>2526</v>
      </c>
      <c r="F70" s="5">
        <v>6.2399999999999997E-2</v>
      </c>
      <c r="G70" s="6">
        <v>57.12</v>
      </c>
      <c r="H70">
        <v>4</v>
      </c>
      <c r="I70">
        <v>161</v>
      </c>
      <c r="J70">
        <v>3</v>
      </c>
      <c r="K70">
        <f>Fato_Producao[[#This Row],[embalagens_danificadas]]+Fato_Producao[[#This Row],[peso_errado]]+Fato_Producao[[#This Row],[impressao]]</f>
        <v>168</v>
      </c>
      <c r="L70" s="1" t="d">
        <v>2023-11-06</v>
      </c>
      <c r="M70">
        <v>9</v>
      </c>
      <c r="N70" s="7">
        <v>8</v>
      </c>
      <c r="O70" s="4" t="str">
        <f t="shared" si="3"/>
        <v>novembro</v>
      </c>
      <c r="P70" s="4">
        <f t="shared" si="4"/>
        <v>2023</v>
      </c>
      <c r="Q70" s="4" t="str">
        <f t="shared" si="5"/>
        <v/>
      </c>
      <c r="R70" t="s">
        <v>24</v>
      </c>
    </row>
    <row r="71" spans="1:18" x14ac:dyDescent="0.3">
      <c r="A71" s="1" t="d">
        <v>2023-11-16</v>
      </c>
      <c r="B71">
        <v>45507</v>
      </c>
      <c r="C71" t="str">
        <f>VLOOKUP(Fato_Producao[[#This Row],[referencia]], Dim_Produtos!A:B,2,FALSE)</f>
        <v>salmao posta</v>
      </c>
      <c r="D71">
        <v>2728</v>
      </c>
      <c r="E71">
        <v>2570</v>
      </c>
      <c r="F71" s="5">
        <v>5.79E-2</v>
      </c>
      <c r="G71" s="6">
        <v>55.3</v>
      </c>
      <c r="H71">
        <v>5</v>
      </c>
      <c r="I71">
        <v>151</v>
      </c>
      <c r="J71">
        <v>2</v>
      </c>
      <c r="K71">
        <f>Fato_Producao[[#This Row],[embalagens_danificadas]]+Fato_Producao[[#This Row],[peso_errado]]+Fato_Producao[[#This Row],[impressao]]</f>
        <v>158</v>
      </c>
      <c r="L71" s="1" t="d">
        <v>2023-11-06</v>
      </c>
      <c r="M71">
        <v>10</v>
      </c>
      <c r="N71" s="7">
        <v>8.85</v>
      </c>
      <c r="O71" s="4" t="str">
        <f t="shared" si="3"/>
        <v>novembro</v>
      </c>
      <c r="P71" s="4">
        <f t="shared" si="4"/>
        <v>2023</v>
      </c>
      <c r="Q71" s="4" t="str">
        <f t="shared" si="5"/>
        <v/>
      </c>
      <c r="R71" t="s">
        <v>24</v>
      </c>
    </row>
    <row r="72" spans="1:18" x14ac:dyDescent="0.3">
      <c r="A72" s="1" t="d">
        <v>2023-11-17</v>
      </c>
      <c r="B72">
        <v>45512</v>
      </c>
      <c r="C72" t="str">
        <f>VLOOKUP(Fato_Producao[[#This Row],[referencia]], Dim_Produtos!A:B,2,FALSE)</f>
        <v>red-fish posta</v>
      </c>
      <c r="D72">
        <v>2614</v>
      </c>
      <c r="E72">
        <v>2478</v>
      </c>
      <c r="F72" s="5">
        <v>5.1999999999999998E-2</v>
      </c>
      <c r="G72" s="6">
        <v>46.24</v>
      </c>
      <c r="H72">
        <v>9</v>
      </c>
      <c r="I72">
        <v>124</v>
      </c>
      <c r="J72">
        <v>3</v>
      </c>
      <c r="K72">
        <f>Fato_Producao[[#This Row],[embalagens_danificadas]]+Fato_Producao[[#This Row],[peso_errado]]+Fato_Producao[[#This Row],[impressao]]</f>
        <v>136</v>
      </c>
      <c r="L72" s="1" t="d">
        <v>2023-11-06</v>
      </c>
      <c r="M72">
        <v>11</v>
      </c>
      <c r="N72" s="7">
        <v>6.47</v>
      </c>
      <c r="O72" s="4" t="str">
        <f t="shared" si="3"/>
        <v>novembro</v>
      </c>
      <c r="P72" s="4">
        <f t="shared" si="4"/>
        <v>2023</v>
      </c>
      <c r="Q72" s="4" t="str">
        <f t="shared" si="5"/>
        <v/>
      </c>
      <c r="R72" t="s">
        <v>24</v>
      </c>
    </row>
    <row r="73" spans="1:18" x14ac:dyDescent="0.3">
      <c r="A73" s="1" t="d">
        <v>2023-11-17</v>
      </c>
      <c r="B73">
        <v>45503</v>
      </c>
      <c r="C73" t="str">
        <f>VLOOKUP(Fato_Producao[[#This Row],[referencia]], Dim_Produtos!A:B,2,FALSE)</f>
        <v>sardinha pequena</v>
      </c>
      <c r="D73">
        <v>3894</v>
      </c>
      <c r="E73">
        <v>3614</v>
      </c>
      <c r="F73" s="5">
        <v>7.1900000000000006E-2</v>
      </c>
      <c r="G73" s="6">
        <v>72.8</v>
      </c>
      <c r="H73">
        <v>10</v>
      </c>
      <c r="I73">
        <v>265</v>
      </c>
      <c r="J73">
        <v>5</v>
      </c>
      <c r="K73">
        <f>Fato_Producao[[#This Row],[embalagens_danificadas]]+Fato_Producao[[#This Row],[peso_errado]]+Fato_Producao[[#This Row],[impressao]]</f>
        <v>280</v>
      </c>
      <c r="L73" s="1" t="d">
        <v>2023-11-06</v>
      </c>
      <c r="M73">
        <v>11</v>
      </c>
      <c r="N73" s="7">
        <v>8.01</v>
      </c>
      <c r="O73" s="4" t="str">
        <f t="shared" si="3"/>
        <v>novembro</v>
      </c>
      <c r="P73" s="4">
        <f t="shared" si="4"/>
        <v>2023</v>
      </c>
      <c r="Q73" s="4" t="str">
        <f t="shared" si="5"/>
        <v/>
      </c>
      <c r="R73" t="s">
        <v>24</v>
      </c>
    </row>
    <row r="74" spans="1:18" x14ac:dyDescent="0.3">
      <c r="A74" s="1" t="d">
        <v>2023-11-18</v>
      </c>
      <c r="B74">
        <v>45505</v>
      </c>
      <c r="C74" t="str">
        <f>VLOOKUP(Fato_Producao[[#This Row],[referencia]], Dim_Produtos!A:B,2,FALSE)</f>
        <v>camarao</v>
      </c>
      <c r="D74">
        <v>2270</v>
      </c>
      <c r="E74">
        <v>2077</v>
      </c>
      <c r="F74" s="5">
        <v>8.5000000000000006E-2</v>
      </c>
      <c r="G74" s="6">
        <v>57.9</v>
      </c>
      <c r="H74">
        <v>39</v>
      </c>
      <c r="I74">
        <v>149</v>
      </c>
      <c r="J74">
        <v>5</v>
      </c>
      <c r="K74">
        <f>Fato_Producao[[#This Row],[embalagens_danificadas]]+Fato_Producao[[#This Row],[peso_errado]]+Fato_Producao[[#This Row],[impressao]]</f>
        <v>193</v>
      </c>
      <c r="L74" s="1" t="d">
        <v>2023-11-06</v>
      </c>
      <c r="M74">
        <v>12</v>
      </c>
      <c r="N74" s="7">
        <v>8.68</v>
      </c>
      <c r="O74" s="4" t="str">
        <f t="shared" si="3"/>
        <v>novembro</v>
      </c>
      <c r="P74" s="4">
        <f t="shared" si="4"/>
        <v>2023</v>
      </c>
      <c r="Q74" s="4" t="str">
        <f t="shared" si="5"/>
        <v/>
      </c>
      <c r="R74" t="s">
        <v>24</v>
      </c>
    </row>
    <row r="75" spans="1:18" x14ac:dyDescent="0.3">
      <c r="A75" s="1" t="d">
        <v>2023-11-18</v>
      </c>
      <c r="B75">
        <v>45509</v>
      </c>
      <c r="C75" t="str">
        <f>VLOOKUP(Fato_Producao[[#This Row],[referencia]], Dim_Produtos!A:B,2,FALSE)</f>
        <v>lascas bacalhau</v>
      </c>
      <c r="D75">
        <v>2339</v>
      </c>
      <c r="E75">
        <v>2211</v>
      </c>
      <c r="F75" s="5">
        <v>5.4699999999999999E-2</v>
      </c>
      <c r="G75" s="6">
        <v>35.840000000000003</v>
      </c>
      <c r="H75">
        <v>1</v>
      </c>
      <c r="I75">
        <v>123</v>
      </c>
      <c r="J75">
        <v>4</v>
      </c>
      <c r="K75">
        <f>Fato_Producao[[#This Row],[embalagens_danificadas]]+Fato_Producao[[#This Row],[peso_errado]]+Fato_Producao[[#This Row],[impressao]]</f>
        <v>128</v>
      </c>
      <c r="L75" s="1" t="d">
        <v>2023-11-06</v>
      </c>
      <c r="M75">
        <v>12</v>
      </c>
      <c r="N75" s="7">
        <v>4.66</v>
      </c>
      <c r="O75" s="4" t="str">
        <f t="shared" si="3"/>
        <v>novembro</v>
      </c>
      <c r="P75" s="4">
        <f t="shared" si="4"/>
        <v>2023</v>
      </c>
      <c r="Q75" s="4" t="str">
        <f t="shared" si="5"/>
        <v/>
      </c>
      <c r="R75" t="s">
        <v>24</v>
      </c>
    </row>
    <row r="76" spans="1:18" x14ac:dyDescent="0.3">
      <c r="A76" s="1" t="d">
        <v>2023-11-19</v>
      </c>
      <c r="B76">
        <v>45500</v>
      </c>
      <c r="C76" t="str">
        <f>VLOOKUP(Fato_Producao[[#This Row],[referencia]], Dim_Produtos!A:B,2,FALSE)</f>
        <v>filete pescada</v>
      </c>
      <c r="D76">
        <v>3024</v>
      </c>
      <c r="E76">
        <v>2857</v>
      </c>
      <c r="F76" s="5">
        <v>5.5199999999999999E-2</v>
      </c>
      <c r="G76" s="6">
        <v>46.76</v>
      </c>
      <c r="H76">
        <v>9</v>
      </c>
      <c r="I76">
        <v>153</v>
      </c>
      <c r="J76">
        <v>5</v>
      </c>
      <c r="K76">
        <f>Fato_Producao[[#This Row],[embalagens_danificadas]]+Fato_Producao[[#This Row],[peso_errado]]+Fato_Producao[[#This Row],[impressao]]</f>
        <v>167</v>
      </c>
      <c r="L76" s="1" t="d">
        <v>2023-11-06</v>
      </c>
      <c r="M76">
        <v>13</v>
      </c>
      <c r="N76" s="7">
        <v>5.61</v>
      </c>
      <c r="O76" s="4" t="str">
        <f t="shared" si="3"/>
        <v>novembro</v>
      </c>
      <c r="P76" s="4">
        <f t="shared" si="4"/>
        <v>2023</v>
      </c>
      <c r="Q76" s="4" t="str">
        <f t="shared" si="5"/>
        <v/>
      </c>
      <c r="R76" t="s">
        <v>24</v>
      </c>
    </row>
    <row r="77" spans="1:18" x14ac:dyDescent="0.3">
      <c r="A77" s="1" t="d">
        <v>2023-11-19</v>
      </c>
      <c r="B77">
        <v>45512</v>
      </c>
      <c r="C77" t="str">
        <f>VLOOKUP(Fato_Producao[[#This Row],[referencia]], Dim_Produtos!A:B,2,FALSE)</f>
        <v>red-fish posta</v>
      </c>
      <c r="D77">
        <v>2189</v>
      </c>
      <c r="E77">
        <v>2086</v>
      </c>
      <c r="F77" s="5">
        <v>4.7100000000000003E-2</v>
      </c>
      <c r="G77" s="6">
        <v>35.020000000000003</v>
      </c>
      <c r="H77">
        <v>4</v>
      </c>
      <c r="I77">
        <v>97</v>
      </c>
      <c r="J77">
        <v>2</v>
      </c>
      <c r="K77">
        <f>Fato_Producao[[#This Row],[embalagens_danificadas]]+Fato_Producao[[#This Row],[peso_errado]]+Fato_Producao[[#This Row],[impressao]]</f>
        <v>103</v>
      </c>
      <c r="L77" s="1" t="d">
        <v>2023-11-06</v>
      </c>
      <c r="M77">
        <v>13</v>
      </c>
      <c r="N77" s="7">
        <v>4.9000000000000004</v>
      </c>
      <c r="O77" s="4" t="str">
        <f t="shared" si="3"/>
        <v>novembro</v>
      </c>
      <c r="P77" s="4">
        <f t="shared" si="4"/>
        <v>2023</v>
      </c>
      <c r="Q77" s="4" t="str">
        <f t="shared" si="5"/>
        <v/>
      </c>
      <c r="R77" t="s">
        <v>24</v>
      </c>
    </row>
    <row r="78" spans="1:18" x14ac:dyDescent="0.3">
      <c r="A78" s="1" t="d">
        <v>2023-11-20</v>
      </c>
      <c r="B78">
        <v>45507</v>
      </c>
      <c r="C78" t="str">
        <f>VLOOKUP(Fato_Producao[[#This Row],[referencia]], Dim_Produtos!A:B,2,FALSE)</f>
        <v>salmao posta</v>
      </c>
      <c r="D78">
        <v>2597</v>
      </c>
      <c r="E78">
        <v>2460</v>
      </c>
      <c r="F78" s="5">
        <v>5.28E-2</v>
      </c>
      <c r="G78" s="6">
        <v>47.95</v>
      </c>
      <c r="H78">
        <v>4</v>
      </c>
      <c r="I78">
        <v>131</v>
      </c>
      <c r="J78">
        <v>2</v>
      </c>
      <c r="K78">
        <f>Fato_Producao[[#This Row],[embalagens_danificadas]]+Fato_Producao[[#This Row],[peso_errado]]+Fato_Producao[[#This Row],[impressao]]</f>
        <v>137</v>
      </c>
      <c r="L78" s="1" t="d">
        <v>2023-11-06</v>
      </c>
      <c r="M78">
        <v>14</v>
      </c>
      <c r="N78" s="7">
        <v>7.67</v>
      </c>
      <c r="O78" s="4" t="str">
        <f t="shared" si="3"/>
        <v>novembro</v>
      </c>
      <c r="P78" s="4">
        <f t="shared" si="4"/>
        <v>2023</v>
      </c>
      <c r="Q78" s="4" t="str">
        <f t="shared" si="5"/>
        <v/>
      </c>
      <c r="R78" t="s">
        <v>24</v>
      </c>
    </row>
    <row r="79" spans="1:18" x14ac:dyDescent="0.3">
      <c r="A79" s="1" t="d">
        <v>2023-11-20</v>
      </c>
      <c r="B79">
        <v>45504</v>
      </c>
      <c r="C79" t="str">
        <f>VLOOKUP(Fato_Producao[[#This Row],[referencia]], Dim_Produtos!A:B,2,FALSE)</f>
        <v>pescada posta fritar</v>
      </c>
      <c r="D79">
        <v>1862</v>
      </c>
      <c r="E79">
        <v>1752</v>
      </c>
      <c r="F79" s="5">
        <v>5.91E-2</v>
      </c>
      <c r="G79" s="6">
        <v>35.200000000000003</v>
      </c>
      <c r="H79">
        <v>3</v>
      </c>
      <c r="I79">
        <v>105</v>
      </c>
      <c r="J79">
        <v>2</v>
      </c>
      <c r="K79">
        <f>Fato_Producao[[#This Row],[embalagens_danificadas]]+Fato_Producao[[#This Row],[peso_errado]]+Fato_Producao[[#This Row],[impressao]]</f>
        <v>110</v>
      </c>
      <c r="L79" s="1" t="d">
        <v>2023-11-06</v>
      </c>
      <c r="M79">
        <v>14</v>
      </c>
      <c r="N79" s="7">
        <v>4.93</v>
      </c>
      <c r="O79" s="4" t="str">
        <f t="shared" si="3"/>
        <v>novembro</v>
      </c>
      <c r="P79" s="4">
        <f t="shared" si="4"/>
        <v>2023</v>
      </c>
      <c r="Q79" s="4" t="str">
        <f t="shared" si="5"/>
        <v/>
      </c>
      <c r="R79" t="s">
        <v>24</v>
      </c>
    </row>
    <row r="80" spans="1:18" x14ac:dyDescent="0.3">
      <c r="A80" s="1" t="d">
        <v>2023-11-21</v>
      </c>
      <c r="B80">
        <v>45508</v>
      </c>
      <c r="C80" t="str">
        <f>VLOOKUP(Fato_Producao[[#This Row],[referencia]], Dim_Produtos!A:B,2,FALSE)</f>
        <v>lula suja</v>
      </c>
      <c r="D80">
        <v>2310</v>
      </c>
      <c r="E80">
        <v>2110</v>
      </c>
      <c r="F80" s="5">
        <v>8.6599999999999996E-2</v>
      </c>
      <c r="G80" s="6">
        <v>64</v>
      </c>
      <c r="H80">
        <v>27</v>
      </c>
      <c r="I80">
        <v>167</v>
      </c>
      <c r="J80">
        <v>6</v>
      </c>
      <c r="K80">
        <f>Fato_Producao[[#This Row],[embalagens_danificadas]]+Fato_Producao[[#This Row],[peso_errado]]+Fato_Producao[[#This Row],[impressao]]</f>
        <v>200</v>
      </c>
      <c r="L80" s="1" t="d">
        <v>2023-11-06</v>
      </c>
      <c r="M80">
        <v>15</v>
      </c>
      <c r="N80" s="7">
        <v>8.9600000000000009</v>
      </c>
      <c r="O80" s="4" t="str">
        <f t="shared" si="3"/>
        <v>novembro</v>
      </c>
      <c r="P80" s="4">
        <f t="shared" si="4"/>
        <v>2023</v>
      </c>
      <c r="Q80" s="4" t="str">
        <f t="shared" si="5"/>
        <v/>
      </c>
      <c r="R80" t="s">
        <v>24</v>
      </c>
    </row>
    <row r="81" spans="1:18" x14ac:dyDescent="0.3">
      <c r="A81" s="1" t="d">
        <v>2023-11-22</v>
      </c>
      <c r="B81">
        <v>45504</v>
      </c>
      <c r="C81" t="str">
        <f>VLOOKUP(Fato_Producao[[#This Row],[referencia]], Dim_Produtos!A:B,2,FALSE)</f>
        <v>pescada posta fritar</v>
      </c>
      <c r="D81">
        <v>2513</v>
      </c>
      <c r="E81">
        <v>2355</v>
      </c>
      <c r="F81" s="5">
        <v>6.2899999999999998E-2</v>
      </c>
      <c r="G81" s="6">
        <v>50.56</v>
      </c>
      <c r="H81">
        <v>9</v>
      </c>
      <c r="I81">
        <v>146</v>
      </c>
      <c r="J81">
        <v>3</v>
      </c>
      <c r="K81">
        <f>Fato_Producao[[#This Row],[embalagens_danificadas]]+Fato_Producao[[#This Row],[peso_errado]]+Fato_Producao[[#This Row],[impressao]]</f>
        <v>158</v>
      </c>
      <c r="L81" s="1" t="d">
        <v>2023-11-06</v>
      </c>
      <c r="M81">
        <v>16</v>
      </c>
      <c r="N81" s="7">
        <v>7.08</v>
      </c>
      <c r="O81" s="4" t="str">
        <f t="shared" si="3"/>
        <v>novembro</v>
      </c>
      <c r="P81" s="4">
        <f t="shared" si="4"/>
        <v>2023</v>
      </c>
      <c r="Q81" s="4" t="str">
        <f t="shared" si="5"/>
        <v/>
      </c>
      <c r="R81" t="s">
        <v>24</v>
      </c>
    </row>
    <row r="82" spans="1:18" x14ac:dyDescent="0.3">
      <c r="A82" s="1" t="d">
        <v>2023-11-22</v>
      </c>
      <c r="B82">
        <v>45513</v>
      </c>
      <c r="C82" t="str">
        <f>VLOOKUP(Fato_Producao[[#This Row],[referencia]], Dim_Produtos!A:B,2,FALSE)</f>
        <v>filete pescada</v>
      </c>
      <c r="D82">
        <v>3848</v>
      </c>
      <c r="E82">
        <v>3630</v>
      </c>
      <c r="F82" s="5">
        <v>5.67E-2</v>
      </c>
      <c r="G82" s="6">
        <v>69.760000000000005</v>
      </c>
      <c r="H82">
        <v>7</v>
      </c>
      <c r="I82">
        <v>206</v>
      </c>
      <c r="J82">
        <v>5</v>
      </c>
      <c r="K82">
        <f>Fato_Producao[[#This Row],[embalagens_danificadas]]+Fato_Producao[[#This Row],[peso_errado]]+Fato_Producao[[#This Row],[impressao]]</f>
        <v>218</v>
      </c>
      <c r="L82" s="1" t="d">
        <v>2023-11-06</v>
      </c>
      <c r="M82">
        <v>16</v>
      </c>
      <c r="N82" s="7">
        <v>9.07</v>
      </c>
      <c r="O82" s="4" t="str">
        <f t="shared" si="3"/>
        <v>novembro</v>
      </c>
      <c r="P82" s="4">
        <f t="shared" si="4"/>
        <v>2023</v>
      </c>
      <c r="Q82" s="4" t="str">
        <f t="shared" si="5"/>
        <v/>
      </c>
      <c r="R82" t="s">
        <v>24</v>
      </c>
    </row>
    <row r="83" spans="1:18" x14ac:dyDescent="0.3">
      <c r="A83" s="1" t="d">
        <v>2023-11-23</v>
      </c>
      <c r="B83">
        <v>45507</v>
      </c>
      <c r="C83" t="str">
        <f>VLOOKUP(Fato_Producao[[#This Row],[referencia]], Dim_Produtos!A:B,2,FALSE)</f>
        <v>salmao posta</v>
      </c>
      <c r="D83">
        <v>3374</v>
      </c>
      <c r="E83">
        <v>3167</v>
      </c>
      <c r="F83" s="5">
        <v>6.1400000000000003E-2</v>
      </c>
      <c r="G83" s="6">
        <v>72.45</v>
      </c>
      <c r="H83">
        <v>8</v>
      </c>
      <c r="I83">
        <v>194</v>
      </c>
      <c r="J83">
        <v>5</v>
      </c>
      <c r="K83">
        <f>Fato_Producao[[#This Row],[embalagens_danificadas]]+Fato_Producao[[#This Row],[peso_errado]]+Fato_Producao[[#This Row],[impressao]]</f>
        <v>207</v>
      </c>
      <c r="L83" s="1" t="d">
        <v>2023-11-06</v>
      </c>
      <c r="M83">
        <v>17</v>
      </c>
      <c r="N83" s="7">
        <v>11.59</v>
      </c>
      <c r="O83" s="4" t="str">
        <f t="shared" si="3"/>
        <v>novembro</v>
      </c>
      <c r="P83" s="4">
        <f t="shared" si="4"/>
        <v>2023</v>
      </c>
      <c r="Q83" s="4" t="str">
        <f t="shared" si="5"/>
        <v/>
      </c>
      <c r="R83" t="s">
        <v>24</v>
      </c>
    </row>
    <row r="84" spans="1:18" x14ac:dyDescent="0.3">
      <c r="A84" s="1" t="d">
        <v>2023-11-24</v>
      </c>
      <c r="B84">
        <v>45511</v>
      </c>
      <c r="C84" t="str">
        <f>VLOOKUP(Fato_Producao[[#This Row],[referencia]], Dim_Produtos!A:B,2,FALSE)</f>
        <v>lula limpa</v>
      </c>
      <c r="D84">
        <v>3784</v>
      </c>
      <c r="E84">
        <v>3403</v>
      </c>
      <c r="F84" s="5">
        <v>0.1007</v>
      </c>
      <c r="G84" s="6">
        <v>121.92</v>
      </c>
      <c r="H84">
        <v>41</v>
      </c>
      <c r="I84">
        <v>335</v>
      </c>
      <c r="J84">
        <v>5</v>
      </c>
      <c r="K84">
        <f>Fato_Producao[[#This Row],[embalagens_danificadas]]+Fato_Producao[[#This Row],[peso_errado]]+Fato_Producao[[#This Row],[impressao]]</f>
        <v>381</v>
      </c>
      <c r="L84" s="1" t="d">
        <v>2023-11-06</v>
      </c>
      <c r="M84">
        <v>18</v>
      </c>
      <c r="N84" s="7">
        <v>17.07</v>
      </c>
      <c r="O84" s="4" t="str">
        <f t="shared" si="3"/>
        <v>novembro</v>
      </c>
      <c r="P84" s="4">
        <f t="shared" si="4"/>
        <v>2023</v>
      </c>
      <c r="Q84" s="4" t="str">
        <f t="shared" si="5"/>
        <v/>
      </c>
      <c r="R84" t="s">
        <v>24</v>
      </c>
    </row>
    <row r="85" spans="1:18" x14ac:dyDescent="0.3">
      <c r="A85" s="1" t="d">
        <v>2023-11-24</v>
      </c>
      <c r="B85">
        <v>45514</v>
      </c>
      <c r="C85" t="str">
        <f>VLOOKUP(Fato_Producao[[#This Row],[referencia]], Dim_Produtos!A:B,2,FALSE)</f>
        <v>sardinha pequena</v>
      </c>
      <c r="D85">
        <v>3052</v>
      </c>
      <c r="E85">
        <v>2770</v>
      </c>
      <c r="F85" s="5">
        <v>9.2399999999999996E-2</v>
      </c>
      <c r="G85" s="6">
        <v>84.6</v>
      </c>
      <c r="H85">
        <v>11</v>
      </c>
      <c r="I85">
        <v>267</v>
      </c>
      <c r="J85">
        <v>4</v>
      </c>
      <c r="K85">
        <f>Fato_Producao[[#This Row],[embalagens_danificadas]]+Fato_Producao[[#This Row],[peso_errado]]+Fato_Producao[[#This Row],[impressao]]</f>
        <v>282</v>
      </c>
      <c r="L85" s="1" t="d">
        <v>2023-11-06</v>
      </c>
      <c r="M85">
        <v>18</v>
      </c>
      <c r="N85" s="7">
        <v>10.15</v>
      </c>
      <c r="O85" s="4" t="str">
        <f t="shared" si="3"/>
        <v>novembro</v>
      </c>
      <c r="P85" s="4">
        <f t="shared" si="4"/>
        <v>2023</v>
      </c>
      <c r="Q85" s="4" t="str">
        <f t="shared" si="5"/>
        <v/>
      </c>
      <c r="R85" t="s">
        <v>24</v>
      </c>
    </row>
    <row r="86" spans="1:18" x14ac:dyDescent="0.3">
      <c r="A86" s="1" t="d">
        <v>2023-11-25</v>
      </c>
      <c r="B86">
        <v>45511</v>
      </c>
      <c r="C86" t="str">
        <f>VLOOKUP(Fato_Producao[[#This Row],[referencia]], Dim_Produtos!A:B,2,FALSE)</f>
        <v>lula limpa</v>
      </c>
      <c r="D86">
        <v>3129</v>
      </c>
      <c r="E86">
        <v>2930</v>
      </c>
      <c r="F86" s="5">
        <v>6.3600000000000004E-2</v>
      </c>
      <c r="G86" s="6">
        <v>63.68</v>
      </c>
      <c r="H86">
        <v>29</v>
      </c>
      <c r="I86">
        <v>167</v>
      </c>
      <c r="J86">
        <v>3</v>
      </c>
      <c r="K86">
        <f>Fato_Producao[[#This Row],[embalagens_danificadas]]+Fato_Producao[[#This Row],[peso_errado]]+Fato_Producao[[#This Row],[impressao]]</f>
        <v>199</v>
      </c>
      <c r="L86" s="1" t="d">
        <v>2023-11-06</v>
      </c>
      <c r="M86">
        <v>19</v>
      </c>
      <c r="N86" s="7">
        <v>8.92</v>
      </c>
      <c r="O86" s="4" t="str">
        <f t="shared" si="3"/>
        <v>novembro</v>
      </c>
      <c r="P86" s="4">
        <f t="shared" si="4"/>
        <v>2023</v>
      </c>
      <c r="Q86" s="4" t="str">
        <f t="shared" si="5"/>
        <v/>
      </c>
      <c r="R86" t="s">
        <v>24</v>
      </c>
    </row>
    <row r="87" spans="1:18" x14ac:dyDescent="0.3">
      <c r="A87" s="1" t="d">
        <v>2023-11-26</v>
      </c>
      <c r="B87">
        <v>45507</v>
      </c>
      <c r="C87" t="str">
        <f>VLOOKUP(Fato_Producao[[#This Row],[referencia]], Dim_Produtos!A:B,2,FALSE)</f>
        <v>salmao posta</v>
      </c>
      <c r="D87">
        <v>3158</v>
      </c>
      <c r="E87">
        <v>2927</v>
      </c>
      <c r="F87" s="5">
        <v>7.3099999999999998E-2</v>
      </c>
      <c r="G87" s="6">
        <v>80.849999999999994</v>
      </c>
      <c r="H87">
        <v>8</v>
      </c>
      <c r="I87">
        <v>217</v>
      </c>
      <c r="J87">
        <v>6</v>
      </c>
      <c r="K87">
        <f>Fato_Producao[[#This Row],[embalagens_danificadas]]+Fato_Producao[[#This Row],[peso_errado]]+Fato_Producao[[#This Row],[impressao]]</f>
        <v>231</v>
      </c>
      <c r="L87" s="1" t="d">
        <v>2023-11-06</v>
      </c>
      <c r="M87">
        <v>20</v>
      </c>
      <c r="N87" s="7">
        <v>12.94</v>
      </c>
      <c r="O87" s="4" t="str">
        <f t="shared" si="3"/>
        <v>novembro</v>
      </c>
      <c r="P87" s="4">
        <f t="shared" si="4"/>
        <v>2023</v>
      </c>
      <c r="Q87" s="4" t="str">
        <f t="shared" si="5"/>
        <v/>
      </c>
      <c r="R87" t="s">
        <v>24</v>
      </c>
    </row>
    <row r="88" spans="1:18" x14ac:dyDescent="0.3">
      <c r="A88" s="1" t="d">
        <v>2023-11-26</v>
      </c>
      <c r="B88">
        <v>45504</v>
      </c>
      <c r="C88" t="str">
        <f>VLOOKUP(Fato_Producao[[#This Row],[referencia]], Dim_Produtos!A:B,2,FALSE)</f>
        <v>pescada posta fritar</v>
      </c>
      <c r="D88">
        <v>2596</v>
      </c>
      <c r="E88">
        <v>2467</v>
      </c>
      <c r="F88" s="5">
        <v>4.9700000000000001E-2</v>
      </c>
      <c r="G88" s="6">
        <v>41.28</v>
      </c>
      <c r="H88">
        <v>2</v>
      </c>
      <c r="I88">
        <v>124</v>
      </c>
      <c r="J88">
        <v>3</v>
      </c>
      <c r="K88">
        <f>Fato_Producao[[#This Row],[embalagens_danificadas]]+Fato_Producao[[#This Row],[peso_errado]]+Fato_Producao[[#This Row],[impressao]]</f>
        <v>129</v>
      </c>
      <c r="L88" s="1" t="d">
        <v>2023-11-06</v>
      </c>
      <c r="M88">
        <v>20</v>
      </c>
      <c r="N88" s="7">
        <v>5.78</v>
      </c>
      <c r="O88" s="4" t="str">
        <f t="shared" si="3"/>
        <v>novembro</v>
      </c>
      <c r="P88" s="4">
        <f t="shared" si="4"/>
        <v>2023</v>
      </c>
      <c r="Q88" s="4" t="str">
        <f t="shared" si="5"/>
        <v/>
      </c>
      <c r="R88" t="s">
        <v>24</v>
      </c>
    </row>
    <row r="89" spans="1:18" x14ac:dyDescent="0.3">
      <c r="A89" s="1" t="d">
        <v>2023-11-27</v>
      </c>
      <c r="B89">
        <v>45510</v>
      </c>
      <c r="C89" t="str">
        <f>VLOOKUP(Fato_Producao[[#This Row],[referencia]], Dim_Produtos!A:B,2,FALSE)</f>
        <v>tiras pota</v>
      </c>
      <c r="D89">
        <v>1842</v>
      </c>
      <c r="E89">
        <v>1691</v>
      </c>
      <c r="F89" s="5">
        <v>8.2000000000000003E-2</v>
      </c>
      <c r="G89" s="6">
        <v>48.32</v>
      </c>
      <c r="H89">
        <v>13</v>
      </c>
      <c r="I89">
        <v>136</v>
      </c>
      <c r="J89">
        <v>2</v>
      </c>
      <c r="K89">
        <f>Fato_Producao[[#This Row],[embalagens_danificadas]]+Fato_Producao[[#This Row],[peso_errado]]+Fato_Producao[[#This Row],[impressao]]</f>
        <v>151</v>
      </c>
      <c r="L89" s="1" t="d">
        <v>2023-11-06</v>
      </c>
      <c r="M89">
        <v>21</v>
      </c>
      <c r="N89" s="7">
        <v>6.76</v>
      </c>
      <c r="O89" s="4" t="str">
        <f t="shared" si="3"/>
        <v>novembro</v>
      </c>
      <c r="P89" s="4">
        <f t="shared" si="4"/>
        <v>2023</v>
      </c>
      <c r="Q89" s="4" t="str">
        <f t="shared" si="5"/>
        <v/>
      </c>
      <c r="R89" t="s">
        <v>24</v>
      </c>
    </row>
    <row r="90" spans="1:18" x14ac:dyDescent="0.3">
      <c r="A90" s="1" t="d">
        <v>2023-11-28</v>
      </c>
      <c r="B90">
        <v>45514</v>
      </c>
      <c r="C90" t="str">
        <f>VLOOKUP(Fato_Producao[[#This Row],[referencia]], Dim_Produtos!A:B,2,FALSE)</f>
        <v>sardinha pequena</v>
      </c>
      <c r="D90">
        <v>3794</v>
      </c>
      <c r="E90">
        <v>3483</v>
      </c>
      <c r="F90" s="5">
        <v>8.2000000000000003E-2</v>
      </c>
      <c r="G90" s="6">
        <v>93.3</v>
      </c>
      <c r="H90">
        <v>14</v>
      </c>
      <c r="I90">
        <v>288</v>
      </c>
      <c r="J90">
        <v>9</v>
      </c>
      <c r="K90">
        <f>Fato_Producao[[#This Row],[embalagens_danificadas]]+Fato_Producao[[#This Row],[peso_errado]]+Fato_Producao[[#This Row],[impressao]]</f>
        <v>311</v>
      </c>
      <c r="L90" s="1" t="d">
        <v>2023-11-06</v>
      </c>
      <c r="M90">
        <v>22</v>
      </c>
      <c r="N90" s="7">
        <v>11.2</v>
      </c>
      <c r="O90" s="4" t="str">
        <f t="shared" si="3"/>
        <v>novembro</v>
      </c>
      <c r="P90" s="4">
        <f t="shared" si="4"/>
        <v>2023</v>
      </c>
      <c r="Q90" s="4" t="str">
        <f t="shared" si="5"/>
        <v/>
      </c>
      <c r="R90" t="s">
        <v>24</v>
      </c>
    </row>
    <row r="91" spans="1:18" x14ac:dyDescent="0.3">
      <c r="A91" s="1" t="d">
        <v>2023-11-29</v>
      </c>
      <c r="B91">
        <v>45512</v>
      </c>
      <c r="C91" t="str">
        <f>VLOOKUP(Fato_Producao[[#This Row],[referencia]], Dim_Produtos!A:B,2,FALSE)</f>
        <v>red-fish posta</v>
      </c>
      <c r="D91">
        <v>2471</v>
      </c>
      <c r="E91">
        <v>2343</v>
      </c>
      <c r="F91" s="5">
        <v>5.1799999999999999E-2</v>
      </c>
      <c r="G91" s="6">
        <v>43.52</v>
      </c>
      <c r="H91">
        <v>9</v>
      </c>
      <c r="I91">
        <v>118</v>
      </c>
      <c r="J91">
        <v>1</v>
      </c>
      <c r="K91">
        <f>Fato_Producao[[#This Row],[embalagens_danificadas]]+Fato_Producao[[#This Row],[peso_errado]]+Fato_Producao[[#This Row],[impressao]]</f>
        <v>128</v>
      </c>
      <c r="L91" s="1" t="d">
        <v>2023-11-06</v>
      </c>
      <c r="M91">
        <v>23</v>
      </c>
      <c r="N91" s="7">
        <v>6.09</v>
      </c>
      <c r="O91" s="4" t="str">
        <f t="shared" si="3"/>
        <v>novembro</v>
      </c>
      <c r="P91" s="4">
        <f t="shared" si="4"/>
        <v>2023</v>
      </c>
      <c r="Q91" s="4" t="str">
        <f t="shared" si="5"/>
        <v/>
      </c>
      <c r="R91" t="s">
        <v>24</v>
      </c>
    </row>
    <row r="92" spans="1:18" x14ac:dyDescent="0.3">
      <c r="A92" s="1" t="d">
        <v>2023-11-29</v>
      </c>
      <c r="B92">
        <v>45504</v>
      </c>
      <c r="C92" t="str">
        <f>VLOOKUP(Fato_Producao[[#This Row],[referencia]], Dim_Produtos!A:B,2,FALSE)</f>
        <v>pescada posta fritar</v>
      </c>
      <c r="D92">
        <v>3289</v>
      </c>
      <c r="E92">
        <v>3088</v>
      </c>
      <c r="F92" s="5">
        <v>6.1100000000000002E-2</v>
      </c>
      <c r="G92" s="6">
        <v>64.319999999999993</v>
      </c>
      <c r="H92">
        <v>13</v>
      </c>
      <c r="I92">
        <v>184</v>
      </c>
      <c r="J92">
        <v>4</v>
      </c>
      <c r="K92">
        <f>Fato_Producao[[#This Row],[embalagens_danificadas]]+Fato_Producao[[#This Row],[peso_errado]]+Fato_Producao[[#This Row],[impressao]]</f>
        <v>201</v>
      </c>
      <c r="L92" s="1" t="d">
        <v>2023-11-06</v>
      </c>
      <c r="M92">
        <v>23</v>
      </c>
      <c r="N92" s="7">
        <v>9</v>
      </c>
      <c r="O92" s="4" t="str">
        <f t="shared" si="3"/>
        <v>novembro</v>
      </c>
      <c r="P92" s="4">
        <f t="shared" si="4"/>
        <v>2023</v>
      </c>
      <c r="Q92" s="4" t="str">
        <f t="shared" si="5"/>
        <v/>
      </c>
      <c r="R92" t="s">
        <v>24</v>
      </c>
    </row>
    <row r="93" spans="1:18" x14ac:dyDescent="0.3">
      <c r="A93" s="1" t="d">
        <v>2023-11-30</v>
      </c>
      <c r="B93">
        <v>45501</v>
      </c>
      <c r="C93" t="str">
        <f>VLOOKUP(Fato_Producao[[#This Row],[referencia]], Dim_Produtos!A:B,2,FALSE)</f>
        <v>pescada posta cozer</v>
      </c>
      <c r="D93">
        <v>3768</v>
      </c>
      <c r="E93">
        <v>3525</v>
      </c>
      <c r="F93" s="5">
        <v>6.4500000000000002E-2</v>
      </c>
      <c r="G93" s="6">
        <v>77.760000000000005</v>
      </c>
      <c r="H93">
        <v>10</v>
      </c>
      <c r="I93">
        <v>230</v>
      </c>
      <c r="J93">
        <v>3</v>
      </c>
      <c r="K93">
        <f>Fato_Producao[[#This Row],[embalagens_danificadas]]+Fato_Producao[[#This Row],[peso_errado]]+Fato_Producao[[#This Row],[impressao]]</f>
        <v>243</v>
      </c>
      <c r="L93" s="1" t="d">
        <v>2023-11-06</v>
      </c>
      <c r="M93">
        <v>24</v>
      </c>
      <c r="N93" s="7">
        <v>10.89</v>
      </c>
      <c r="O93" s="4" t="str">
        <f t="shared" si="3"/>
        <v>novembro</v>
      </c>
      <c r="P93" s="4">
        <f t="shared" si="4"/>
        <v>2023</v>
      </c>
      <c r="Q93" s="4" t="str">
        <f t="shared" si="5"/>
        <v/>
      </c>
      <c r="R93" t="s">
        <v>24</v>
      </c>
    </row>
    <row r="94" spans="1:18" x14ac:dyDescent="0.3">
      <c r="A94" s="1" t="d">
        <v>2023-12-01</v>
      </c>
      <c r="B94">
        <v>45508</v>
      </c>
      <c r="C94" t="str">
        <f>VLOOKUP(Fato_Producao[[#This Row],[referencia]], Dim_Produtos!A:B,2,FALSE)</f>
        <v>lula suja</v>
      </c>
      <c r="D94">
        <v>4061</v>
      </c>
      <c r="E94">
        <v>3637</v>
      </c>
      <c r="F94" s="5">
        <v>0.10440000000000001</v>
      </c>
      <c r="G94" s="6">
        <v>135.68</v>
      </c>
      <c r="H94">
        <v>39</v>
      </c>
      <c r="I94">
        <v>379</v>
      </c>
      <c r="J94">
        <v>6</v>
      </c>
      <c r="K94">
        <f>Fato_Producao[[#This Row],[embalagens_danificadas]]+Fato_Producao[[#This Row],[peso_errado]]+Fato_Producao[[#This Row],[impressao]]</f>
        <v>424</v>
      </c>
      <c r="L94" s="1" t="d">
        <v>2023-11-06</v>
      </c>
      <c r="M94">
        <v>25</v>
      </c>
      <c r="N94" s="7">
        <v>19</v>
      </c>
      <c r="O94" s="4" t="str">
        <f t="shared" si="3"/>
        <v>dezembro</v>
      </c>
      <c r="P94" s="4">
        <f t="shared" si="4"/>
        <v>2023</v>
      </c>
      <c r="Q94" s="4" t="str">
        <f t="shared" si="5"/>
        <v/>
      </c>
      <c r="R94" t="s">
        <v>24</v>
      </c>
    </row>
    <row r="95" spans="1:18" x14ac:dyDescent="0.3">
      <c r="A95" s="1" t="d">
        <v>2023-12-01</v>
      </c>
      <c r="B95">
        <v>45514</v>
      </c>
      <c r="C95" t="str">
        <f>VLOOKUP(Fato_Producao[[#This Row],[referencia]], Dim_Produtos!A:B,2,FALSE)</f>
        <v>sardinha pequena</v>
      </c>
      <c r="D95">
        <v>1855</v>
      </c>
      <c r="E95">
        <v>1717</v>
      </c>
      <c r="F95" s="5">
        <v>7.4399999999999994E-2</v>
      </c>
      <c r="G95" s="6">
        <v>41.4</v>
      </c>
      <c r="H95">
        <v>6</v>
      </c>
      <c r="I95">
        <v>130</v>
      </c>
      <c r="J95">
        <v>2</v>
      </c>
      <c r="K95">
        <f>Fato_Producao[[#This Row],[embalagens_danificadas]]+Fato_Producao[[#This Row],[peso_errado]]+Fato_Producao[[#This Row],[impressao]]</f>
        <v>138</v>
      </c>
      <c r="L95" s="1" t="d">
        <v>2023-11-06</v>
      </c>
      <c r="M95">
        <v>25</v>
      </c>
      <c r="N95" s="7">
        <v>4.97</v>
      </c>
      <c r="O95" s="4" t="str">
        <f t="shared" si="3"/>
        <v>dezembro</v>
      </c>
      <c r="P95" s="4">
        <f t="shared" si="4"/>
        <v>2023</v>
      </c>
      <c r="Q95" s="4" t="str">
        <f t="shared" si="5"/>
        <v/>
      </c>
      <c r="R95" t="s">
        <v>24</v>
      </c>
    </row>
    <row r="96" spans="1:18" x14ac:dyDescent="0.3">
      <c r="A96" s="1" t="d">
        <v>2023-12-02</v>
      </c>
      <c r="B96">
        <v>45512</v>
      </c>
      <c r="C96" t="str">
        <f>VLOOKUP(Fato_Producao[[#This Row],[referencia]], Dim_Produtos!A:B,2,FALSE)</f>
        <v>red-fish posta</v>
      </c>
      <c r="D96">
        <v>2325</v>
      </c>
      <c r="E96">
        <v>2157</v>
      </c>
      <c r="F96" s="5">
        <v>7.2300000000000003E-2</v>
      </c>
      <c r="G96" s="6">
        <v>57.12</v>
      </c>
      <c r="H96">
        <v>10</v>
      </c>
      <c r="I96">
        <v>153</v>
      </c>
      <c r="J96">
        <v>5</v>
      </c>
      <c r="K96">
        <f>Fato_Producao[[#This Row],[embalagens_danificadas]]+Fato_Producao[[#This Row],[peso_errado]]+Fato_Producao[[#This Row],[impressao]]</f>
        <v>168</v>
      </c>
      <c r="L96" s="1" t="d">
        <v>2023-11-06</v>
      </c>
      <c r="M96">
        <v>26</v>
      </c>
      <c r="N96" s="7">
        <v>8</v>
      </c>
      <c r="O96" s="4" t="str">
        <f t="shared" si="3"/>
        <v>dezembro</v>
      </c>
      <c r="P96" s="4">
        <f t="shared" si="4"/>
        <v>2023</v>
      </c>
      <c r="Q96" s="4" t="str">
        <f t="shared" si="5"/>
        <v/>
      </c>
      <c r="R96" t="s">
        <v>24</v>
      </c>
    </row>
    <row r="97" spans="1:18" x14ac:dyDescent="0.3">
      <c r="A97" s="1" t="d">
        <v>2023-12-02</v>
      </c>
      <c r="B97">
        <v>45505</v>
      </c>
      <c r="C97" t="str">
        <f>VLOOKUP(Fato_Producao[[#This Row],[referencia]], Dim_Produtos!A:B,2,FALSE)</f>
        <v>camarao</v>
      </c>
      <c r="D97">
        <v>3706</v>
      </c>
      <c r="E97">
        <v>3412</v>
      </c>
      <c r="F97" s="5">
        <v>7.9299999999999995E-2</v>
      </c>
      <c r="G97" s="6">
        <v>88.2</v>
      </c>
      <c r="H97">
        <v>64</v>
      </c>
      <c r="I97">
        <v>224</v>
      </c>
      <c r="J97">
        <v>6</v>
      </c>
      <c r="K97">
        <f>Fato_Producao[[#This Row],[embalagens_danificadas]]+Fato_Producao[[#This Row],[peso_errado]]+Fato_Producao[[#This Row],[impressao]]</f>
        <v>294</v>
      </c>
      <c r="L97" s="1" t="d">
        <v>2023-11-06</v>
      </c>
      <c r="M97">
        <v>26</v>
      </c>
      <c r="N97" s="7">
        <v>13.23</v>
      </c>
      <c r="O97" s="4" t="str">
        <f t="shared" si="3"/>
        <v>dezembro</v>
      </c>
      <c r="P97" s="4">
        <f t="shared" si="4"/>
        <v>2023</v>
      </c>
      <c r="Q97" s="4" t="str">
        <f t="shared" si="5"/>
        <v/>
      </c>
      <c r="R97" t="s">
        <v>24</v>
      </c>
    </row>
    <row r="98" spans="1:18" x14ac:dyDescent="0.3">
      <c r="A98" s="1" t="d">
        <v>2023-12-03</v>
      </c>
      <c r="B98">
        <v>45508</v>
      </c>
      <c r="C98" t="str">
        <f>VLOOKUP(Fato_Producao[[#This Row],[referencia]], Dim_Produtos!A:B,2,FALSE)</f>
        <v>lula suja</v>
      </c>
      <c r="D98">
        <v>3096</v>
      </c>
      <c r="E98">
        <v>2814</v>
      </c>
      <c r="F98" s="5">
        <v>9.11E-2</v>
      </c>
      <c r="G98" s="6">
        <v>90.24</v>
      </c>
      <c r="H98">
        <v>40</v>
      </c>
      <c r="I98">
        <v>236</v>
      </c>
      <c r="J98">
        <v>6</v>
      </c>
      <c r="K98">
        <f>Fato_Producao[[#This Row],[embalagens_danificadas]]+Fato_Producao[[#This Row],[peso_errado]]+Fato_Producao[[#This Row],[impressao]]</f>
        <v>282</v>
      </c>
      <c r="L98" s="1" t="d">
        <v>2023-11-06</v>
      </c>
      <c r="M98">
        <v>27</v>
      </c>
      <c r="N98" s="7">
        <v>12.63</v>
      </c>
      <c r="O98" s="4" t="str">
        <f t="shared" si="3"/>
        <v>dezembro</v>
      </c>
      <c r="P98" s="4">
        <f t="shared" si="4"/>
        <v>2023</v>
      </c>
      <c r="Q98" s="4" t="str">
        <f t="shared" si="5"/>
        <v/>
      </c>
      <c r="R98" t="s">
        <v>24</v>
      </c>
    </row>
    <row r="99" spans="1:18" x14ac:dyDescent="0.3">
      <c r="A99" s="1" t="d">
        <v>2023-12-04</v>
      </c>
      <c r="B99">
        <v>45502</v>
      </c>
      <c r="C99" t="str">
        <f>VLOOKUP(Fato_Producao[[#This Row],[referencia]], Dim_Produtos!A:B,2,FALSE)</f>
        <v>carapau pelim</v>
      </c>
      <c r="D99">
        <v>2032</v>
      </c>
      <c r="E99">
        <v>1899</v>
      </c>
      <c r="F99" s="5">
        <v>6.5500000000000003E-2</v>
      </c>
      <c r="G99" s="6">
        <v>39.9</v>
      </c>
      <c r="H99">
        <v>26</v>
      </c>
      <c r="I99">
        <v>104</v>
      </c>
      <c r="J99">
        <v>3</v>
      </c>
      <c r="K99">
        <f>Fato_Producao[[#This Row],[embalagens_danificadas]]+Fato_Producao[[#This Row],[peso_errado]]+Fato_Producao[[#This Row],[impressao]]</f>
        <v>133</v>
      </c>
      <c r="L99" s="1" t="d">
        <v>2023-11-06</v>
      </c>
      <c r="M99">
        <v>28</v>
      </c>
      <c r="N99" s="7">
        <v>5.19</v>
      </c>
      <c r="O99" s="4" t="str">
        <f t="shared" si="3"/>
        <v>dezembro</v>
      </c>
      <c r="P99" s="4">
        <f t="shared" si="4"/>
        <v>2023</v>
      </c>
      <c r="Q99" s="4" t="str">
        <f t="shared" si="5"/>
        <v/>
      </c>
      <c r="R99" t="s">
        <v>24</v>
      </c>
    </row>
    <row r="100" spans="1:18" x14ac:dyDescent="0.3">
      <c r="A100" s="1" t="d">
        <v>2023-12-04</v>
      </c>
      <c r="B100">
        <v>45501</v>
      </c>
      <c r="C100" t="str">
        <f>VLOOKUP(Fato_Producao[[#This Row],[referencia]], Dim_Produtos!A:B,2,FALSE)</f>
        <v>pescada posta cozer</v>
      </c>
      <c r="D100">
        <v>2422</v>
      </c>
      <c r="E100">
        <v>2255</v>
      </c>
      <c r="F100" s="5">
        <v>6.9000000000000006E-2</v>
      </c>
      <c r="G100" s="6">
        <v>53.44</v>
      </c>
      <c r="H100">
        <v>10</v>
      </c>
      <c r="I100">
        <v>154</v>
      </c>
      <c r="J100">
        <v>3</v>
      </c>
      <c r="K100">
        <f>Fato_Producao[[#This Row],[embalagens_danificadas]]+Fato_Producao[[#This Row],[peso_errado]]+Fato_Producao[[#This Row],[impressao]]</f>
        <v>167</v>
      </c>
      <c r="L100" s="1" t="d">
        <v>2023-11-06</v>
      </c>
      <c r="M100">
        <v>28</v>
      </c>
      <c r="N100" s="7">
        <v>7.48</v>
      </c>
      <c r="O100" s="4" t="str">
        <f t="shared" si="3"/>
        <v>dezembro</v>
      </c>
      <c r="P100" s="4">
        <f t="shared" si="4"/>
        <v>2023</v>
      </c>
      <c r="Q100" s="4" t="str">
        <f t="shared" si="5"/>
        <v/>
      </c>
      <c r="R100" t="s">
        <v>24</v>
      </c>
    </row>
    <row r="101" spans="1:18" x14ac:dyDescent="0.3">
      <c r="A101" s="1" t="d">
        <v>2023-12-05</v>
      </c>
      <c r="B101">
        <v>45501</v>
      </c>
      <c r="C101" t="str">
        <f>VLOOKUP(Fato_Producao[[#This Row],[referencia]], Dim_Produtos!A:B,2,FALSE)</f>
        <v>pescada posta cozer</v>
      </c>
      <c r="D101">
        <v>3775</v>
      </c>
      <c r="E101">
        <v>3435</v>
      </c>
      <c r="F101" s="5">
        <v>9.01E-2</v>
      </c>
      <c r="G101" s="6">
        <v>108.8</v>
      </c>
      <c r="H101">
        <v>15</v>
      </c>
      <c r="I101">
        <v>315</v>
      </c>
      <c r="J101">
        <v>10</v>
      </c>
      <c r="K101">
        <f>Fato_Producao[[#This Row],[embalagens_danificadas]]+Fato_Producao[[#This Row],[peso_errado]]+Fato_Producao[[#This Row],[impressao]]</f>
        <v>340</v>
      </c>
      <c r="L101" s="1" t="d">
        <v>2023-11-06</v>
      </c>
      <c r="M101">
        <v>29</v>
      </c>
      <c r="N101" s="7">
        <v>15.23</v>
      </c>
      <c r="O101" s="4" t="str">
        <f t="shared" si="3"/>
        <v>dezembro</v>
      </c>
      <c r="P101" s="4">
        <f t="shared" si="4"/>
        <v>2023</v>
      </c>
      <c r="Q101" s="4" t="str">
        <f t="shared" si="5"/>
        <v/>
      </c>
      <c r="R101" t="s">
        <v>24</v>
      </c>
    </row>
    <row r="102" spans="1:18" x14ac:dyDescent="0.3">
      <c r="A102" s="1" t="d">
        <v>2023-12-05</v>
      </c>
      <c r="B102">
        <v>45504</v>
      </c>
      <c r="C102" t="str">
        <f>VLOOKUP(Fato_Producao[[#This Row],[referencia]], Dim_Produtos!A:B,2,FALSE)</f>
        <v>pescada posta fritar</v>
      </c>
      <c r="D102">
        <v>4124</v>
      </c>
      <c r="E102">
        <v>3837</v>
      </c>
      <c r="F102" s="5">
        <v>6.9599999999999995E-2</v>
      </c>
      <c r="G102" s="6">
        <v>91.84</v>
      </c>
      <c r="H102">
        <v>18</v>
      </c>
      <c r="I102">
        <v>264</v>
      </c>
      <c r="J102">
        <v>5</v>
      </c>
      <c r="K102">
        <f>Fato_Producao[[#This Row],[embalagens_danificadas]]+Fato_Producao[[#This Row],[peso_errado]]+Fato_Producao[[#This Row],[impressao]]</f>
        <v>287</v>
      </c>
      <c r="L102" s="1" t="d">
        <v>2023-11-06</v>
      </c>
      <c r="M102">
        <v>29</v>
      </c>
      <c r="N102" s="7">
        <v>12.86</v>
      </c>
      <c r="O102" s="4" t="str">
        <f t="shared" si="3"/>
        <v>dezembro</v>
      </c>
      <c r="P102" s="4">
        <f t="shared" si="4"/>
        <v>2023</v>
      </c>
      <c r="Q102" s="4" t="str">
        <f t="shared" si="5"/>
        <v/>
      </c>
      <c r="R102" t="s">
        <v>24</v>
      </c>
    </row>
    <row r="103" spans="1:18" x14ac:dyDescent="0.3">
      <c r="A103" s="1" t="d">
        <v>2023-12-06</v>
      </c>
      <c r="B103">
        <v>45506</v>
      </c>
      <c r="C103" t="str">
        <f>VLOOKUP(Fato_Producao[[#This Row],[referencia]], Dim_Produtos!A:B,2,FALSE)</f>
        <v>perca posta</v>
      </c>
      <c r="D103">
        <v>2960</v>
      </c>
      <c r="E103">
        <v>2780</v>
      </c>
      <c r="F103" s="5">
        <v>6.08E-2</v>
      </c>
      <c r="G103" s="6">
        <v>63</v>
      </c>
      <c r="H103">
        <v>8</v>
      </c>
      <c r="I103">
        <v>169</v>
      </c>
      <c r="J103">
        <v>3</v>
      </c>
      <c r="K103">
        <f>Fato_Producao[[#This Row],[embalagens_danificadas]]+Fato_Producao[[#This Row],[peso_errado]]+Fato_Producao[[#This Row],[impressao]]</f>
        <v>180</v>
      </c>
      <c r="L103" s="1" t="d">
        <v>2023-11-06</v>
      </c>
      <c r="M103">
        <v>30</v>
      </c>
      <c r="N103" s="7">
        <v>9.4499999999999993</v>
      </c>
      <c r="O103" s="4" t="str">
        <f t="shared" si="3"/>
        <v>dezembro</v>
      </c>
      <c r="P103" s="4">
        <f t="shared" si="4"/>
        <v>2023</v>
      </c>
      <c r="Q103" s="4" t="str">
        <f t="shared" si="5"/>
        <v/>
      </c>
      <c r="R103" t="s">
        <v>24</v>
      </c>
    </row>
    <row r="104" spans="1:18" x14ac:dyDescent="0.3">
      <c r="A104" s="1" t="d">
        <v>2023-12-07</v>
      </c>
      <c r="B104">
        <v>45514</v>
      </c>
      <c r="C104" t="str">
        <f>VLOOKUP(Fato_Producao[[#This Row],[referencia]], Dim_Produtos!A:B,2,FALSE)</f>
        <v>sardinha pequena</v>
      </c>
      <c r="D104">
        <v>1805</v>
      </c>
      <c r="E104">
        <v>1643</v>
      </c>
      <c r="F104" s="5">
        <v>8.9800000000000005E-2</v>
      </c>
      <c r="G104" s="6">
        <v>48.6</v>
      </c>
      <c r="H104">
        <v>6</v>
      </c>
      <c r="I104">
        <v>154</v>
      </c>
      <c r="J104">
        <v>2</v>
      </c>
      <c r="K104">
        <f>Fato_Producao[[#This Row],[embalagens_danificadas]]+Fato_Producao[[#This Row],[peso_errado]]+Fato_Producao[[#This Row],[impressao]]</f>
        <v>162</v>
      </c>
      <c r="L104" s="1" t="d">
        <v>2023-11-06</v>
      </c>
      <c r="M104">
        <v>31</v>
      </c>
      <c r="N104" s="7">
        <v>5.83</v>
      </c>
      <c r="O104" s="4" t="str">
        <f t="shared" si="3"/>
        <v>dezembro</v>
      </c>
      <c r="P104" s="4">
        <f t="shared" si="4"/>
        <v>2023</v>
      </c>
      <c r="Q104" s="4" t="str">
        <f t="shared" si="5"/>
        <v/>
      </c>
      <c r="R104" t="s">
        <v>24</v>
      </c>
    </row>
    <row r="105" spans="1:18" x14ac:dyDescent="0.3">
      <c r="A105" s="1" t="d">
        <v>2023-12-07</v>
      </c>
      <c r="B105">
        <v>45507</v>
      </c>
      <c r="C105" t="str">
        <f>VLOOKUP(Fato_Producao[[#This Row],[referencia]], Dim_Produtos!A:B,2,FALSE)</f>
        <v>salmao posta</v>
      </c>
      <c r="D105">
        <v>3821</v>
      </c>
      <c r="E105">
        <v>3565</v>
      </c>
      <c r="F105" s="5">
        <v>6.7000000000000004E-2</v>
      </c>
      <c r="G105" s="6">
        <v>89.6</v>
      </c>
      <c r="H105">
        <v>6</v>
      </c>
      <c r="I105">
        <v>245</v>
      </c>
      <c r="J105">
        <v>5</v>
      </c>
      <c r="K105">
        <f>Fato_Producao[[#This Row],[embalagens_danificadas]]+Fato_Producao[[#This Row],[peso_errado]]+Fato_Producao[[#This Row],[impressao]]</f>
        <v>256</v>
      </c>
      <c r="L105" s="1" t="d">
        <v>2023-11-06</v>
      </c>
      <c r="M105">
        <v>31</v>
      </c>
      <c r="N105" s="7">
        <v>14.34</v>
      </c>
      <c r="O105" s="4" t="str">
        <f t="shared" si="3"/>
        <v>dezembro</v>
      </c>
      <c r="P105" s="4">
        <f t="shared" si="4"/>
        <v>2023</v>
      </c>
      <c r="Q105" s="4" t="str">
        <f t="shared" si="5"/>
        <v/>
      </c>
      <c r="R105" t="s">
        <v>24</v>
      </c>
    </row>
    <row r="106" spans="1:18" x14ac:dyDescent="0.3">
      <c r="A106" s="1" t="d">
        <v>2023-12-08</v>
      </c>
      <c r="B106">
        <v>45502</v>
      </c>
      <c r="C106" t="str">
        <f>VLOOKUP(Fato_Producao[[#This Row],[referencia]], Dim_Produtos!A:B,2,FALSE)</f>
        <v>carapau pelim</v>
      </c>
      <c r="D106">
        <v>4020</v>
      </c>
      <c r="E106">
        <v>3726</v>
      </c>
      <c r="F106" s="5">
        <v>7.3099999999999998E-2</v>
      </c>
      <c r="G106" s="6">
        <v>88.2</v>
      </c>
      <c r="H106">
        <v>71</v>
      </c>
      <c r="I106">
        <v>216</v>
      </c>
      <c r="J106">
        <v>7</v>
      </c>
      <c r="K106">
        <f>Fato_Producao[[#This Row],[embalagens_danificadas]]+Fato_Producao[[#This Row],[peso_errado]]+Fato_Producao[[#This Row],[impressao]]</f>
        <v>294</v>
      </c>
      <c r="L106" s="1" t="d">
        <v>2023-11-06</v>
      </c>
      <c r="M106">
        <v>32</v>
      </c>
      <c r="N106" s="7">
        <v>11.47</v>
      </c>
      <c r="O106" s="4" t="str">
        <f t="shared" si="3"/>
        <v>dezembro</v>
      </c>
      <c r="P106" s="4">
        <f t="shared" si="4"/>
        <v>2023</v>
      </c>
      <c r="Q106" s="4" t="str">
        <f t="shared" si="5"/>
        <v/>
      </c>
      <c r="R106" t="s">
        <v>24</v>
      </c>
    </row>
    <row r="107" spans="1:18" x14ac:dyDescent="0.3">
      <c r="A107" s="1" t="d">
        <v>2023-12-08</v>
      </c>
      <c r="B107">
        <v>45500</v>
      </c>
      <c r="C107" t="str">
        <f>VLOOKUP(Fato_Producao[[#This Row],[referencia]], Dim_Produtos!A:B,2,FALSE)</f>
        <v>filete pescada</v>
      </c>
      <c r="D107">
        <v>3987</v>
      </c>
      <c r="E107">
        <v>3718</v>
      </c>
      <c r="F107" s="5">
        <v>6.7500000000000004E-2</v>
      </c>
      <c r="G107" s="6">
        <v>75.319999999999993</v>
      </c>
      <c r="H107">
        <v>12</v>
      </c>
      <c r="I107">
        <v>253</v>
      </c>
      <c r="J107">
        <v>4</v>
      </c>
      <c r="K107">
        <f>Fato_Producao[[#This Row],[embalagens_danificadas]]+Fato_Producao[[#This Row],[peso_errado]]+Fato_Producao[[#This Row],[impressao]]</f>
        <v>269</v>
      </c>
      <c r="L107" s="1" t="d">
        <v>2023-11-06</v>
      </c>
      <c r="M107">
        <v>32</v>
      </c>
      <c r="N107" s="7">
        <v>9.0399999999999991</v>
      </c>
      <c r="O107" s="4" t="str">
        <f t="shared" si="3"/>
        <v>dezembro</v>
      </c>
      <c r="P107" s="4">
        <f t="shared" si="4"/>
        <v>2023</v>
      </c>
      <c r="Q107" s="4" t="str">
        <f t="shared" si="5"/>
        <v/>
      </c>
      <c r="R107" t="s">
        <v>24</v>
      </c>
    </row>
    <row r="108" spans="1:18" x14ac:dyDescent="0.3">
      <c r="A108" s="1" t="d">
        <v>2023-12-09</v>
      </c>
      <c r="B108">
        <v>45510</v>
      </c>
      <c r="C108" t="str">
        <f>VLOOKUP(Fato_Producao[[#This Row],[referencia]], Dim_Produtos!A:B,2,FALSE)</f>
        <v>tiras pota</v>
      </c>
      <c r="D108">
        <v>3826</v>
      </c>
      <c r="E108">
        <v>3538</v>
      </c>
      <c r="F108" s="5">
        <v>7.5300000000000006E-2</v>
      </c>
      <c r="G108" s="6">
        <v>92.16</v>
      </c>
      <c r="H108">
        <v>34</v>
      </c>
      <c r="I108">
        <v>248</v>
      </c>
      <c r="J108">
        <v>6</v>
      </c>
      <c r="K108">
        <f>Fato_Producao[[#This Row],[embalagens_danificadas]]+Fato_Producao[[#This Row],[peso_errado]]+Fato_Producao[[#This Row],[impressao]]</f>
        <v>288</v>
      </c>
      <c r="L108" s="1" t="d">
        <v>2023-11-06</v>
      </c>
      <c r="M108">
        <v>33</v>
      </c>
      <c r="N108" s="7">
        <v>12.9</v>
      </c>
      <c r="O108" s="4" t="str">
        <f t="shared" si="3"/>
        <v>dezembro</v>
      </c>
      <c r="P108" s="4">
        <f t="shared" si="4"/>
        <v>2023</v>
      </c>
      <c r="Q108" s="4" t="str">
        <f t="shared" si="5"/>
        <v/>
      </c>
      <c r="R108" t="s">
        <v>24</v>
      </c>
    </row>
    <row r="109" spans="1:18" x14ac:dyDescent="0.3">
      <c r="A109" s="1" t="d">
        <v>2023-12-09</v>
      </c>
      <c r="B109">
        <v>45501</v>
      </c>
      <c r="C109" t="str">
        <f>VLOOKUP(Fato_Producao[[#This Row],[referencia]], Dim_Produtos!A:B,2,FALSE)</f>
        <v>pescada posta cozer</v>
      </c>
      <c r="D109">
        <v>3860</v>
      </c>
      <c r="E109">
        <v>3513</v>
      </c>
      <c r="F109" s="5">
        <v>8.9899999999999994E-2</v>
      </c>
      <c r="G109" s="6">
        <v>111.04</v>
      </c>
      <c r="H109">
        <v>26</v>
      </c>
      <c r="I109">
        <v>317</v>
      </c>
      <c r="J109">
        <v>4</v>
      </c>
      <c r="K109">
        <f>Fato_Producao[[#This Row],[embalagens_danificadas]]+Fato_Producao[[#This Row],[peso_errado]]+Fato_Producao[[#This Row],[impressao]]</f>
        <v>347</v>
      </c>
      <c r="L109" s="1" t="d">
        <v>2023-11-06</v>
      </c>
      <c r="M109">
        <v>33</v>
      </c>
      <c r="N109" s="7">
        <v>15.55</v>
      </c>
      <c r="O109" s="4" t="str">
        <f t="shared" si="3"/>
        <v>dezembro</v>
      </c>
      <c r="P109" s="4">
        <f t="shared" si="4"/>
        <v>2023</v>
      </c>
      <c r="Q109" s="4" t="str">
        <f t="shared" si="5"/>
        <v/>
      </c>
      <c r="R109" t="s">
        <v>24</v>
      </c>
    </row>
    <row r="110" spans="1:18" x14ac:dyDescent="0.3">
      <c r="A110" s="1" t="d">
        <v>2023-12-10</v>
      </c>
      <c r="B110">
        <v>45508</v>
      </c>
      <c r="C110" t="str">
        <f>VLOOKUP(Fato_Producao[[#This Row],[referencia]], Dim_Produtos!A:B,2,FALSE)</f>
        <v>lula suja</v>
      </c>
      <c r="D110">
        <v>3794</v>
      </c>
      <c r="E110">
        <v>3311</v>
      </c>
      <c r="F110" s="5">
        <v>0.1273</v>
      </c>
      <c r="G110" s="6">
        <v>154.56</v>
      </c>
      <c r="H110">
        <v>42</v>
      </c>
      <c r="I110">
        <v>428</v>
      </c>
      <c r="J110">
        <v>13</v>
      </c>
      <c r="K110">
        <f>Fato_Producao[[#This Row],[embalagens_danificadas]]+Fato_Producao[[#This Row],[peso_errado]]+Fato_Producao[[#This Row],[impressao]]</f>
        <v>483</v>
      </c>
      <c r="L110" s="1" t="d">
        <v>2023-11-06</v>
      </c>
      <c r="M110">
        <v>34</v>
      </c>
      <c r="N110" s="7">
        <v>21.64</v>
      </c>
      <c r="O110" s="4" t="str">
        <f t="shared" si="3"/>
        <v>dezembro</v>
      </c>
      <c r="P110" s="4">
        <f t="shared" si="4"/>
        <v>2023</v>
      </c>
      <c r="Q110" s="4" t="str">
        <f t="shared" si="5"/>
        <v/>
      </c>
      <c r="R110" t="s">
        <v>24</v>
      </c>
    </row>
    <row r="111" spans="1:18" x14ac:dyDescent="0.3">
      <c r="A111" s="1" t="d">
        <v>2023-12-11</v>
      </c>
      <c r="B111">
        <v>45501</v>
      </c>
      <c r="C111" t="str">
        <f>VLOOKUP(Fato_Producao[[#This Row],[referencia]], Dim_Produtos!A:B,2,FALSE)</f>
        <v>pescada posta cozer</v>
      </c>
      <c r="D111">
        <v>2133</v>
      </c>
      <c r="E111">
        <v>1977</v>
      </c>
      <c r="F111" s="5">
        <v>7.3099999999999998E-2</v>
      </c>
      <c r="G111" s="6">
        <v>49.92</v>
      </c>
      <c r="H111">
        <v>4</v>
      </c>
      <c r="I111">
        <v>150</v>
      </c>
      <c r="J111">
        <v>2</v>
      </c>
      <c r="K111">
        <f>Fato_Producao[[#This Row],[embalagens_danificadas]]+Fato_Producao[[#This Row],[peso_errado]]+Fato_Producao[[#This Row],[impressao]]</f>
        <v>156</v>
      </c>
      <c r="L111" s="1" t="d">
        <v>2023-11-06</v>
      </c>
      <c r="M111">
        <v>35</v>
      </c>
      <c r="N111" s="7">
        <v>6.99</v>
      </c>
      <c r="O111" s="4" t="str">
        <f t="shared" si="3"/>
        <v>dezembro</v>
      </c>
      <c r="P111" s="4">
        <f t="shared" si="4"/>
        <v>2023</v>
      </c>
      <c r="Q111" s="4" t="str">
        <f t="shared" si="5"/>
        <v/>
      </c>
      <c r="R111" t="s">
        <v>24</v>
      </c>
    </row>
    <row r="112" spans="1:18" x14ac:dyDescent="0.3">
      <c r="A112" s="1" t="d">
        <v>2023-12-11</v>
      </c>
      <c r="B112">
        <v>45502</v>
      </c>
      <c r="C112" t="str">
        <f>VLOOKUP(Fato_Producao[[#This Row],[referencia]], Dim_Produtos!A:B,2,FALSE)</f>
        <v>carapau pelim</v>
      </c>
      <c r="D112">
        <v>3370</v>
      </c>
      <c r="E112">
        <v>3087</v>
      </c>
      <c r="F112" s="5">
        <v>8.4000000000000005E-2</v>
      </c>
      <c r="G112" s="6">
        <v>84.9</v>
      </c>
      <c r="H112">
        <v>82</v>
      </c>
      <c r="I112">
        <v>191</v>
      </c>
      <c r="J112">
        <v>10</v>
      </c>
      <c r="K112">
        <f>Fato_Producao[[#This Row],[embalagens_danificadas]]+Fato_Producao[[#This Row],[peso_errado]]+Fato_Producao[[#This Row],[impressao]]</f>
        <v>283</v>
      </c>
      <c r="L112" s="1" t="d">
        <v>2023-11-06</v>
      </c>
      <c r="M112">
        <v>35</v>
      </c>
      <c r="N112" s="7">
        <v>11.04</v>
      </c>
      <c r="O112" s="4" t="str">
        <f t="shared" si="3"/>
        <v>dezembro</v>
      </c>
      <c r="P112" s="4">
        <f t="shared" si="4"/>
        <v>2023</v>
      </c>
      <c r="Q112" s="4" t="str">
        <f t="shared" si="5"/>
        <v/>
      </c>
      <c r="R112" t="s">
        <v>24</v>
      </c>
    </row>
    <row r="113" spans="1:18" x14ac:dyDescent="0.3">
      <c r="A113" s="1" t="d">
        <v>2023-12-12</v>
      </c>
      <c r="B113">
        <v>45511</v>
      </c>
      <c r="C113" t="str">
        <f>VLOOKUP(Fato_Producao[[#This Row],[referencia]], Dim_Produtos!A:B,2,FALSE)</f>
        <v>lula limpa</v>
      </c>
      <c r="D113">
        <v>3114</v>
      </c>
      <c r="E113">
        <v>2807</v>
      </c>
      <c r="F113" s="5">
        <v>9.8599999999999993E-2</v>
      </c>
      <c r="G113" s="6">
        <v>98.24</v>
      </c>
      <c r="H113">
        <v>42</v>
      </c>
      <c r="I113">
        <v>258</v>
      </c>
      <c r="J113">
        <v>7</v>
      </c>
      <c r="K113">
        <f>Fato_Producao[[#This Row],[embalagens_danificadas]]+Fato_Producao[[#This Row],[peso_errado]]+Fato_Producao[[#This Row],[impressao]]</f>
        <v>307</v>
      </c>
      <c r="L113" s="1" t="d">
        <v>2023-11-06</v>
      </c>
      <c r="M113">
        <v>36</v>
      </c>
      <c r="N113" s="7">
        <v>13.75</v>
      </c>
      <c r="O113" s="4" t="str">
        <f t="shared" si="3"/>
        <v>dezembro</v>
      </c>
      <c r="P113" s="4">
        <f t="shared" si="4"/>
        <v>2023</v>
      </c>
      <c r="Q113" s="4" t="str">
        <f t="shared" si="5"/>
        <v/>
      </c>
      <c r="R113" t="s">
        <v>24</v>
      </c>
    </row>
    <row r="114" spans="1:18" x14ac:dyDescent="0.3">
      <c r="A114" s="1" t="d">
        <v>2023-12-12</v>
      </c>
      <c r="B114">
        <v>45509</v>
      </c>
      <c r="C114" t="str">
        <f>VLOOKUP(Fato_Producao[[#This Row],[referencia]], Dim_Produtos!A:B,2,FALSE)</f>
        <v>lascas bacalhau</v>
      </c>
      <c r="D114">
        <v>1931</v>
      </c>
      <c r="E114">
        <v>1755</v>
      </c>
      <c r="F114" s="5">
        <v>9.11E-2</v>
      </c>
      <c r="G114" s="6">
        <v>49.28</v>
      </c>
      <c r="H114">
        <v>8</v>
      </c>
      <c r="I114">
        <v>164</v>
      </c>
      <c r="J114">
        <v>4</v>
      </c>
      <c r="K114">
        <f>Fato_Producao[[#This Row],[embalagens_danificadas]]+Fato_Producao[[#This Row],[peso_errado]]+Fato_Producao[[#This Row],[impressao]]</f>
        <v>176</v>
      </c>
      <c r="L114" s="1" t="d">
        <v>2023-11-06</v>
      </c>
      <c r="M114">
        <v>36</v>
      </c>
      <c r="N114" s="7">
        <v>6.41</v>
      </c>
      <c r="O114" s="4" t="str">
        <f t="shared" si="3"/>
        <v>dezembro</v>
      </c>
      <c r="P114" s="4">
        <f t="shared" si="4"/>
        <v>2023</v>
      </c>
      <c r="Q114" s="4" t="str">
        <f t="shared" si="5"/>
        <v/>
      </c>
      <c r="R114" t="s">
        <v>24</v>
      </c>
    </row>
    <row r="115" spans="1:18" x14ac:dyDescent="0.3">
      <c r="A115" s="1" t="d">
        <v>2023-12-13</v>
      </c>
      <c r="B115">
        <v>45512</v>
      </c>
      <c r="C115" t="str">
        <f>VLOOKUP(Fato_Producao[[#This Row],[referencia]], Dim_Produtos!A:B,2,FALSE)</f>
        <v>red-fish posta</v>
      </c>
      <c r="D115">
        <v>3688</v>
      </c>
      <c r="E115">
        <v>3482</v>
      </c>
      <c r="F115" s="5">
        <v>5.5899999999999998E-2</v>
      </c>
      <c r="G115" s="6">
        <v>70.040000000000006</v>
      </c>
      <c r="H115">
        <v>10</v>
      </c>
      <c r="I115">
        <v>193</v>
      </c>
      <c r="J115">
        <v>3</v>
      </c>
      <c r="K115">
        <f>Fato_Producao[[#This Row],[embalagens_danificadas]]+Fato_Producao[[#This Row],[peso_errado]]+Fato_Producao[[#This Row],[impressao]]</f>
        <v>206</v>
      </c>
      <c r="L115" s="1" t="d">
        <v>2023-11-06</v>
      </c>
      <c r="M115">
        <v>37</v>
      </c>
      <c r="N115" s="7">
        <v>9.81</v>
      </c>
      <c r="O115" s="4" t="str">
        <f t="shared" si="3"/>
        <v>dezembro</v>
      </c>
      <c r="P115" s="4">
        <f t="shared" si="4"/>
        <v>2023</v>
      </c>
      <c r="Q115" s="4" t="str">
        <f t="shared" si="5"/>
        <v/>
      </c>
      <c r="R115" t="s">
        <v>24</v>
      </c>
    </row>
    <row r="116" spans="1:18" x14ac:dyDescent="0.3">
      <c r="A116" s="1" t="d">
        <v>2023-12-13</v>
      </c>
      <c r="B116">
        <v>45500</v>
      </c>
      <c r="C116" t="str">
        <f>VLOOKUP(Fato_Producao[[#This Row],[referencia]], Dim_Produtos!A:B,2,FALSE)</f>
        <v>filete pescada</v>
      </c>
      <c r="D116">
        <v>2302</v>
      </c>
      <c r="E116">
        <v>2168</v>
      </c>
      <c r="F116" s="5">
        <v>5.8200000000000002E-2</v>
      </c>
      <c r="G116" s="6">
        <v>37.520000000000003</v>
      </c>
      <c r="H116">
        <v>6</v>
      </c>
      <c r="I116">
        <v>126</v>
      </c>
      <c r="J116">
        <v>2</v>
      </c>
      <c r="K116">
        <f>Fato_Producao[[#This Row],[embalagens_danificadas]]+Fato_Producao[[#This Row],[peso_errado]]+Fato_Producao[[#This Row],[impressao]]</f>
        <v>134</v>
      </c>
      <c r="L116" s="1" t="d">
        <v>2023-11-06</v>
      </c>
      <c r="M116">
        <v>37</v>
      </c>
      <c r="N116" s="7">
        <v>4.5</v>
      </c>
      <c r="O116" s="4" t="str">
        <f t="shared" si="3"/>
        <v>dezembro</v>
      </c>
      <c r="P116" s="4">
        <f t="shared" si="4"/>
        <v>2023</v>
      </c>
      <c r="Q116" s="4" t="str">
        <f t="shared" si="5"/>
        <v/>
      </c>
      <c r="R116" t="s">
        <v>24</v>
      </c>
    </row>
    <row r="117" spans="1:18" x14ac:dyDescent="0.3">
      <c r="A117" s="1" t="d">
        <v>2023-12-14</v>
      </c>
      <c r="B117">
        <v>45502</v>
      </c>
      <c r="C117" t="str">
        <f>VLOOKUP(Fato_Producao[[#This Row],[referencia]], Dim_Produtos!A:B,2,FALSE)</f>
        <v>carapau pelim</v>
      </c>
      <c r="D117">
        <v>3271</v>
      </c>
      <c r="E117">
        <v>2992</v>
      </c>
      <c r="F117" s="5">
        <v>8.5300000000000001E-2</v>
      </c>
      <c r="G117" s="6">
        <v>83.7</v>
      </c>
      <c r="H117">
        <v>84</v>
      </c>
      <c r="I117">
        <v>188</v>
      </c>
      <c r="J117">
        <v>7</v>
      </c>
      <c r="K117">
        <f>Fato_Producao[[#This Row],[embalagens_danificadas]]+Fato_Producao[[#This Row],[peso_errado]]+Fato_Producao[[#This Row],[impressao]]</f>
        <v>279</v>
      </c>
      <c r="L117" s="1" t="d">
        <v>2023-11-06</v>
      </c>
      <c r="M117">
        <v>38</v>
      </c>
      <c r="N117" s="7">
        <v>10.88</v>
      </c>
      <c r="O117" s="4" t="str">
        <f t="shared" si="3"/>
        <v>dezembro</v>
      </c>
      <c r="P117" s="4">
        <f t="shared" si="4"/>
        <v>2023</v>
      </c>
      <c r="Q117" s="4" t="str">
        <f t="shared" si="5"/>
        <v/>
      </c>
      <c r="R117" t="s">
        <v>24</v>
      </c>
    </row>
    <row r="118" spans="1:18" x14ac:dyDescent="0.3">
      <c r="A118" s="1" t="d">
        <v>2023-12-15</v>
      </c>
      <c r="B118">
        <v>45510</v>
      </c>
      <c r="C118" t="str">
        <f>VLOOKUP(Fato_Producao[[#This Row],[referencia]], Dim_Produtos!A:B,2,FALSE)</f>
        <v>tiras pota</v>
      </c>
      <c r="D118">
        <v>2219</v>
      </c>
      <c r="E118">
        <v>1981</v>
      </c>
      <c r="F118" s="5">
        <v>0.10730000000000001</v>
      </c>
      <c r="G118" s="6">
        <v>76.16</v>
      </c>
      <c r="H118">
        <v>22</v>
      </c>
      <c r="I118">
        <v>210</v>
      </c>
      <c r="J118">
        <v>6</v>
      </c>
      <c r="K118">
        <f>Fato_Producao[[#This Row],[embalagens_danificadas]]+Fato_Producao[[#This Row],[peso_errado]]+Fato_Producao[[#This Row],[impressao]]</f>
        <v>238</v>
      </c>
      <c r="L118" s="1" t="d">
        <v>2023-11-06</v>
      </c>
      <c r="M118">
        <v>39</v>
      </c>
      <c r="N118" s="7">
        <v>10.66</v>
      </c>
      <c r="O118" s="4" t="str">
        <f t="shared" si="3"/>
        <v>dezembro</v>
      </c>
      <c r="P118" s="4">
        <f t="shared" si="4"/>
        <v>2023</v>
      </c>
      <c r="Q118" s="4" t="str">
        <f t="shared" si="5"/>
        <v/>
      </c>
      <c r="R118" t="s">
        <v>24</v>
      </c>
    </row>
    <row r="119" spans="1:18" x14ac:dyDescent="0.3">
      <c r="A119" s="1" t="d">
        <v>2023-12-15</v>
      </c>
      <c r="B119">
        <v>45504</v>
      </c>
      <c r="C119" t="str">
        <f>VLOOKUP(Fato_Producao[[#This Row],[referencia]], Dim_Produtos!A:B,2,FALSE)</f>
        <v>pescada posta fritar</v>
      </c>
      <c r="D119">
        <v>3458</v>
      </c>
      <c r="E119">
        <v>3148</v>
      </c>
      <c r="F119" s="5">
        <v>8.9599999999999999E-2</v>
      </c>
      <c r="G119" s="6">
        <v>99.2</v>
      </c>
      <c r="H119">
        <v>20</v>
      </c>
      <c r="I119">
        <v>284</v>
      </c>
      <c r="J119">
        <v>6</v>
      </c>
      <c r="K119">
        <f>Fato_Producao[[#This Row],[embalagens_danificadas]]+Fato_Producao[[#This Row],[peso_errado]]+Fato_Producao[[#This Row],[impressao]]</f>
        <v>310</v>
      </c>
      <c r="L119" s="1" t="d">
        <v>2023-11-06</v>
      </c>
      <c r="M119">
        <v>39</v>
      </c>
      <c r="N119" s="7">
        <v>13.89</v>
      </c>
      <c r="O119" s="4" t="str">
        <f t="shared" si="3"/>
        <v>dezembro</v>
      </c>
      <c r="P119" s="4">
        <f t="shared" si="4"/>
        <v>2023</v>
      </c>
      <c r="Q119" s="4" t="str">
        <f t="shared" si="5"/>
        <v/>
      </c>
      <c r="R119" t="s">
        <v>24</v>
      </c>
    </row>
    <row r="120" spans="1:18" x14ac:dyDescent="0.3">
      <c r="A120" s="1" t="d">
        <v>2023-12-16</v>
      </c>
      <c r="B120">
        <v>45512</v>
      </c>
      <c r="C120" t="str">
        <f>VLOOKUP(Fato_Producao[[#This Row],[referencia]], Dim_Produtos!A:B,2,FALSE)</f>
        <v>red-fish posta</v>
      </c>
      <c r="D120">
        <v>4063</v>
      </c>
      <c r="E120">
        <v>3755</v>
      </c>
      <c r="F120" s="5">
        <v>7.5800000000000006E-2</v>
      </c>
      <c r="G120" s="6">
        <v>104.72</v>
      </c>
      <c r="H120">
        <v>14</v>
      </c>
      <c r="I120">
        <v>288</v>
      </c>
      <c r="J120">
        <v>6</v>
      </c>
      <c r="K120">
        <f>Fato_Producao[[#This Row],[embalagens_danificadas]]+Fato_Producao[[#This Row],[peso_errado]]+Fato_Producao[[#This Row],[impressao]]</f>
        <v>308</v>
      </c>
      <c r="L120" s="1" t="d">
        <v>2023-11-06</v>
      </c>
      <c r="M120">
        <v>40</v>
      </c>
      <c r="N120" s="7">
        <v>14.66</v>
      </c>
      <c r="O120" s="4" t="str">
        <f t="shared" si="3"/>
        <v>dezembro</v>
      </c>
      <c r="P120" s="4">
        <f t="shared" si="4"/>
        <v>2023</v>
      </c>
      <c r="Q120" s="4" t="str">
        <f t="shared" si="5"/>
        <v/>
      </c>
      <c r="R120" t="s">
        <v>24</v>
      </c>
    </row>
    <row r="121" spans="1:18" x14ac:dyDescent="0.3">
      <c r="A121" s="1" t="d">
        <v>2023-12-17</v>
      </c>
      <c r="B121">
        <v>45510</v>
      </c>
      <c r="C121" t="str">
        <f>VLOOKUP(Fato_Producao[[#This Row],[referencia]], Dim_Produtos!A:B,2,FALSE)</f>
        <v>tiras pota</v>
      </c>
      <c r="D121">
        <v>1894</v>
      </c>
      <c r="E121">
        <v>1659</v>
      </c>
      <c r="F121" s="5">
        <v>0.1241</v>
      </c>
      <c r="G121" s="6">
        <v>75.2</v>
      </c>
      <c r="H121">
        <v>28</v>
      </c>
      <c r="I121">
        <v>201</v>
      </c>
      <c r="J121">
        <v>6</v>
      </c>
      <c r="K121">
        <f>Fato_Producao[[#This Row],[embalagens_danificadas]]+Fato_Producao[[#This Row],[peso_errado]]+Fato_Producao[[#This Row],[impressao]]</f>
        <v>235</v>
      </c>
      <c r="L121" s="1" t="d">
        <v>2023-11-06</v>
      </c>
      <c r="M121">
        <v>41</v>
      </c>
      <c r="N121" s="7">
        <v>10.53</v>
      </c>
      <c r="O121" s="4" t="str">
        <f t="shared" si="3"/>
        <v>dezembro</v>
      </c>
      <c r="P121" s="4">
        <f t="shared" si="4"/>
        <v>2023</v>
      </c>
      <c r="Q121" s="4" t="str">
        <f t="shared" si="5"/>
        <v/>
      </c>
      <c r="R121" t="s">
        <v>24</v>
      </c>
    </row>
    <row r="122" spans="1:18" x14ac:dyDescent="0.3">
      <c r="A122" s="1" t="d">
        <v>2023-12-17</v>
      </c>
      <c r="B122">
        <v>45510</v>
      </c>
      <c r="C122" t="str">
        <f>VLOOKUP(Fato_Producao[[#This Row],[referencia]], Dim_Produtos!A:B,2,FALSE)</f>
        <v>tiras pota</v>
      </c>
      <c r="D122">
        <v>3916</v>
      </c>
      <c r="E122">
        <v>3574</v>
      </c>
      <c r="F122" s="5">
        <v>8.7300000000000003E-2</v>
      </c>
      <c r="G122" s="6">
        <v>109.44</v>
      </c>
      <c r="H122">
        <v>34</v>
      </c>
      <c r="I122">
        <v>300</v>
      </c>
      <c r="J122">
        <v>8</v>
      </c>
      <c r="K122">
        <f>Fato_Producao[[#This Row],[embalagens_danificadas]]+Fato_Producao[[#This Row],[peso_errado]]+Fato_Producao[[#This Row],[impressao]]</f>
        <v>342</v>
      </c>
      <c r="L122" s="1" t="d">
        <v>2023-11-06</v>
      </c>
      <c r="M122">
        <v>41</v>
      </c>
      <c r="N122" s="7">
        <v>15.32</v>
      </c>
      <c r="O122" s="4" t="str">
        <f t="shared" si="3"/>
        <v>dezembro</v>
      </c>
      <c r="P122" s="4">
        <f t="shared" si="4"/>
        <v>2023</v>
      </c>
      <c r="Q122" s="4" t="str">
        <f t="shared" si="5"/>
        <v/>
      </c>
      <c r="R122" t="s">
        <v>24</v>
      </c>
    </row>
    <row r="123" spans="1:18" x14ac:dyDescent="0.3">
      <c r="A123" s="1" t="d">
        <v>2023-12-18</v>
      </c>
      <c r="B123">
        <v>45507</v>
      </c>
      <c r="C123" t="str">
        <f>VLOOKUP(Fato_Producao[[#This Row],[referencia]], Dim_Produtos!A:B,2,FALSE)</f>
        <v>salmao posta</v>
      </c>
      <c r="D123">
        <v>2784</v>
      </c>
      <c r="E123">
        <v>2589</v>
      </c>
      <c r="F123" s="5">
        <v>7.0000000000000007E-2</v>
      </c>
      <c r="G123" s="6">
        <v>68.25</v>
      </c>
      <c r="H123">
        <v>6</v>
      </c>
      <c r="I123">
        <v>185</v>
      </c>
      <c r="J123">
        <v>4</v>
      </c>
      <c r="K123">
        <f>Fato_Producao[[#This Row],[embalagens_danificadas]]+Fato_Producao[[#This Row],[peso_errado]]+Fato_Producao[[#This Row],[impressao]]</f>
        <v>195</v>
      </c>
      <c r="L123" s="1" t="d">
        <v>2023-11-06</v>
      </c>
      <c r="M123">
        <v>42</v>
      </c>
      <c r="N123" s="7">
        <v>10.92</v>
      </c>
      <c r="O123" s="4" t="str">
        <f t="shared" si="3"/>
        <v>dezembro</v>
      </c>
      <c r="P123" s="4">
        <f t="shared" si="4"/>
        <v>2023</v>
      </c>
      <c r="Q123" s="4" t="str">
        <f t="shared" si="5"/>
        <v/>
      </c>
      <c r="R123" t="s">
        <v>24</v>
      </c>
    </row>
    <row r="124" spans="1:18" x14ac:dyDescent="0.3">
      <c r="A124" s="1" t="d">
        <v>2023-12-18</v>
      </c>
      <c r="B124">
        <v>45511</v>
      </c>
      <c r="C124" t="str">
        <f>VLOOKUP(Fato_Producao[[#This Row],[referencia]], Dim_Produtos!A:B,2,FALSE)</f>
        <v>lula limpa</v>
      </c>
      <c r="D124">
        <v>2155</v>
      </c>
      <c r="E124">
        <v>1952</v>
      </c>
      <c r="F124" s="5">
        <v>9.4200000000000006E-2</v>
      </c>
      <c r="G124" s="6">
        <v>64.959999999999994</v>
      </c>
      <c r="H124">
        <v>18</v>
      </c>
      <c r="I124">
        <v>183</v>
      </c>
      <c r="J124">
        <v>2</v>
      </c>
      <c r="K124">
        <f>Fato_Producao[[#This Row],[embalagens_danificadas]]+Fato_Producao[[#This Row],[peso_errado]]+Fato_Producao[[#This Row],[impressao]]</f>
        <v>203</v>
      </c>
      <c r="L124" s="1" t="d">
        <v>2023-11-06</v>
      </c>
      <c r="M124">
        <v>42</v>
      </c>
      <c r="N124" s="7">
        <v>9.09</v>
      </c>
      <c r="O124" s="4" t="str">
        <f t="shared" si="3"/>
        <v>dezembro</v>
      </c>
      <c r="P124" s="4">
        <f t="shared" si="4"/>
        <v>2023</v>
      </c>
      <c r="Q124" s="4" t="str">
        <f t="shared" si="5"/>
        <v/>
      </c>
      <c r="R124" t="s">
        <v>24</v>
      </c>
    </row>
    <row r="125" spans="1:18" x14ac:dyDescent="0.3">
      <c r="A125" s="1" t="d">
        <v>2023-12-19</v>
      </c>
      <c r="B125">
        <v>45510</v>
      </c>
      <c r="C125" t="str">
        <f>VLOOKUP(Fato_Producao[[#This Row],[referencia]], Dim_Produtos!A:B,2,FALSE)</f>
        <v>tiras pota</v>
      </c>
      <c r="D125">
        <v>3230</v>
      </c>
      <c r="E125">
        <v>2862</v>
      </c>
      <c r="F125" s="5">
        <v>0.1139</v>
      </c>
      <c r="G125" s="6">
        <v>117.76</v>
      </c>
      <c r="H125">
        <v>35</v>
      </c>
      <c r="I125">
        <v>328</v>
      </c>
      <c r="J125">
        <v>5</v>
      </c>
      <c r="K125">
        <f>Fato_Producao[[#This Row],[embalagens_danificadas]]+Fato_Producao[[#This Row],[peso_errado]]+Fato_Producao[[#This Row],[impressao]]</f>
        <v>368</v>
      </c>
      <c r="L125" s="1" t="d">
        <v>2023-11-06</v>
      </c>
      <c r="M125">
        <v>43</v>
      </c>
      <c r="N125" s="7">
        <v>16.489999999999998</v>
      </c>
      <c r="O125" s="4" t="str">
        <f t="shared" si="3"/>
        <v>dezembro</v>
      </c>
      <c r="P125" s="4">
        <f t="shared" si="4"/>
        <v>2023</v>
      </c>
      <c r="Q125" s="4" t="str">
        <f t="shared" si="5"/>
        <v/>
      </c>
      <c r="R125" t="s">
        <v>24</v>
      </c>
    </row>
    <row r="126" spans="1:18" x14ac:dyDescent="0.3">
      <c r="A126" s="1" t="d">
        <v>2023-12-19</v>
      </c>
      <c r="B126">
        <v>45503</v>
      </c>
      <c r="C126" t="str">
        <f>VLOOKUP(Fato_Producao[[#This Row],[referencia]], Dim_Produtos!A:B,2,FALSE)</f>
        <v>sardinha pequena</v>
      </c>
      <c r="D126">
        <v>3005</v>
      </c>
      <c r="E126">
        <v>2752</v>
      </c>
      <c r="F126" s="5">
        <v>8.4199999999999997E-2</v>
      </c>
      <c r="G126" s="6">
        <v>65.78</v>
      </c>
      <c r="H126">
        <v>14</v>
      </c>
      <c r="I126">
        <v>233</v>
      </c>
      <c r="J126">
        <v>6</v>
      </c>
      <c r="K126">
        <f>Fato_Producao[[#This Row],[embalagens_danificadas]]+Fato_Producao[[#This Row],[peso_errado]]+Fato_Producao[[#This Row],[impressao]]</f>
        <v>253</v>
      </c>
      <c r="L126" s="1" t="d">
        <v>2023-11-06</v>
      </c>
      <c r="M126">
        <v>43</v>
      </c>
      <c r="N126" s="7">
        <v>7.24</v>
      </c>
      <c r="O126" s="4" t="str">
        <f t="shared" si="3"/>
        <v>dezembro</v>
      </c>
      <c r="P126" s="4">
        <f t="shared" si="4"/>
        <v>2023</v>
      </c>
      <c r="Q126" s="4" t="str">
        <f t="shared" si="5"/>
        <v/>
      </c>
      <c r="R126" t="s">
        <v>24</v>
      </c>
    </row>
    <row r="127" spans="1:18" x14ac:dyDescent="0.3">
      <c r="A127" s="1" t="d">
        <v>2023-12-20</v>
      </c>
      <c r="B127">
        <v>45504</v>
      </c>
      <c r="C127" t="str">
        <f>VLOOKUP(Fato_Producao[[#This Row],[referencia]], Dim_Produtos!A:B,2,FALSE)</f>
        <v>pescada posta fritar</v>
      </c>
      <c r="D127">
        <v>2001</v>
      </c>
      <c r="E127">
        <v>1809</v>
      </c>
      <c r="F127" s="5">
        <v>9.6000000000000002E-2</v>
      </c>
      <c r="G127" s="6">
        <v>61.44</v>
      </c>
      <c r="H127">
        <v>14</v>
      </c>
      <c r="I127">
        <v>175</v>
      </c>
      <c r="J127">
        <v>3</v>
      </c>
      <c r="K127">
        <f>Fato_Producao[[#This Row],[embalagens_danificadas]]+Fato_Producao[[#This Row],[peso_errado]]+Fato_Producao[[#This Row],[impressao]]</f>
        <v>192</v>
      </c>
      <c r="L127" s="1" t="d">
        <v>2023-11-06</v>
      </c>
      <c r="M127">
        <v>44</v>
      </c>
      <c r="N127" s="7">
        <v>8.6</v>
      </c>
      <c r="O127" s="4" t="str">
        <f t="shared" si="3"/>
        <v>dezembro</v>
      </c>
      <c r="P127" s="4">
        <f t="shared" si="4"/>
        <v>2023</v>
      </c>
      <c r="Q127" s="4" t="str">
        <f t="shared" si="5"/>
        <v/>
      </c>
      <c r="R127" t="s">
        <v>24</v>
      </c>
    </row>
    <row r="128" spans="1:18" x14ac:dyDescent="0.3">
      <c r="A128" s="1" t="d">
        <v>2023-12-21</v>
      </c>
      <c r="B128">
        <v>45508</v>
      </c>
      <c r="C128" t="str">
        <f>VLOOKUP(Fato_Producao[[#This Row],[referencia]], Dim_Produtos!A:B,2,FALSE)</f>
        <v>lula suja</v>
      </c>
      <c r="D128">
        <v>3425</v>
      </c>
      <c r="E128">
        <v>3048</v>
      </c>
      <c r="F128" s="5">
        <v>0.1101</v>
      </c>
      <c r="G128" s="6">
        <v>120.64</v>
      </c>
      <c r="H128">
        <v>50</v>
      </c>
      <c r="I128">
        <v>320</v>
      </c>
      <c r="J128">
        <v>7</v>
      </c>
      <c r="K128">
        <f>Fato_Producao[[#This Row],[embalagens_danificadas]]+Fato_Producao[[#This Row],[peso_errado]]+Fato_Producao[[#This Row],[impressao]]</f>
        <v>377</v>
      </c>
      <c r="L128" s="1" t="d">
        <v>2023-11-06</v>
      </c>
      <c r="M128">
        <v>45</v>
      </c>
      <c r="N128" s="7">
        <v>16.89</v>
      </c>
      <c r="O128" s="4" t="str">
        <f t="shared" si="3"/>
        <v>dezembro</v>
      </c>
      <c r="P128" s="4">
        <f t="shared" si="4"/>
        <v>2023</v>
      </c>
      <c r="Q128" s="4" t="str">
        <f t="shared" si="5"/>
        <v/>
      </c>
      <c r="R128" t="s">
        <v>24</v>
      </c>
    </row>
    <row r="129" spans="1:18" x14ac:dyDescent="0.3">
      <c r="A129" s="1" t="d">
        <v>2023-12-22</v>
      </c>
      <c r="B129">
        <v>45511</v>
      </c>
      <c r="C129" t="str">
        <f>VLOOKUP(Fato_Producao[[#This Row],[referencia]], Dim_Produtos!A:B,2,FALSE)</f>
        <v>lula limpa</v>
      </c>
      <c r="D129">
        <v>2562</v>
      </c>
      <c r="E129">
        <v>2281</v>
      </c>
      <c r="F129" s="5">
        <v>0.10970000000000001</v>
      </c>
      <c r="G129" s="6">
        <v>89.92</v>
      </c>
      <c r="H129">
        <v>26</v>
      </c>
      <c r="I129">
        <v>249</v>
      </c>
      <c r="J129">
        <v>6</v>
      </c>
      <c r="K129">
        <f>Fato_Producao[[#This Row],[embalagens_danificadas]]+Fato_Producao[[#This Row],[peso_errado]]+Fato_Producao[[#This Row],[impressao]]</f>
        <v>281</v>
      </c>
      <c r="L129" s="1" t="d">
        <v>2023-11-06</v>
      </c>
      <c r="M129">
        <v>46</v>
      </c>
      <c r="N129" s="7">
        <v>12.59</v>
      </c>
      <c r="O129" s="4" t="str">
        <f t="shared" si="3"/>
        <v>dezembro</v>
      </c>
      <c r="P129" s="4">
        <f t="shared" si="4"/>
        <v>2023</v>
      </c>
      <c r="Q129" s="4" t="str">
        <f t="shared" si="5"/>
        <v/>
      </c>
      <c r="R129" t="s">
        <v>24</v>
      </c>
    </row>
    <row r="130" spans="1:18" x14ac:dyDescent="0.3">
      <c r="A130" s="1" t="d">
        <v>2023-12-23</v>
      </c>
      <c r="B130">
        <v>45507</v>
      </c>
      <c r="C130" t="str">
        <f>VLOOKUP(Fato_Producao[[#This Row],[referencia]], Dim_Produtos!A:B,2,FALSE)</f>
        <v>salmao posta</v>
      </c>
      <c r="D130">
        <v>2984</v>
      </c>
      <c r="E130">
        <v>2710</v>
      </c>
      <c r="F130" s="5">
        <v>9.1800000000000007E-2</v>
      </c>
      <c r="G130" s="6">
        <v>95.9</v>
      </c>
      <c r="H130">
        <v>18</v>
      </c>
      <c r="I130">
        <v>250</v>
      </c>
      <c r="J130">
        <v>6</v>
      </c>
      <c r="K130">
        <f>Fato_Producao[[#This Row],[embalagens_danificadas]]+Fato_Producao[[#This Row],[peso_errado]]+Fato_Producao[[#This Row],[impressao]]</f>
        <v>274</v>
      </c>
      <c r="L130" s="1" t="d">
        <v>2023-11-06</v>
      </c>
      <c r="M130">
        <v>47</v>
      </c>
      <c r="N130" s="7">
        <v>15.34</v>
      </c>
      <c r="O130" s="4" t="str">
        <f t="shared" ref="O130:O193" si="6">TEXT(A130, "mmmm")</f>
        <v>dezembro</v>
      </c>
      <c r="P130" s="4">
        <f t="shared" ref="P130:P193" si="7">YEAR(A130)</f>
        <v>2023</v>
      </c>
      <c r="Q130" s="4" t="str">
        <f t="shared" ref="Q130:Q193" si="8">IF(M131 &gt;= M130, "", M130)</f>
        <v/>
      </c>
      <c r="R130" t="s">
        <v>24</v>
      </c>
    </row>
    <row r="131" spans="1:18" x14ac:dyDescent="0.3">
      <c r="A131" s="1" t="d">
        <v>2023-12-23</v>
      </c>
      <c r="B131">
        <v>45506</v>
      </c>
      <c r="C131" t="str">
        <f>VLOOKUP(Fato_Producao[[#This Row],[referencia]], Dim_Produtos!A:B,2,FALSE)</f>
        <v>perca posta</v>
      </c>
      <c r="D131">
        <v>2648</v>
      </c>
      <c r="E131">
        <v>2482</v>
      </c>
      <c r="F131" s="5">
        <v>6.2700000000000006E-2</v>
      </c>
      <c r="G131" s="6">
        <v>58.1</v>
      </c>
      <c r="H131">
        <v>11</v>
      </c>
      <c r="I131">
        <v>152</v>
      </c>
      <c r="J131">
        <v>3</v>
      </c>
      <c r="K131">
        <f>Fato_Producao[[#This Row],[embalagens_danificadas]]+Fato_Producao[[#This Row],[peso_errado]]+Fato_Producao[[#This Row],[impressao]]</f>
        <v>166</v>
      </c>
      <c r="L131" s="1" t="d">
        <v>2023-11-06</v>
      </c>
      <c r="M131">
        <v>47</v>
      </c>
      <c r="N131" s="7">
        <v>8.7100000000000009</v>
      </c>
      <c r="O131" s="4" t="str">
        <f t="shared" si="6"/>
        <v>dezembro</v>
      </c>
      <c r="P131" s="4">
        <f t="shared" si="7"/>
        <v>2023</v>
      </c>
      <c r="Q131" s="4" t="str">
        <f t="shared" si="8"/>
        <v/>
      </c>
      <c r="R131" t="s">
        <v>24</v>
      </c>
    </row>
    <row r="132" spans="1:18" x14ac:dyDescent="0.3">
      <c r="A132" s="1" t="d">
        <v>2023-12-24</v>
      </c>
      <c r="B132">
        <v>45512</v>
      </c>
      <c r="C132" t="str">
        <f>VLOOKUP(Fato_Producao[[#This Row],[referencia]], Dim_Produtos!A:B,2,FALSE)</f>
        <v>red-fish posta</v>
      </c>
      <c r="D132">
        <v>3183</v>
      </c>
      <c r="E132">
        <v>2840</v>
      </c>
      <c r="F132" s="5">
        <v>0.10780000000000001</v>
      </c>
      <c r="G132" s="6">
        <v>116.62</v>
      </c>
      <c r="H132">
        <v>13</v>
      </c>
      <c r="I132">
        <v>325</v>
      </c>
      <c r="J132">
        <v>5</v>
      </c>
      <c r="K132">
        <f>Fato_Producao[[#This Row],[embalagens_danificadas]]+Fato_Producao[[#This Row],[peso_errado]]+Fato_Producao[[#This Row],[impressao]]</f>
        <v>343</v>
      </c>
      <c r="L132" s="1" t="d">
        <v>2023-11-06</v>
      </c>
      <c r="M132">
        <v>48</v>
      </c>
      <c r="N132" s="7">
        <v>16.329999999999998</v>
      </c>
      <c r="O132" s="4" t="str">
        <f t="shared" si="6"/>
        <v>dezembro</v>
      </c>
      <c r="P132" s="4">
        <f t="shared" si="7"/>
        <v>2023</v>
      </c>
      <c r="Q132" s="4" t="str">
        <f t="shared" si="8"/>
        <v/>
      </c>
      <c r="R132" t="s">
        <v>24</v>
      </c>
    </row>
    <row r="133" spans="1:18" x14ac:dyDescent="0.3">
      <c r="A133" s="1" t="d">
        <v>2023-12-25</v>
      </c>
      <c r="B133">
        <v>45513</v>
      </c>
      <c r="C133" t="str">
        <f>VLOOKUP(Fato_Producao[[#This Row],[referencia]], Dim_Produtos!A:B,2,FALSE)</f>
        <v>filete pescada</v>
      </c>
      <c r="D133">
        <v>4132</v>
      </c>
      <c r="E133">
        <v>3787</v>
      </c>
      <c r="F133" s="5">
        <v>8.3500000000000005E-2</v>
      </c>
      <c r="G133" s="6">
        <v>110.4</v>
      </c>
      <c r="H133">
        <v>16</v>
      </c>
      <c r="I133">
        <v>320</v>
      </c>
      <c r="J133">
        <v>9</v>
      </c>
      <c r="K133">
        <f>Fato_Producao[[#This Row],[embalagens_danificadas]]+Fato_Producao[[#This Row],[peso_errado]]+Fato_Producao[[#This Row],[impressao]]</f>
        <v>345</v>
      </c>
      <c r="L133" s="1" t="d">
        <v>2023-11-06</v>
      </c>
      <c r="M133">
        <v>49</v>
      </c>
      <c r="N133" s="7">
        <v>14.35</v>
      </c>
      <c r="O133" s="4" t="str">
        <f t="shared" si="6"/>
        <v>dezembro</v>
      </c>
      <c r="P133" s="4">
        <f t="shared" si="7"/>
        <v>2023</v>
      </c>
      <c r="Q133" s="4" t="str">
        <f t="shared" si="8"/>
        <v/>
      </c>
      <c r="R133" t="s">
        <v>24</v>
      </c>
    </row>
    <row r="134" spans="1:18" x14ac:dyDescent="0.3">
      <c r="A134" s="1" t="d">
        <v>2023-12-25</v>
      </c>
      <c r="B134">
        <v>45502</v>
      </c>
      <c r="C134" t="str">
        <f>VLOOKUP(Fato_Producao[[#This Row],[referencia]], Dim_Produtos!A:B,2,FALSE)</f>
        <v>carapau pelim</v>
      </c>
      <c r="D134">
        <v>3865</v>
      </c>
      <c r="E134">
        <v>3462</v>
      </c>
      <c r="F134" s="5">
        <v>0.1043</v>
      </c>
      <c r="G134" s="6">
        <v>120.9</v>
      </c>
      <c r="H134">
        <v>103</v>
      </c>
      <c r="I134">
        <v>290</v>
      </c>
      <c r="J134">
        <v>10</v>
      </c>
      <c r="K134">
        <f>Fato_Producao[[#This Row],[embalagens_danificadas]]+Fato_Producao[[#This Row],[peso_errado]]+Fato_Producao[[#This Row],[impressao]]</f>
        <v>403</v>
      </c>
      <c r="L134" s="1" t="d">
        <v>2023-11-06</v>
      </c>
      <c r="M134">
        <v>49</v>
      </c>
      <c r="N134" s="7">
        <v>15.72</v>
      </c>
      <c r="O134" s="4" t="str">
        <f t="shared" si="6"/>
        <v>dezembro</v>
      </c>
      <c r="P134" s="4">
        <f t="shared" si="7"/>
        <v>2023</v>
      </c>
      <c r="Q134" s="4" t="str">
        <f t="shared" si="8"/>
        <v/>
      </c>
      <c r="R134" t="s">
        <v>24</v>
      </c>
    </row>
    <row r="135" spans="1:18" x14ac:dyDescent="0.3">
      <c r="A135" s="1" t="d">
        <v>2023-12-26</v>
      </c>
      <c r="B135">
        <v>45502</v>
      </c>
      <c r="C135" t="str">
        <f>VLOOKUP(Fato_Producao[[#This Row],[referencia]], Dim_Produtos!A:B,2,FALSE)</f>
        <v>carapau pelim</v>
      </c>
      <c r="D135">
        <v>2630</v>
      </c>
      <c r="E135">
        <v>2407</v>
      </c>
      <c r="F135" s="5">
        <v>8.48E-2</v>
      </c>
      <c r="G135" s="6">
        <v>66.900000000000006</v>
      </c>
      <c r="H135">
        <v>50</v>
      </c>
      <c r="I135">
        <v>170</v>
      </c>
      <c r="J135">
        <v>3</v>
      </c>
      <c r="K135">
        <f>Fato_Producao[[#This Row],[embalagens_danificadas]]+Fato_Producao[[#This Row],[peso_errado]]+Fato_Producao[[#This Row],[impressao]]</f>
        <v>223</v>
      </c>
      <c r="L135" s="1" t="d">
        <v>2023-11-06</v>
      </c>
      <c r="M135">
        <v>50</v>
      </c>
      <c r="N135" s="7">
        <v>8.6999999999999993</v>
      </c>
      <c r="O135" s="4" t="str">
        <f t="shared" si="6"/>
        <v>dezembro</v>
      </c>
      <c r="P135" s="4">
        <f t="shared" si="7"/>
        <v>2023</v>
      </c>
      <c r="Q135" s="4" t="str">
        <f t="shared" si="8"/>
        <v/>
      </c>
      <c r="R135" t="s">
        <v>24</v>
      </c>
    </row>
    <row r="136" spans="1:18" x14ac:dyDescent="0.3">
      <c r="A136" s="1" t="d">
        <v>2023-12-26</v>
      </c>
      <c r="B136">
        <v>45502</v>
      </c>
      <c r="C136" t="str">
        <f>VLOOKUP(Fato_Producao[[#This Row],[referencia]], Dim_Produtos!A:B,2,FALSE)</f>
        <v>carapau pelim</v>
      </c>
      <c r="D136">
        <v>2599</v>
      </c>
      <c r="E136">
        <v>2340</v>
      </c>
      <c r="F136" s="5">
        <v>9.9699999999999997E-2</v>
      </c>
      <c r="G136" s="6">
        <v>77.7</v>
      </c>
      <c r="H136">
        <v>76</v>
      </c>
      <c r="I136">
        <v>173</v>
      </c>
      <c r="J136">
        <v>10</v>
      </c>
      <c r="K136">
        <f>Fato_Producao[[#This Row],[embalagens_danificadas]]+Fato_Producao[[#This Row],[peso_errado]]+Fato_Producao[[#This Row],[impressao]]</f>
        <v>259</v>
      </c>
      <c r="L136" s="1" t="d">
        <v>2023-11-06</v>
      </c>
      <c r="M136">
        <v>50</v>
      </c>
      <c r="N136" s="7">
        <v>10.1</v>
      </c>
      <c r="O136" s="4" t="str">
        <f t="shared" si="6"/>
        <v>dezembro</v>
      </c>
      <c r="P136" s="4">
        <f t="shared" si="7"/>
        <v>2023</v>
      </c>
      <c r="Q136" s="4" t="str">
        <f t="shared" si="8"/>
        <v/>
      </c>
      <c r="R136" t="s">
        <v>24</v>
      </c>
    </row>
    <row r="137" spans="1:18" x14ac:dyDescent="0.3">
      <c r="A137" s="1" t="d">
        <v>2023-12-27</v>
      </c>
      <c r="B137">
        <v>45506</v>
      </c>
      <c r="C137" t="str">
        <f>VLOOKUP(Fato_Producao[[#This Row],[referencia]], Dim_Produtos!A:B,2,FALSE)</f>
        <v>perca posta</v>
      </c>
      <c r="D137">
        <v>2632</v>
      </c>
      <c r="E137">
        <v>2417</v>
      </c>
      <c r="F137" s="5">
        <v>8.1699999999999995E-2</v>
      </c>
      <c r="G137" s="6">
        <v>75.25</v>
      </c>
      <c r="H137">
        <v>14</v>
      </c>
      <c r="I137">
        <v>198</v>
      </c>
      <c r="J137">
        <v>3</v>
      </c>
      <c r="K137">
        <f>Fato_Producao[[#This Row],[embalagens_danificadas]]+Fato_Producao[[#This Row],[peso_errado]]+Fato_Producao[[#This Row],[impressao]]</f>
        <v>215</v>
      </c>
      <c r="L137" s="1" t="d">
        <v>2023-11-06</v>
      </c>
      <c r="M137">
        <v>51</v>
      </c>
      <c r="N137" s="7">
        <v>11.29</v>
      </c>
      <c r="O137" s="4" t="str">
        <f t="shared" si="6"/>
        <v>dezembro</v>
      </c>
      <c r="P137" s="4">
        <f t="shared" si="7"/>
        <v>2023</v>
      </c>
      <c r="Q137" s="4" t="str">
        <f t="shared" si="8"/>
        <v/>
      </c>
      <c r="R137" t="s">
        <v>24</v>
      </c>
    </row>
    <row r="138" spans="1:18" x14ac:dyDescent="0.3">
      <c r="A138" s="1" t="d">
        <v>2023-12-27</v>
      </c>
      <c r="B138">
        <v>45514</v>
      </c>
      <c r="C138" t="str">
        <f>VLOOKUP(Fato_Producao[[#This Row],[referencia]], Dim_Produtos!A:B,2,FALSE)</f>
        <v>sardinha pequena</v>
      </c>
      <c r="D138">
        <v>2127</v>
      </c>
      <c r="E138">
        <v>1907</v>
      </c>
      <c r="F138" s="5">
        <v>0.10340000000000001</v>
      </c>
      <c r="G138" s="6">
        <v>66</v>
      </c>
      <c r="H138">
        <v>10</v>
      </c>
      <c r="I138">
        <v>207</v>
      </c>
      <c r="J138">
        <v>3</v>
      </c>
      <c r="K138">
        <f>Fato_Producao[[#This Row],[embalagens_danificadas]]+Fato_Producao[[#This Row],[peso_errado]]+Fato_Producao[[#This Row],[impressao]]</f>
        <v>220</v>
      </c>
      <c r="L138" s="1" t="d">
        <v>2023-11-06</v>
      </c>
      <c r="M138">
        <v>51</v>
      </c>
      <c r="N138" s="7">
        <v>7.92</v>
      </c>
      <c r="O138" s="4" t="str">
        <f t="shared" si="6"/>
        <v>dezembro</v>
      </c>
      <c r="P138" s="4">
        <f t="shared" si="7"/>
        <v>2023</v>
      </c>
      <c r="Q138" s="4" t="str">
        <f t="shared" si="8"/>
        <v/>
      </c>
      <c r="R138" t="s">
        <v>24</v>
      </c>
    </row>
    <row r="139" spans="1:18" x14ac:dyDescent="0.3">
      <c r="A139" s="1" t="d">
        <v>2023-12-28</v>
      </c>
      <c r="B139">
        <v>45507</v>
      </c>
      <c r="C139" t="str">
        <f>VLOOKUP(Fato_Producao[[#This Row],[referencia]], Dim_Produtos!A:B,2,FALSE)</f>
        <v>salmao posta</v>
      </c>
      <c r="D139">
        <v>3111</v>
      </c>
      <c r="E139">
        <v>2850</v>
      </c>
      <c r="F139" s="5">
        <v>8.3900000000000002E-2</v>
      </c>
      <c r="G139" s="6">
        <v>91.35</v>
      </c>
      <c r="H139">
        <v>8</v>
      </c>
      <c r="I139">
        <v>248</v>
      </c>
      <c r="J139">
        <v>5</v>
      </c>
      <c r="K139">
        <f>Fato_Producao[[#This Row],[embalagens_danificadas]]+Fato_Producao[[#This Row],[peso_errado]]+Fato_Producao[[#This Row],[impressao]]</f>
        <v>261</v>
      </c>
      <c r="L139" s="1" t="d">
        <v>2023-11-06</v>
      </c>
      <c r="M139">
        <v>52</v>
      </c>
      <c r="N139" s="7">
        <v>14.62</v>
      </c>
      <c r="O139" s="4" t="str">
        <f t="shared" si="6"/>
        <v>dezembro</v>
      </c>
      <c r="P139" s="4">
        <f t="shared" si="7"/>
        <v>2023</v>
      </c>
      <c r="Q139" s="4" t="str">
        <f t="shared" si="8"/>
        <v/>
      </c>
      <c r="R139" t="s">
        <v>24</v>
      </c>
    </row>
    <row r="140" spans="1:18" x14ac:dyDescent="0.3">
      <c r="A140" s="1" t="d">
        <v>2023-12-29</v>
      </c>
      <c r="B140">
        <v>45504</v>
      </c>
      <c r="C140" t="str">
        <f>VLOOKUP(Fato_Producao[[#This Row],[referencia]], Dim_Produtos!A:B,2,FALSE)</f>
        <v>pescada posta fritar</v>
      </c>
      <c r="D140">
        <v>2709</v>
      </c>
      <c r="E140">
        <v>2438</v>
      </c>
      <c r="F140" s="5">
        <v>0.1</v>
      </c>
      <c r="G140" s="6">
        <v>86.72</v>
      </c>
      <c r="H140">
        <v>79</v>
      </c>
      <c r="I140">
        <v>91</v>
      </c>
      <c r="J140">
        <v>101</v>
      </c>
      <c r="K140">
        <f>Fato_Producao[[#This Row],[embalagens_danificadas]]+Fato_Producao[[#This Row],[peso_errado]]+Fato_Producao[[#This Row],[impressao]]</f>
        <v>271</v>
      </c>
      <c r="L140" s="1" t="d">
        <v>2023-11-06</v>
      </c>
      <c r="M140">
        <v>53</v>
      </c>
      <c r="N140" s="7">
        <v>12.14</v>
      </c>
      <c r="O140" s="4" t="str">
        <f t="shared" si="6"/>
        <v>dezembro</v>
      </c>
      <c r="P140" s="4">
        <f t="shared" si="7"/>
        <v>2023</v>
      </c>
      <c r="Q140" s="4" t="str">
        <f t="shared" si="8"/>
        <v/>
      </c>
      <c r="R140" t="s">
        <v>50</v>
      </c>
    </row>
    <row r="141" spans="1:18" x14ac:dyDescent="0.3">
      <c r="A141" s="1" t="d">
        <v>2023-12-29</v>
      </c>
      <c r="B141">
        <v>45502</v>
      </c>
      <c r="C141" t="str">
        <f>VLOOKUP(Fato_Producao[[#This Row],[referencia]], Dim_Produtos!A:B,2,FALSE)</f>
        <v>carapau pelim</v>
      </c>
      <c r="D141">
        <v>2714</v>
      </c>
      <c r="E141">
        <v>2459</v>
      </c>
      <c r="F141" s="5">
        <v>9.4E-2</v>
      </c>
      <c r="G141" s="6">
        <v>76.5</v>
      </c>
      <c r="H141">
        <v>61</v>
      </c>
      <c r="I141">
        <v>185</v>
      </c>
      <c r="J141">
        <v>9</v>
      </c>
      <c r="K141">
        <f>Fato_Producao[[#This Row],[embalagens_danificadas]]+Fato_Producao[[#This Row],[peso_errado]]+Fato_Producao[[#This Row],[impressao]]</f>
        <v>255</v>
      </c>
      <c r="L141" s="1" t="d">
        <v>2023-11-06</v>
      </c>
      <c r="M141">
        <v>53</v>
      </c>
      <c r="N141" s="7">
        <v>9.9499999999999993</v>
      </c>
      <c r="O141" s="4" t="str">
        <f t="shared" si="6"/>
        <v>dezembro</v>
      </c>
      <c r="P141" s="4">
        <f t="shared" si="7"/>
        <v>2023</v>
      </c>
      <c r="Q141" s="4" t="str">
        <f t="shared" si="8"/>
        <v/>
      </c>
      <c r="R141" t="s">
        <v>24</v>
      </c>
    </row>
    <row r="142" spans="1:18" x14ac:dyDescent="0.3">
      <c r="A142" s="1" t="d">
        <v>2023-12-30</v>
      </c>
      <c r="B142">
        <v>45503</v>
      </c>
      <c r="C142" t="str">
        <f>VLOOKUP(Fato_Producao[[#This Row],[referencia]], Dim_Produtos!A:B,2,FALSE)</f>
        <v>sardinha pequena</v>
      </c>
      <c r="D142">
        <v>2545</v>
      </c>
      <c r="E142">
        <v>2307</v>
      </c>
      <c r="F142" s="5">
        <v>9.35E-2</v>
      </c>
      <c r="G142" s="6">
        <v>61.88</v>
      </c>
      <c r="H142">
        <v>76</v>
      </c>
      <c r="I142">
        <v>29</v>
      </c>
      <c r="J142">
        <v>133</v>
      </c>
      <c r="K142">
        <f>Fato_Producao[[#This Row],[embalagens_danificadas]]+Fato_Producao[[#This Row],[peso_errado]]+Fato_Producao[[#This Row],[impressao]]</f>
        <v>238</v>
      </c>
      <c r="L142" s="1" t="d">
        <v>2023-11-06</v>
      </c>
      <c r="M142">
        <v>54</v>
      </c>
      <c r="N142" s="7">
        <v>6.81</v>
      </c>
      <c r="O142" s="4" t="str">
        <f t="shared" si="6"/>
        <v>dezembro</v>
      </c>
      <c r="P142" s="4">
        <f t="shared" si="7"/>
        <v>2023</v>
      </c>
      <c r="Q142" s="4" t="str">
        <f t="shared" si="8"/>
        <v/>
      </c>
      <c r="R142" t="s">
        <v>50</v>
      </c>
    </row>
    <row r="143" spans="1:18" x14ac:dyDescent="0.3">
      <c r="A143" s="1" t="d">
        <v>2023-12-30</v>
      </c>
      <c r="B143">
        <v>45513</v>
      </c>
      <c r="C143" t="str">
        <f>VLOOKUP(Fato_Producao[[#This Row],[referencia]], Dim_Produtos!A:B,2,FALSE)</f>
        <v>filete pescada</v>
      </c>
      <c r="D143">
        <v>2704</v>
      </c>
      <c r="E143">
        <v>2439</v>
      </c>
      <c r="F143" s="5">
        <v>9.8000000000000004E-2</v>
      </c>
      <c r="G143" s="6">
        <v>84.8</v>
      </c>
      <c r="H143">
        <v>12</v>
      </c>
      <c r="I143">
        <v>245</v>
      </c>
      <c r="J143">
        <v>8</v>
      </c>
      <c r="K143">
        <f>Fato_Producao[[#This Row],[embalagens_danificadas]]+Fato_Producao[[#This Row],[peso_errado]]+Fato_Producao[[#This Row],[impressao]]</f>
        <v>265</v>
      </c>
      <c r="L143" s="1" t="d">
        <v>2023-11-06</v>
      </c>
      <c r="M143">
        <v>54</v>
      </c>
      <c r="N143" s="7">
        <v>11.02</v>
      </c>
      <c r="O143" s="4" t="str">
        <f t="shared" si="6"/>
        <v>dezembro</v>
      </c>
      <c r="P143" s="4">
        <f t="shared" si="7"/>
        <v>2023</v>
      </c>
      <c r="Q143" s="4" t="str">
        <f t="shared" si="8"/>
        <v/>
      </c>
      <c r="R143" t="s">
        <v>24</v>
      </c>
    </row>
    <row r="144" spans="1:18" x14ac:dyDescent="0.3">
      <c r="A144" s="1" t="d">
        <v>2023-12-31</v>
      </c>
      <c r="B144">
        <v>45507</v>
      </c>
      <c r="C144" t="str">
        <f>VLOOKUP(Fato_Producao[[#This Row],[referencia]], Dim_Produtos!A:B,2,FALSE)</f>
        <v>salmao posta</v>
      </c>
      <c r="D144">
        <v>2392</v>
      </c>
      <c r="E144">
        <v>2183</v>
      </c>
      <c r="F144" s="5">
        <v>8.7400000000000005E-2</v>
      </c>
      <c r="G144" s="6">
        <v>73.150000000000006</v>
      </c>
      <c r="H144">
        <v>6</v>
      </c>
      <c r="I144">
        <v>199</v>
      </c>
      <c r="J144">
        <v>4</v>
      </c>
      <c r="K144">
        <f>Fato_Producao[[#This Row],[embalagens_danificadas]]+Fato_Producao[[#This Row],[peso_errado]]+Fato_Producao[[#This Row],[impressao]]</f>
        <v>209</v>
      </c>
      <c r="L144" s="1" t="d">
        <v>2023-11-06</v>
      </c>
      <c r="M144">
        <v>55</v>
      </c>
      <c r="N144" s="7">
        <v>11.7</v>
      </c>
      <c r="O144" s="4" t="str">
        <f t="shared" si="6"/>
        <v>dezembro</v>
      </c>
      <c r="P144" s="4">
        <f t="shared" si="7"/>
        <v>2023</v>
      </c>
      <c r="Q144" s="4" t="str">
        <f t="shared" si="8"/>
        <v/>
      </c>
      <c r="R144" t="s">
        <v>24</v>
      </c>
    </row>
    <row r="145" spans="1:18" x14ac:dyDescent="0.3">
      <c r="A145" s="1" t="d">
        <v>2023-12-31</v>
      </c>
      <c r="B145">
        <v>45502</v>
      </c>
      <c r="C145" t="str">
        <f>VLOOKUP(Fato_Producao[[#This Row],[referencia]], Dim_Produtos!A:B,2,FALSE)</f>
        <v>carapau pelim</v>
      </c>
      <c r="D145">
        <v>2320</v>
      </c>
      <c r="E145">
        <v>2065</v>
      </c>
      <c r="F145" s="5">
        <v>0.1099</v>
      </c>
      <c r="G145" s="6">
        <v>76.5</v>
      </c>
      <c r="H145">
        <v>68</v>
      </c>
      <c r="I145">
        <v>182</v>
      </c>
      <c r="J145">
        <v>5</v>
      </c>
      <c r="K145">
        <f>Fato_Producao[[#This Row],[embalagens_danificadas]]+Fato_Producao[[#This Row],[peso_errado]]+Fato_Producao[[#This Row],[impressao]]</f>
        <v>255</v>
      </c>
      <c r="L145" s="1" t="d">
        <v>2023-11-06</v>
      </c>
      <c r="M145">
        <v>55</v>
      </c>
      <c r="N145" s="7">
        <v>9.9499999999999993</v>
      </c>
      <c r="O145" s="4" t="str">
        <f t="shared" si="6"/>
        <v>dezembro</v>
      </c>
      <c r="P145" s="4">
        <f t="shared" si="7"/>
        <v>2023</v>
      </c>
      <c r="Q145" s="4" t="str">
        <f t="shared" si="8"/>
        <v/>
      </c>
      <c r="R145" t="s">
        <v>24</v>
      </c>
    </row>
    <row r="146" spans="1:18" x14ac:dyDescent="0.3">
      <c r="A146" s="1" t="d">
        <v>2024-01-01</v>
      </c>
      <c r="B146">
        <v>45510</v>
      </c>
      <c r="C146" t="str">
        <f>VLOOKUP(Fato_Producao[[#This Row],[referencia]], Dim_Produtos!A:B,2,FALSE)</f>
        <v>tiras pota</v>
      </c>
      <c r="D146">
        <v>3851</v>
      </c>
      <c r="E146">
        <v>3378</v>
      </c>
      <c r="F146" s="5">
        <v>0.12280000000000001</v>
      </c>
      <c r="G146" s="6">
        <v>151.36000000000001</v>
      </c>
      <c r="H146">
        <v>56</v>
      </c>
      <c r="I146">
        <v>405</v>
      </c>
      <c r="J146">
        <v>12</v>
      </c>
      <c r="K146">
        <f>Fato_Producao[[#This Row],[embalagens_danificadas]]+Fato_Producao[[#This Row],[peso_errado]]+Fato_Producao[[#This Row],[impressao]]</f>
        <v>473</v>
      </c>
      <c r="L146" s="1" t="d">
        <v>2023-11-06</v>
      </c>
      <c r="M146">
        <v>56</v>
      </c>
      <c r="N146" s="7">
        <v>21.19</v>
      </c>
      <c r="O146" s="4" t="str">
        <f t="shared" si="6"/>
        <v>janeiro</v>
      </c>
      <c r="P146" s="4">
        <f t="shared" si="7"/>
        <v>2024</v>
      </c>
      <c r="Q146" s="4" t="str">
        <f t="shared" si="8"/>
        <v/>
      </c>
      <c r="R146" t="s">
        <v>24</v>
      </c>
    </row>
    <row r="147" spans="1:18" x14ac:dyDescent="0.3">
      <c r="A147" s="1" t="d">
        <v>2024-01-02</v>
      </c>
      <c r="B147">
        <v>45501</v>
      </c>
      <c r="C147" t="str">
        <f>VLOOKUP(Fato_Producao[[#This Row],[referencia]], Dim_Produtos!A:B,2,FALSE)</f>
        <v>pescada posta cozer</v>
      </c>
      <c r="D147">
        <v>3500</v>
      </c>
      <c r="E147">
        <v>3118</v>
      </c>
      <c r="F147" s="5">
        <v>0.1091</v>
      </c>
      <c r="G147" s="6">
        <v>122.24</v>
      </c>
      <c r="H147">
        <v>14</v>
      </c>
      <c r="I147">
        <v>363</v>
      </c>
      <c r="J147">
        <v>5</v>
      </c>
      <c r="K147">
        <f>Fato_Producao[[#This Row],[embalagens_danificadas]]+Fato_Producao[[#This Row],[peso_errado]]+Fato_Producao[[#This Row],[impressao]]</f>
        <v>382</v>
      </c>
      <c r="L147" s="1" t="d">
        <v>2023-11-06</v>
      </c>
      <c r="M147">
        <v>57</v>
      </c>
      <c r="N147" s="7">
        <v>17.11</v>
      </c>
      <c r="O147" s="4" t="str">
        <f t="shared" si="6"/>
        <v>janeiro</v>
      </c>
      <c r="P147" s="4">
        <f t="shared" si="7"/>
        <v>2024</v>
      </c>
      <c r="Q147" s="4" t="str">
        <f t="shared" si="8"/>
        <v/>
      </c>
      <c r="R147" t="s">
        <v>24</v>
      </c>
    </row>
    <row r="148" spans="1:18" x14ac:dyDescent="0.3">
      <c r="A148" s="1" t="d">
        <v>2024-01-02</v>
      </c>
      <c r="B148">
        <v>45509</v>
      </c>
      <c r="C148" t="str">
        <f>VLOOKUP(Fato_Producao[[#This Row],[referencia]], Dim_Produtos!A:B,2,FALSE)</f>
        <v>lascas bacalhau</v>
      </c>
      <c r="D148">
        <v>2141</v>
      </c>
      <c r="E148">
        <v>1920</v>
      </c>
      <c r="F148" s="5">
        <v>0.1032</v>
      </c>
      <c r="G148" s="6">
        <v>61.88</v>
      </c>
      <c r="H148">
        <v>10</v>
      </c>
      <c r="I148">
        <v>208</v>
      </c>
      <c r="J148">
        <v>3</v>
      </c>
      <c r="K148">
        <f>Fato_Producao[[#This Row],[embalagens_danificadas]]+Fato_Producao[[#This Row],[peso_errado]]+Fato_Producao[[#This Row],[impressao]]</f>
        <v>221</v>
      </c>
      <c r="L148" s="1" t="d">
        <v>2023-11-06</v>
      </c>
      <c r="M148">
        <v>57</v>
      </c>
      <c r="N148" s="7">
        <v>8.0399999999999991</v>
      </c>
      <c r="O148" s="4" t="str">
        <f t="shared" si="6"/>
        <v>janeiro</v>
      </c>
      <c r="P148" s="4">
        <f t="shared" si="7"/>
        <v>2024</v>
      </c>
      <c r="Q148" s="4" t="str">
        <f t="shared" si="8"/>
        <v/>
      </c>
      <c r="R148" t="s">
        <v>24</v>
      </c>
    </row>
    <row r="149" spans="1:18" x14ac:dyDescent="0.3">
      <c r="A149" s="1" t="d">
        <v>2024-01-03</v>
      </c>
      <c r="B149">
        <v>45509</v>
      </c>
      <c r="C149" t="str">
        <f>VLOOKUP(Fato_Producao[[#This Row],[referencia]], Dim_Produtos!A:B,2,FALSE)</f>
        <v>lascas bacalhau</v>
      </c>
      <c r="D149">
        <v>2501</v>
      </c>
      <c r="E149">
        <v>2223</v>
      </c>
      <c r="F149" s="5">
        <v>0.11119999999999999</v>
      </c>
      <c r="G149" s="6">
        <v>77.84</v>
      </c>
      <c r="H149">
        <v>20</v>
      </c>
      <c r="I149">
        <v>254</v>
      </c>
      <c r="J149">
        <v>4</v>
      </c>
      <c r="K149">
        <f>Fato_Producao[[#This Row],[embalagens_danificadas]]+Fato_Producao[[#This Row],[peso_errado]]+Fato_Producao[[#This Row],[impressao]]</f>
        <v>278</v>
      </c>
      <c r="L149" s="1" t="d">
        <v>2023-11-06</v>
      </c>
      <c r="M149">
        <v>58</v>
      </c>
      <c r="N149" s="7">
        <v>10.119999999999999</v>
      </c>
      <c r="O149" s="4" t="str">
        <f t="shared" si="6"/>
        <v>janeiro</v>
      </c>
      <c r="P149" s="4">
        <f t="shared" si="7"/>
        <v>2024</v>
      </c>
      <c r="Q149" s="4" t="str">
        <f t="shared" si="8"/>
        <v/>
      </c>
      <c r="R149" t="s">
        <v>24</v>
      </c>
    </row>
    <row r="150" spans="1:18" x14ac:dyDescent="0.3">
      <c r="A150" s="1" t="d">
        <v>2024-01-03</v>
      </c>
      <c r="B150">
        <v>45510</v>
      </c>
      <c r="C150" t="str">
        <f>VLOOKUP(Fato_Producao[[#This Row],[referencia]], Dim_Produtos!A:B,2,FALSE)</f>
        <v>tiras pota</v>
      </c>
      <c r="D150">
        <v>2492</v>
      </c>
      <c r="E150">
        <v>2245</v>
      </c>
      <c r="F150" s="5">
        <v>9.9099999999999994E-2</v>
      </c>
      <c r="G150" s="6">
        <v>79.040000000000006</v>
      </c>
      <c r="H150">
        <v>25</v>
      </c>
      <c r="I150">
        <v>218</v>
      </c>
      <c r="J150">
        <v>4</v>
      </c>
      <c r="K150">
        <f>Fato_Producao[[#This Row],[embalagens_danificadas]]+Fato_Producao[[#This Row],[peso_errado]]+Fato_Producao[[#This Row],[impressao]]</f>
        <v>247</v>
      </c>
      <c r="L150" s="1" t="d">
        <v>2023-11-06</v>
      </c>
      <c r="M150">
        <v>58</v>
      </c>
      <c r="N150" s="7">
        <v>11.07</v>
      </c>
      <c r="O150" s="4" t="str">
        <f t="shared" si="6"/>
        <v>janeiro</v>
      </c>
      <c r="P150" s="4">
        <f t="shared" si="7"/>
        <v>2024</v>
      </c>
      <c r="Q150" s="4" t="str">
        <f t="shared" si="8"/>
        <v/>
      </c>
      <c r="R150" t="s">
        <v>24</v>
      </c>
    </row>
    <row r="151" spans="1:18" x14ac:dyDescent="0.3">
      <c r="A151" s="1" t="d">
        <v>2024-01-04</v>
      </c>
      <c r="B151">
        <v>45506</v>
      </c>
      <c r="C151" t="str">
        <f>VLOOKUP(Fato_Producao[[#This Row],[referencia]], Dim_Produtos!A:B,2,FALSE)</f>
        <v>perca posta</v>
      </c>
      <c r="D151">
        <v>3050</v>
      </c>
      <c r="E151">
        <v>2754</v>
      </c>
      <c r="F151" s="5">
        <v>9.7000000000000003E-2</v>
      </c>
      <c r="G151" s="6">
        <v>103.6</v>
      </c>
      <c r="H151">
        <v>12</v>
      </c>
      <c r="I151">
        <v>275</v>
      </c>
      <c r="J151">
        <v>9</v>
      </c>
      <c r="K151">
        <f>Fato_Producao[[#This Row],[embalagens_danificadas]]+Fato_Producao[[#This Row],[peso_errado]]+Fato_Producao[[#This Row],[impressao]]</f>
        <v>296</v>
      </c>
      <c r="L151" s="1" t="d">
        <v>2023-11-06</v>
      </c>
      <c r="M151">
        <v>59</v>
      </c>
      <c r="N151" s="7">
        <v>15.54</v>
      </c>
      <c r="O151" s="4" t="str">
        <f t="shared" si="6"/>
        <v>janeiro</v>
      </c>
      <c r="P151" s="4">
        <f t="shared" si="7"/>
        <v>2024</v>
      </c>
      <c r="Q151" s="4" t="str">
        <f t="shared" si="8"/>
        <v/>
      </c>
      <c r="R151" t="s">
        <v>24</v>
      </c>
    </row>
    <row r="152" spans="1:18" x14ac:dyDescent="0.3">
      <c r="A152" s="1" t="d">
        <v>2024-01-04</v>
      </c>
      <c r="B152">
        <v>45505</v>
      </c>
      <c r="C152" t="str">
        <f>VLOOKUP(Fato_Producao[[#This Row],[referencia]], Dim_Produtos!A:B,2,FALSE)</f>
        <v>camarao</v>
      </c>
      <c r="D152">
        <v>3916</v>
      </c>
      <c r="E152">
        <v>3585</v>
      </c>
      <c r="F152" s="5">
        <v>8.4500000000000006E-2</v>
      </c>
      <c r="G152" s="6">
        <v>99.3</v>
      </c>
      <c r="H152">
        <v>67</v>
      </c>
      <c r="I152">
        <v>252</v>
      </c>
      <c r="J152">
        <v>12</v>
      </c>
      <c r="K152">
        <f>Fato_Producao[[#This Row],[embalagens_danificadas]]+Fato_Producao[[#This Row],[peso_errado]]+Fato_Producao[[#This Row],[impressao]]</f>
        <v>331</v>
      </c>
      <c r="L152" s="1" t="d">
        <v>2023-11-06</v>
      </c>
      <c r="M152">
        <v>59</v>
      </c>
      <c r="N152" s="7">
        <v>14.89</v>
      </c>
      <c r="O152" s="4" t="str">
        <f t="shared" si="6"/>
        <v>janeiro</v>
      </c>
      <c r="P152" s="4">
        <f t="shared" si="7"/>
        <v>2024</v>
      </c>
      <c r="Q152" s="4" t="str">
        <f t="shared" si="8"/>
        <v/>
      </c>
      <c r="R152" t="s">
        <v>24</v>
      </c>
    </row>
    <row r="153" spans="1:18" x14ac:dyDescent="0.3">
      <c r="A153" s="1" t="d">
        <v>2024-01-05</v>
      </c>
      <c r="B153">
        <v>45510</v>
      </c>
      <c r="C153" t="str">
        <f>VLOOKUP(Fato_Producao[[#This Row],[referencia]], Dim_Produtos!A:B,2,FALSE)</f>
        <v>tiras pota</v>
      </c>
      <c r="D153">
        <v>2164</v>
      </c>
      <c r="E153">
        <v>1918</v>
      </c>
      <c r="F153" s="5">
        <v>0.1137</v>
      </c>
      <c r="G153" s="6">
        <v>78.72</v>
      </c>
      <c r="H153">
        <v>30</v>
      </c>
      <c r="I153">
        <v>211</v>
      </c>
      <c r="J153">
        <v>5</v>
      </c>
      <c r="K153">
        <f>Fato_Producao[[#This Row],[embalagens_danificadas]]+Fato_Producao[[#This Row],[peso_errado]]+Fato_Producao[[#This Row],[impressao]]</f>
        <v>246</v>
      </c>
      <c r="L153" s="1" t="d">
        <v>2023-11-06</v>
      </c>
      <c r="M153">
        <v>60</v>
      </c>
      <c r="N153" s="7">
        <v>11.02</v>
      </c>
      <c r="O153" s="4" t="str">
        <f t="shared" si="6"/>
        <v>janeiro</v>
      </c>
      <c r="P153" s="4">
        <f t="shared" si="7"/>
        <v>2024</v>
      </c>
      <c r="Q153" s="4" t="str">
        <f t="shared" si="8"/>
        <v/>
      </c>
      <c r="R153" t="s">
        <v>24</v>
      </c>
    </row>
    <row r="154" spans="1:18" x14ac:dyDescent="0.3">
      <c r="A154" s="1" t="d">
        <v>2024-01-05</v>
      </c>
      <c r="B154">
        <v>45508</v>
      </c>
      <c r="C154" t="str">
        <f>VLOOKUP(Fato_Producao[[#This Row],[referencia]], Dim_Produtos!A:B,2,FALSE)</f>
        <v>lula suja</v>
      </c>
      <c r="D154">
        <v>4143</v>
      </c>
      <c r="E154">
        <v>3627</v>
      </c>
      <c r="F154" s="5">
        <v>0.1245</v>
      </c>
      <c r="G154" s="6">
        <v>165.12</v>
      </c>
      <c r="H154">
        <v>57</v>
      </c>
      <c r="I154">
        <v>451</v>
      </c>
      <c r="J154">
        <v>8</v>
      </c>
      <c r="K154">
        <f>Fato_Producao[[#This Row],[embalagens_danificadas]]+Fato_Producao[[#This Row],[peso_errado]]+Fato_Producao[[#This Row],[impressao]]</f>
        <v>516</v>
      </c>
      <c r="L154" s="1" t="d">
        <v>2023-11-06</v>
      </c>
      <c r="M154">
        <v>60</v>
      </c>
      <c r="N154" s="7">
        <v>23.12</v>
      </c>
      <c r="O154" s="4" t="str">
        <f t="shared" si="6"/>
        <v>janeiro</v>
      </c>
      <c r="P154" s="4">
        <f t="shared" si="7"/>
        <v>2024</v>
      </c>
      <c r="Q154" s="4" t="str">
        <f t="shared" si="8"/>
        <v/>
      </c>
      <c r="R154" t="s">
        <v>24</v>
      </c>
    </row>
    <row r="155" spans="1:18" x14ac:dyDescent="0.3">
      <c r="A155" s="1" t="d">
        <v>2024-01-06</v>
      </c>
      <c r="B155">
        <v>45504</v>
      </c>
      <c r="C155" t="str">
        <f>VLOOKUP(Fato_Producao[[#This Row],[referencia]], Dim_Produtos!A:B,2,FALSE)</f>
        <v>pescada posta fritar</v>
      </c>
      <c r="D155">
        <v>1907</v>
      </c>
      <c r="E155">
        <v>1681</v>
      </c>
      <c r="F155" s="5">
        <v>0.11849999999999999</v>
      </c>
      <c r="G155" s="6">
        <v>72.319999999999993</v>
      </c>
      <c r="H155">
        <v>12</v>
      </c>
      <c r="I155">
        <v>209</v>
      </c>
      <c r="J155">
        <v>5</v>
      </c>
      <c r="K155">
        <f>Fato_Producao[[#This Row],[embalagens_danificadas]]+Fato_Producao[[#This Row],[peso_errado]]+Fato_Producao[[#This Row],[impressao]]</f>
        <v>226</v>
      </c>
      <c r="L155" s="1" t="d">
        <v>2023-11-06</v>
      </c>
      <c r="M155">
        <v>61</v>
      </c>
      <c r="N155" s="7">
        <v>10.119999999999999</v>
      </c>
      <c r="O155" s="4" t="str">
        <f t="shared" si="6"/>
        <v>janeiro</v>
      </c>
      <c r="P155" s="4">
        <f t="shared" si="7"/>
        <v>2024</v>
      </c>
      <c r="Q155" s="4" t="str">
        <f t="shared" si="8"/>
        <v/>
      </c>
      <c r="R155" t="s">
        <v>24</v>
      </c>
    </row>
    <row r="156" spans="1:18" x14ac:dyDescent="0.3">
      <c r="A156" s="1" t="d">
        <v>2024-01-06</v>
      </c>
      <c r="B156">
        <v>45502</v>
      </c>
      <c r="C156" t="str">
        <f>VLOOKUP(Fato_Producao[[#This Row],[referencia]], Dim_Produtos!A:B,2,FALSE)</f>
        <v>carapau pelim</v>
      </c>
      <c r="D156">
        <v>3436</v>
      </c>
      <c r="E156">
        <v>3125</v>
      </c>
      <c r="F156" s="5">
        <v>9.0499999999999997E-2</v>
      </c>
      <c r="G156" s="6">
        <v>93.3</v>
      </c>
      <c r="H156">
        <v>94</v>
      </c>
      <c r="I156">
        <v>207</v>
      </c>
      <c r="J156">
        <v>10</v>
      </c>
      <c r="K156">
        <f>Fato_Producao[[#This Row],[embalagens_danificadas]]+Fato_Producao[[#This Row],[peso_errado]]+Fato_Producao[[#This Row],[impressao]]</f>
        <v>311</v>
      </c>
      <c r="L156" s="1" t="d">
        <v>2023-11-06</v>
      </c>
      <c r="M156">
        <v>61</v>
      </c>
      <c r="N156" s="7">
        <v>12.13</v>
      </c>
      <c r="O156" s="4" t="str">
        <f t="shared" si="6"/>
        <v>janeiro</v>
      </c>
      <c r="P156" s="4">
        <f t="shared" si="7"/>
        <v>2024</v>
      </c>
      <c r="Q156" s="4" t="str">
        <f t="shared" si="8"/>
        <v/>
      </c>
      <c r="R156" t="s">
        <v>24</v>
      </c>
    </row>
    <row r="157" spans="1:18" x14ac:dyDescent="0.3">
      <c r="A157" s="1" t="d">
        <v>2024-01-07</v>
      </c>
      <c r="B157">
        <v>45506</v>
      </c>
      <c r="C157" t="str">
        <f>VLOOKUP(Fato_Producao[[#This Row],[referencia]], Dim_Produtos!A:B,2,FALSE)</f>
        <v>perca posta</v>
      </c>
      <c r="D157">
        <v>3308</v>
      </c>
      <c r="E157">
        <v>3006</v>
      </c>
      <c r="F157" s="5">
        <v>9.1300000000000006E-2</v>
      </c>
      <c r="G157" s="6">
        <v>105.7</v>
      </c>
      <c r="H157">
        <v>9</v>
      </c>
      <c r="I157">
        <v>288</v>
      </c>
      <c r="J157">
        <v>5</v>
      </c>
      <c r="K157">
        <f>Fato_Producao[[#This Row],[embalagens_danificadas]]+Fato_Producao[[#This Row],[peso_errado]]+Fato_Producao[[#This Row],[impressao]]</f>
        <v>302</v>
      </c>
      <c r="L157" s="1" t="d">
        <v>2023-11-06</v>
      </c>
      <c r="M157">
        <v>62</v>
      </c>
      <c r="N157" s="7">
        <v>15.86</v>
      </c>
      <c r="O157" s="4" t="str">
        <f t="shared" si="6"/>
        <v>janeiro</v>
      </c>
      <c r="P157" s="4">
        <f t="shared" si="7"/>
        <v>2024</v>
      </c>
      <c r="Q157" s="4" t="str">
        <f t="shared" si="8"/>
        <v/>
      </c>
      <c r="R157" t="s">
        <v>24</v>
      </c>
    </row>
    <row r="158" spans="1:18" x14ac:dyDescent="0.3">
      <c r="A158" s="1" t="d">
        <v>2024-01-07</v>
      </c>
      <c r="B158">
        <v>45508</v>
      </c>
      <c r="C158" t="str">
        <f>VLOOKUP(Fato_Producao[[#This Row],[referencia]], Dim_Produtos!A:B,2,FALSE)</f>
        <v>lula suja</v>
      </c>
      <c r="D158">
        <v>3091</v>
      </c>
      <c r="E158">
        <v>2686</v>
      </c>
      <c r="F158" s="5">
        <v>0.13100000000000001</v>
      </c>
      <c r="G158" s="6">
        <v>129.6</v>
      </c>
      <c r="H158">
        <v>49</v>
      </c>
      <c r="I158">
        <v>345</v>
      </c>
      <c r="J158">
        <v>11</v>
      </c>
      <c r="K158">
        <f>Fato_Producao[[#This Row],[embalagens_danificadas]]+Fato_Producao[[#This Row],[peso_errado]]+Fato_Producao[[#This Row],[impressao]]</f>
        <v>405</v>
      </c>
      <c r="L158" s="1" t="d">
        <v>2023-11-06</v>
      </c>
      <c r="M158">
        <v>62</v>
      </c>
      <c r="N158" s="7">
        <v>18.14</v>
      </c>
      <c r="O158" s="4" t="str">
        <f t="shared" si="6"/>
        <v>janeiro</v>
      </c>
      <c r="P158" s="4">
        <f t="shared" si="7"/>
        <v>2024</v>
      </c>
      <c r="Q158" s="4" t="str">
        <f t="shared" si="8"/>
        <v/>
      </c>
      <c r="R158" t="s">
        <v>24</v>
      </c>
    </row>
    <row r="159" spans="1:18" x14ac:dyDescent="0.3">
      <c r="A159" s="1" t="d">
        <v>2024-01-08</v>
      </c>
      <c r="B159">
        <v>45504</v>
      </c>
      <c r="C159" t="str">
        <f>VLOOKUP(Fato_Producao[[#This Row],[referencia]], Dim_Produtos!A:B,2,FALSE)</f>
        <v>pescada posta fritar</v>
      </c>
      <c r="D159">
        <v>1936</v>
      </c>
      <c r="E159">
        <v>1734</v>
      </c>
      <c r="F159" s="5">
        <v>0.1043</v>
      </c>
      <c r="G159" s="6">
        <v>64.64</v>
      </c>
      <c r="H159">
        <v>13</v>
      </c>
      <c r="I159">
        <v>185</v>
      </c>
      <c r="J159">
        <v>4</v>
      </c>
      <c r="K159">
        <f>Fato_Producao[[#This Row],[embalagens_danificadas]]+Fato_Producao[[#This Row],[peso_errado]]+Fato_Producao[[#This Row],[impressao]]</f>
        <v>202</v>
      </c>
      <c r="L159" s="1" t="d">
        <v>2023-11-06</v>
      </c>
      <c r="M159">
        <v>63</v>
      </c>
      <c r="N159" s="7">
        <v>9.0500000000000007</v>
      </c>
      <c r="O159" s="4" t="str">
        <f t="shared" si="6"/>
        <v>janeiro</v>
      </c>
      <c r="P159" s="4">
        <f t="shared" si="7"/>
        <v>2024</v>
      </c>
      <c r="Q159" s="4">
        <f t="shared" si="8"/>
        <v>63</v>
      </c>
      <c r="R159" t="s">
        <v>24</v>
      </c>
    </row>
    <row r="160" spans="1:18" x14ac:dyDescent="0.3">
      <c r="A160" s="1" t="d">
        <v>2024-01-09</v>
      </c>
      <c r="B160">
        <v>45514</v>
      </c>
      <c r="C160" t="str">
        <f>VLOOKUP(Fato_Producao[[#This Row],[referencia]], Dim_Produtos!A:B,2,FALSE)</f>
        <v>sardinha pequena</v>
      </c>
      <c r="D160">
        <v>2789</v>
      </c>
      <c r="E160">
        <v>2624</v>
      </c>
      <c r="F160" s="5">
        <v>5.9200000000000003E-2</v>
      </c>
      <c r="G160" s="6">
        <v>49.5</v>
      </c>
      <c r="H160">
        <v>6</v>
      </c>
      <c r="I160">
        <v>155</v>
      </c>
      <c r="J160">
        <v>4</v>
      </c>
      <c r="K160">
        <f>Fato_Producao[[#This Row],[embalagens_danificadas]]+Fato_Producao[[#This Row],[peso_errado]]+Fato_Producao[[#This Row],[impressao]]</f>
        <v>165</v>
      </c>
      <c r="L160" s="1" t="d">
        <v>2024-01-09</v>
      </c>
      <c r="M160">
        <v>0</v>
      </c>
      <c r="N160" s="7">
        <v>5.94</v>
      </c>
      <c r="O160" s="4" t="str">
        <f t="shared" si="6"/>
        <v>janeiro</v>
      </c>
      <c r="P160" s="4">
        <f t="shared" si="7"/>
        <v>2024</v>
      </c>
      <c r="Q160" s="4" t="str">
        <f t="shared" si="8"/>
        <v/>
      </c>
      <c r="R160" t="s">
        <v>24</v>
      </c>
    </row>
    <row r="161" spans="1:18" x14ac:dyDescent="0.3">
      <c r="A161" s="1" t="d">
        <v>2024-01-09</v>
      </c>
      <c r="B161">
        <v>45507</v>
      </c>
      <c r="C161" t="str">
        <f>VLOOKUP(Fato_Producao[[#This Row],[referencia]], Dim_Produtos!A:B,2,FALSE)</f>
        <v>salmao posta</v>
      </c>
      <c r="D161">
        <v>4035</v>
      </c>
      <c r="E161">
        <v>3892</v>
      </c>
      <c r="F161" s="5">
        <v>3.5400000000000001E-2</v>
      </c>
      <c r="G161" s="6">
        <v>50.05</v>
      </c>
      <c r="H161">
        <v>4</v>
      </c>
      <c r="I161">
        <v>136</v>
      </c>
      <c r="J161">
        <v>3</v>
      </c>
      <c r="K161">
        <f>Fato_Producao[[#This Row],[embalagens_danificadas]]+Fato_Producao[[#This Row],[peso_errado]]+Fato_Producao[[#This Row],[impressao]]</f>
        <v>143</v>
      </c>
      <c r="L161" s="1" t="d">
        <v>2024-01-09</v>
      </c>
      <c r="M161">
        <v>0</v>
      </c>
      <c r="N161" s="7">
        <v>8.01</v>
      </c>
      <c r="O161" s="4" t="str">
        <f t="shared" si="6"/>
        <v>janeiro</v>
      </c>
      <c r="P161" s="4">
        <f t="shared" si="7"/>
        <v>2024</v>
      </c>
      <c r="Q161" s="4" t="str">
        <f t="shared" si="8"/>
        <v/>
      </c>
      <c r="R161" t="s">
        <v>24</v>
      </c>
    </row>
    <row r="162" spans="1:18" x14ac:dyDescent="0.3">
      <c r="A162" s="1" t="d">
        <v>2024-01-10</v>
      </c>
      <c r="B162">
        <v>45506</v>
      </c>
      <c r="C162" t="str">
        <f>VLOOKUP(Fato_Producao[[#This Row],[referencia]], Dim_Produtos!A:B,2,FALSE)</f>
        <v>perca posta</v>
      </c>
      <c r="D162">
        <v>2163</v>
      </c>
      <c r="E162">
        <v>2042</v>
      </c>
      <c r="F162" s="5">
        <v>5.5899999999999998E-2</v>
      </c>
      <c r="G162" s="6">
        <v>42.35</v>
      </c>
      <c r="H162">
        <v>4</v>
      </c>
      <c r="I162">
        <v>114</v>
      </c>
      <c r="J162">
        <v>3</v>
      </c>
      <c r="K162">
        <f>Fato_Producao[[#This Row],[embalagens_danificadas]]+Fato_Producao[[#This Row],[peso_errado]]+Fato_Producao[[#This Row],[impressao]]</f>
        <v>121</v>
      </c>
      <c r="L162" s="1" t="d">
        <v>2024-01-09</v>
      </c>
      <c r="M162">
        <v>1</v>
      </c>
      <c r="N162" s="7">
        <v>6.35</v>
      </c>
      <c r="O162" s="4" t="str">
        <f t="shared" si="6"/>
        <v>janeiro</v>
      </c>
      <c r="P162" s="4">
        <f t="shared" si="7"/>
        <v>2024</v>
      </c>
      <c r="Q162" s="4" t="str">
        <f t="shared" si="8"/>
        <v/>
      </c>
      <c r="R162" t="s">
        <v>24</v>
      </c>
    </row>
    <row r="163" spans="1:18" x14ac:dyDescent="0.3">
      <c r="A163" s="1" t="d">
        <v>2024-01-10</v>
      </c>
      <c r="B163">
        <v>45500</v>
      </c>
      <c r="C163" t="str">
        <f>VLOOKUP(Fato_Producao[[#This Row],[referencia]], Dim_Produtos!A:B,2,FALSE)</f>
        <v>filete pescada</v>
      </c>
      <c r="D163">
        <v>1815</v>
      </c>
      <c r="E163">
        <v>1744</v>
      </c>
      <c r="F163" s="5">
        <v>3.9100000000000003E-2</v>
      </c>
      <c r="G163" s="6">
        <v>19.88</v>
      </c>
      <c r="H163">
        <v>2</v>
      </c>
      <c r="I163">
        <v>68</v>
      </c>
      <c r="J163">
        <v>1</v>
      </c>
      <c r="K163">
        <f>Fato_Producao[[#This Row],[embalagens_danificadas]]+Fato_Producao[[#This Row],[peso_errado]]+Fato_Producao[[#This Row],[impressao]]</f>
        <v>71</v>
      </c>
      <c r="L163" s="1" t="d">
        <v>2024-01-09</v>
      </c>
      <c r="M163">
        <v>1</v>
      </c>
      <c r="N163" s="7">
        <v>2.39</v>
      </c>
      <c r="O163" s="4" t="str">
        <f t="shared" si="6"/>
        <v>janeiro</v>
      </c>
      <c r="P163" s="4">
        <f t="shared" si="7"/>
        <v>2024</v>
      </c>
      <c r="Q163" s="4" t="str">
        <f t="shared" si="8"/>
        <v/>
      </c>
      <c r="R163" t="s">
        <v>24</v>
      </c>
    </row>
    <row r="164" spans="1:18" x14ac:dyDescent="0.3">
      <c r="A164" s="1" t="d">
        <v>2024-01-11</v>
      </c>
      <c r="B164">
        <v>45501</v>
      </c>
      <c r="C164" t="str">
        <f>VLOOKUP(Fato_Producao[[#This Row],[referencia]], Dim_Produtos!A:B,2,FALSE)</f>
        <v>pescada posta cozer</v>
      </c>
      <c r="D164">
        <v>2050</v>
      </c>
      <c r="E164">
        <v>1942</v>
      </c>
      <c r="F164" s="5">
        <v>5.2699999999999997E-2</v>
      </c>
      <c r="G164" s="6">
        <v>34.56</v>
      </c>
      <c r="H164">
        <v>2</v>
      </c>
      <c r="I164">
        <v>103</v>
      </c>
      <c r="J164">
        <v>3</v>
      </c>
      <c r="K164">
        <f>Fato_Producao[[#This Row],[embalagens_danificadas]]+Fato_Producao[[#This Row],[peso_errado]]+Fato_Producao[[#This Row],[impressao]]</f>
        <v>108</v>
      </c>
      <c r="L164" s="1" t="d">
        <v>2024-01-09</v>
      </c>
      <c r="M164">
        <v>2</v>
      </c>
      <c r="N164" s="7">
        <v>4.84</v>
      </c>
      <c r="O164" s="4" t="str">
        <f t="shared" si="6"/>
        <v>janeiro</v>
      </c>
      <c r="P164" s="4">
        <f t="shared" si="7"/>
        <v>2024</v>
      </c>
      <c r="Q164" s="4" t="str">
        <f t="shared" si="8"/>
        <v/>
      </c>
      <c r="R164" t="s">
        <v>24</v>
      </c>
    </row>
    <row r="165" spans="1:18" x14ac:dyDescent="0.3">
      <c r="A165" s="1" t="d">
        <v>2024-01-11</v>
      </c>
      <c r="B165">
        <v>45503</v>
      </c>
      <c r="C165" t="str">
        <f>VLOOKUP(Fato_Producao[[#This Row],[referencia]], Dim_Produtos!A:B,2,FALSE)</f>
        <v>sardinha pequena</v>
      </c>
      <c r="D165">
        <v>1828</v>
      </c>
      <c r="E165">
        <v>1709</v>
      </c>
      <c r="F165" s="5">
        <v>6.5100000000000005E-2</v>
      </c>
      <c r="G165" s="6">
        <v>30.94</v>
      </c>
      <c r="H165">
        <v>6</v>
      </c>
      <c r="I165">
        <v>111</v>
      </c>
      <c r="J165">
        <v>2</v>
      </c>
      <c r="K165">
        <f>Fato_Producao[[#This Row],[embalagens_danificadas]]+Fato_Producao[[#This Row],[peso_errado]]+Fato_Producao[[#This Row],[impressao]]</f>
        <v>119</v>
      </c>
      <c r="L165" s="1" t="d">
        <v>2024-01-09</v>
      </c>
      <c r="M165">
        <v>2</v>
      </c>
      <c r="N165" s="7">
        <v>3.4</v>
      </c>
      <c r="O165" s="4" t="str">
        <f t="shared" si="6"/>
        <v>janeiro</v>
      </c>
      <c r="P165" s="4">
        <f t="shared" si="7"/>
        <v>2024</v>
      </c>
      <c r="Q165" s="4" t="str">
        <f t="shared" si="8"/>
        <v/>
      </c>
      <c r="R165" t="s">
        <v>24</v>
      </c>
    </row>
    <row r="166" spans="1:18" x14ac:dyDescent="0.3">
      <c r="A166" s="1" t="d">
        <v>2024-01-12</v>
      </c>
      <c r="B166">
        <v>45507</v>
      </c>
      <c r="C166" t="str">
        <f>VLOOKUP(Fato_Producao[[#This Row],[referencia]], Dim_Produtos!A:B,2,FALSE)</f>
        <v>salmao posta</v>
      </c>
      <c r="D166">
        <v>3571</v>
      </c>
      <c r="E166">
        <v>3472</v>
      </c>
      <c r="F166" s="5">
        <v>2.7699999999999999E-2</v>
      </c>
      <c r="G166" s="6">
        <v>34.65</v>
      </c>
      <c r="H166">
        <v>7</v>
      </c>
      <c r="I166">
        <v>91</v>
      </c>
      <c r="J166">
        <v>1</v>
      </c>
      <c r="K166">
        <f>Fato_Producao[[#This Row],[embalagens_danificadas]]+Fato_Producao[[#This Row],[peso_errado]]+Fato_Producao[[#This Row],[impressao]]</f>
        <v>99</v>
      </c>
      <c r="L166" s="1" t="d">
        <v>2024-01-09</v>
      </c>
      <c r="M166">
        <v>3</v>
      </c>
      <c r="N166" s="7">
        <v>5.54</v>
      </c>
      <c r="O166" s="4" t="str">
        <f t="shared" si="6"/>
        <v>janeiro</v>
      </c>
      <c r="P166" s="4">
        <f t="shared" si="7"/>
        <v>2024</v>
      </c>
      <c r="Q166" s="4" t="str">
        <f t="shared" si="8"/>
        <v/>
      </c>
      <c r="R166" t="s">
        <v>24</v>
      </c>
    </row>
    <row r="167" spans="1:18" x14ac:dyDescent="0.3">
      <c r="A167" s="1" t="d">
        <v>2024-01-12</v>
      </c>
      <c r="B167">
        <v>45513</v>
      </c>
      <c r="C167" t="str">
        <f>VLOOKUP(Fato_Producao[[#This Row],[referencia]], Dim_Produtos!A:B,2,FALSE)</f>
        <v>filete pescada</v>
      </c>
      <c r="D167">
        <v>2175</v>
      </c>
      <c r="E167">
        <v>2116</v>
      </c>
      <c r="F167" s="5">
        <v>2.7099999999999999E-2</v>
      </c>
      <c r="G167" s="6">
        <v>18.88</v>
      </c>
      <c r="H167">
        <v>3</v>
      </c>
      <c r="I167">
        <v>55</v>
      </c>
      <c r="J167">
        <v>1</v>
      </c>
      <c r="K167">
        <f>Fato_Producao[[#This Row],[embalagens_danificadas]]+Fato_Producao[[#This Row],[peso_errado]]+Fato_Producao[[#This Row],[impressao]]</f>
        <v>59</v>
      </c>
      <c r="L167" s="1" t="d">
        <v>2024-01-09</v>
      </c>
      <c r="M167">
        <v>3</v>
      </c>
      <c r="N167" s="7">
        <v>2.4500000000000002</v>
      </c>
      <c r="O167" s="4" t="str">
        <f t="shared" si="6"/>
        <v>janeiro</v>
      </c>
      <c r="P167" s="4">
        <f t="shared" si="7"/>
        <v>2024</v>
      </c>
      <c r="Q167" s="4" t="str">
        <f t="shared" si="8"/>
        <v/>
      </c>
      <c r="R167" t="s">
        <v>24</v>
      </c>
    </row>
    <row r="168" spans="1:18" x14ac:dyDescent="0.3">
      <c r="A168" s="1" t="d">
        <v>2024-01-13</v>
      </c>
      <c r="B168">
        <v>45500</v>
      </c>
      <c r="C168" t="str">
        <f>VLOOKUP(Fato_Producao[[#This Row],[referencia]], Dim_Produtos!A:B,2,FALSE)</f>
        <v>filete pescada</v>
      </c>
      <c r="D168">
        <v>3798</v>
      </c>
      <c r="E168">
        <v>3703</v>
      </c>
      <c r="F168" s="5">
        <v>2.5000000000000001E-2</v>
      </c>
      <c r="G168" s="6">
        <v>26.6</v>
      </c>
      <c r="H168">
        <v>5</v>
      </c>
      <c r="I168">
        <v>87</v>
      </c>
      <c r="J168">
        <v>3</v>
      </c>
      <c r="K168">
        <f>Fato_Producao[[#This Row],[embalagens_danificadas]]+Fato_Producao[[#This Row],[peso_errado]]+Fato_Producao[[#This Row],[impressao]]</f>
        <v>95</v>
      </c>
      <c r="L168" s="1" t="d">
        <v>2024-01-09</v>
      </c>
      <c r="M168">
        <v>4</v>
      </c>
      <c r="N168" s="7">
        <v>3.19</v>
      </c>
      <c r="O168" s="4" t="str">
        <f t="shared" si="6"/>
        <v>janeiro</v>
      </c>
      <c r="P168" s="4">
        <f t="shared" si="7"/>
        <v>2024</v>
      </c>
      <c r="Q168" s="4" t="str">
        <f t="shared" si="8"/>
        <v/>
      </c>
      <c r="R168" t="s">
        <v>24</v>
      </c>
    </row>
    <row r="169" spans="1:18" x14ac:dyDescent="0.3">
      <c r="A169" s="1" t="d">
        <v>2024-01-14</v>
      </c>
      <c r="B169">
        <v>45510</v>
      </c>
      <c r="C169" t="str">
        <f>VLOOKUP(Fato_Producao[[#This Row],[referencia]], Dim_Produtos!A:B,2,FALSE)</f>
        <v>tiras pota</v>
      </c>
      <c r="D169">
        <v>2509</v>
      </c>
      <c r="E169">
        <v>2366</v>
      </c>
      <c r="F169" s="5">
        <v>5.7000000000000002E-2</v>
      </c>
      <c r="G169" s="6">
        <v>45.76</v>
      </c>
      <c r="H169">
        <v>20</v>
      </c>
      <c r="I169">
        <v>120</v>
      </c>
      <c r="J169">
        <v>3</v>
      </c>
      <c r="K169">
        <f>Fato_Producao[[#This Row],[embalagens_danificadas]]+Fato_Producao[[#This Row],[peso_errado]]+Fato_Producao[[#This Row],[impressao]]</f>
        <v>143</v>
      </c>
      <c r="L169" s="1" t="d">
        <v>2024-01-09</v>
      </c>
      <c r="M169">
        <v>5</v>
      </c>
      <c r="N169" s="7">
        <v>6.41</v>
      </c>
      <c r="O169" s="4" t="str">
        <f t="shared" si="6"/>
        <v>janeiro</v>
      </c>
      <c r="P169" s="4">
        <f t="shared" si="7"/>
        <v>2024</v>
      </c>
      <c r="Q169" s="4" t="str">
        <f t="shared" si="8"/>
        <v/>
      </c>
      <c r="R169" t="s">
        <v>24</v>
      </c>
    </row>
    <row r="170" spans="1:18" x14ac:dyDescent="0.3">
      <c r="A170" s="1" t="d">
        <v>2024-01-14</v>
      </c>
      <c r="B170">
        <v>45513</v>
      </c>
      <c r="C170" t="str">
        <f>VLOOKUP(Fato_Producao[[#This Row],[referencia]], Dim_Produtos!A:B,2,FALSE)</f>
        <v>filete pescada</v>
      </c>
      <c r="D170">
        <v>3668</v>
      </c>
      <c r="E170">
        <v>3504</v>
      </c>
      <c r="F170" s="5">
        <v>4.4699999999999997E-2</v>
      </c>
      <c r="G170" s="6">
        <v>52.48</v>
      </c>
      <c r="H170">
        <v>9</v>
      </c>
      <c r="I170">
        <v>151</v>
      </c>
      <c r="J170">
        <v>4</v>
      </c>
      <c r="K170">
        <f>Fato_Producao[[#This Row],[embalagens_danificadas]]+Fato_Producao[[#This Row],[peso_errado]]+Fato_Producao[[#This Row],[impressao]]</f>
        <v>164</v>
      </c>
      <c r="L170" s="1" t="d">
        <v>2024-01-09</v>
      </c>
      <c r="M170">
        <v>5</v>
      </c>
      <c r="N170" s="7">
        <v>6.82</v>
      </c>
      <c r="O170" s="4" t="str">
        <f t="shared" si="6"/>
        <v>janeiro</v>
      </c>
      <c r="P170" s="4">
        <f t="shared" si="7"/>
        <v>2024</v>
      </c>
      <c r="Q170" s="4" t="str">
        <f t="shared" si="8"/>
        <v/>
      </c>
      <c r="R170" t="s">
        <v>24</v>
      </c>
    </row>
    <row r="171" spans="1:18" x14ac:dyDescent="0.3">
      <c r="A171" s="1" t="d">
        <v>2024-01-15</v>
      </c>
      <c r="B171">
        <v>45510</v>
      </c>
      <c r="C171" t="str">
        <f>VLOOKUP(Fato_Producao[[#This Row],[referencia]], Dim_Produtos!A:B,2,FALSE)</f>
        <v>tiras pota</v>
      </c>
      <c r="D171">
        <v>2025</v>
      </c>
      <c r="E171">
        <v>1897</v>
      </c>
      <c r="F171" s="5">
        <v>6.3200000000000006E-2</v>
      </c>
      <c r="G171" s="6">
        <v>40.96</v>
      </c>
      <c r="H171">
        <v>10</v>
      </c>
      <c r="I171">
        <v>114</v>
      </c>
      <c r="J171">
        <v>4</v>
      </c>
      <c r="K171">
        <f>Fato_Producao[[#This Row],[embalagens_danificadas]]+Fato_Producao[[#This Row],[peso_errado]]+Fato_Producao[[#This Row],[impressao]]</f>
        <v>128</v>
      </c>
      <c r="L171" s="1" t="d">
        <v>2024-01-09</v>
      </c>
      <c r="M171">
        <v>6</v>
      </c>
      <c r="N171" s="7">
        <v>5.73</v>
      </c>
      <c r="O171" s="4" t="str">
        <f t="shared" si="6"/>
        <v>janeiro</v>
      </c>
      <c r="P171" s="4">
        <f t="shared" si="7"/>
        <v>2024</v>
      </c>
      <c r="Q171" s="4" t="str">
        <f t="shared" si="8"/>
        <v/>
      </c>
      <c r="R171" t="s">
        <v>24</v>
      </c>
    </row>
    <row r="172" spans="1:18" x14ac:dyDescent="0.3">
      <c r="A172" s="1" t="d">
        <v>2024-01-16</v>
      </c>
      <c r="B172">
        <v>45504</v>
      </c>
      <c r="C172" t="str">
        <f>VLOOKUP(Fato_Producao[[#This Row],[referencia]], Dim_Produtos!A:B,2,FALSE)</f>
        <v>pescada posta fritar</v>
      </c>
      <c r="D172">
        <v>3596</v>
      </c>
      <c r="E172">
        <v>3440</v>
      </c>
      <c r="F172" s="5">
        <v>4.3400000000000001E-2</v>
      </c>
      <c r="G172" s="6">
        <v>49.92</v>
      </c>
      <c r="H172">
        <v>6</v>
      </c>
      <c r="I172">
        <v>147</v>
      </c>
      <c r="J172">
        <v>3</v>
      </c>
      <c r="K172">
        <f>Fato_Producao[[#This Row],[embalagens_danificadas]]+Fato_Producao[[#This Row],[peso_errado]]+Fato_Producao[[#This Row],[impressao]]</f>
        <v>156</v>
      </c>
      <c r="L172" s="1" t="d">
        <v>2024-01-09</v>
      </c>
      <c r="M172">
        <v>7</v>
      </c>
      <c r="N172" s="7">
        <v>6.99</v>
      </c>
      <c r="O172" s="4" t="str">
        <f t="shared" si="6"/>
        <v>janeiro</v>
      </c>
      <c r="P172" s="4">
        <f t="shared" si="7"/>
        <v>2024</v>
      </c>
      <c r="Q172" s="4" t="str">
        <f t="shared" si="8"/>
        <v/>
      </c>
      <c r="R172" t="s">
        <v>24</v>
      </c>
    </row>
    <row r="173" spans="1:18" x14ac:dyDescent="0.3">
      <c r="A173" s="1" t="d">
        <v>2024-01-16</v>
      </c>
      <c r="B173">
        <v>45510</v>
      </c>
      <c r="C173" t="str">
        <f>VLOOKUP(Fato_Producao[[#This Row],[referencia]], Dim_Produtos!A:B,2,FALSE)</f>
        <v>tiras pota</v>
      </c>
      <c r="D173">
        <v>2649</v>
      </c>
      <c r="E173">
        <v>2446</v>
      </c>
      <c r="F173" s="5">
        <v>7.6600000000000001E-2</v>
      </c>
      <c r="G173" s="6">
        <v>64.959999999999994</v>
      </c>
      <c r="H173">
        <v>19</v>
      </c>
      <c r="I173">
        <v>179</v>
      </c>
      <c r="J173">
        <v>5</v>
      </c>
      <c r="K173">
        <f>Fato_Producao[[#This Row],[embalagens_danificadas]]+Fato_Producao[[#This Row],[peso_errado]]+Fato_Producao[[#This Row],[impressao]]</f>
        <v>203</v>
      </c>
      <c r="L173" s="1" t="d">
        <v>2024-01-09</v>
      </c>
      <c r="M173">
        <v>7</v>
      </c>
      <c r="N173" s="7">
        <v>9.09</v>
      </c>
      <c r="O173" s="4" t="str">
        <f t="shared" si="6"/>
        <v>janeiro</v>
      </c>
      <c r="P173" s="4">
        <f t="shared" si="7"/>
        <v>2024</v>
      </c>
      <c r="Q173" s="4" t="str">
        <f t="shared" si="8"/>
        <v/>
      </c>
      <c r="R173" t="s">
        <v>24</v>
      </c>
    </row>
    <row r="174" spans="1:18" x14ac:dyDescent="0.3">
      <c r="A174" s="1" t="d">
        <v>2024-01-17</v>
      </c>
      <c r="B174">
        <v>45507</v>
      </c>
      <c r="C174" t="str">
        <f>VLOOKUP(Fato_Producao[[#This Row],[referencia]], Dim_Produtos!A:B,2,FALSE)</f>
        <v>salmao posta</v>
      </c>
      <c r="D174">
        <v>2692</v>
      </c>
      <c r="E174">
        <v>2498</v>
      </c>
      <c r="F174" s="5">
        <v>7.2099999999999997E-2</v>
      </c>
      <c r="G174" s="6">
        <v>67.900000000000006</v>
      </c>
      <c r="H174">
        <v>12</v>
      </c>
      <c r="I174">
        <v>177</v>
      </c>
      <c r="J174">
        <v>5</v>
      </c>
      <c r="K174">
        <f>Fato_Producao[[#This Row],[embalagens_danificadas]]+Fato_Producao[[#This Row],[peso_errado]]+Fato_Producao[[#This Row],[impressao]]</f>
        <v>194</v>
      </c>
      <c r="L174" s="1" t="d">
        <v>2024-01-09</v>
      </c>
      <c r="M174">
        <v>8</v>
      </c>
      <c r="N174" s="7">
        <v>10.86</v>
      </c>
      <c r="O174" s="4" t="str">
        <f t="shared" si="6"/>
        <v>janeiro</v>
      </c>
      <c r="P174" s="4">
        <f t="shared" si="7"/>
        <v>2024</v>
      </c>
      <c r="Q174" s="4" t="str">
        <f t="shared" si="8"/>
        <v/>
      </c>
      <c r="R174" t="s">
        <v>24</v>
      </c>
    </row>
    <row r="175" spans="1:18" x14ac:dyDescent="0.3">
      <c r="A175" s="1" t="d">
        <v>2024-01-18</v>
      </c>
      <c r="B175">
        <v>45511</v>
      </c>
      <c r="C175" t="str">
        <f>VLOOKUP(Fato_Producao[[#This Row],[referencia]], Dim_Produtos!A:B,2,FALSE)</f>
        <v>lula limpa</v>
      </c>
      <c r="D175">
        <v>3018</v>
      </c>
      <c r="E175">
        <v>2771</v>
      </c>
      <c r="F175" s="5">
        <v>8.1799999999999998E-2</v>
      </c>
      <c r="G175" s="6">
        <v>79.040000000000006</v>
      </c>
      <c r="H175">
        <v>35</v>
      </c>
      <c r="I175">
        <v>206</v>
      </c>
      <c r="J175">
        <v>6</v>
      </c>
      <c r="K175">
        <f>Fato_Producao[[#This Row],[embalagens_danificadas]]+Fato_Producao[[#This Row],[peso_errado]]+Fato_Producao[[#This Row],[impressao]]</f>
        <v>247</v>
      </c>
      <c r="L175" s="1" t="d">
        <v>2024-01-09</v>
      </c>
      <c r="M175">
        <v>9</v>
      </c>
      <c r="N175" s="7">
        <v>11.07</v>
      </c>
      <c r="O175" s="4" t="str">
        <f t="shared" si="6"/>
        <v>janeiro</v>
      </c>
      <c r="P175" s="4">
        <f t="shared" si="7"/>
        <v>2024</v>
      </c>
      <c r="Q175" s="4" t="str">
        <f t="shared" si="8"/>
        <v/>
      </c>
      <c r="R175" t="s">
        <v>24</v>
      </c>
    </row>
    <row r="176" spans="1:18" x14ac:dyDescent="0.3">
      <c r="A176" s="1" t="d">
        <v>2024-01-19</v>
      </c>
      <c r="B176">
        <v>45504</v>
      </c>
      <c r="C176" t="str">
        <f>VLOOKUP(Fato_Producao[[#This Row],[referencia]], Dim_Produtos!A:B,2,FALSE)</f>
        <v>pescada posta fritar</v>
      </c>
      <c r="D176">
        <v>3218</v>
      </c>
      <c r="E176">
        <v>3036</v>
      </c>
      <c r="F176" s="5">
        <v>5.6599999999999998E-2</v>
      </c>
      <c r="G176" s="6">
        <v>58.24</v>
      </c>
      <c r="H176">
        <v>10</v>
      </c>
      <c r="I176">
        <v>168</v>
      </c>
      <c r="J176">
        <v>4</v>
      </c>
      <c r="K176">
        <f>Fato_Producao[[#This Row],[embalagens_danificadas]]+Fato_Producao[[#This Row],[peso_errado]]+Fato_Producao[[#This Row],[impressao]]</f>
        <v>182</v>
      </c>
      <c r="L176" s="1" t="d">
        <v>2024-01-09</v>
      </c>
      <c r="M176">
        <v>10</v>
      </c>
      <c r="N176" s="7">
        <v>8.15</v>
      </c>
      <c r="O176" s="4" t="str">
        <f t="shared" si="6"/>
        <v>janeiro</v>
      </c>
      <c r="P176" s="4">
        <f t="shared" si="7"/>
        <v>2024</v>
      </c>
      <c r="Q176" s="4" t="str">
        <f t="shared" si="8"/>
        <v/>
      </c>
      <c r="R176" t="s">
        <v>24</v>
      </c>
    </row>
    <row r="177" spans="1:18" x14ac:dyDescent="0.3">
      <c r="A177" s="1" t="d">
        <v>2024-01-19</v>
      </c>
      <c r="B177">
        <v>45509</v>
      </c>
      <c r="C177" t="str">
        <f>VLOOKUP(Fato_Producao[[#This Row],[referencia]], Dim_Produtos!A:B,2,FALSE)</f>
        <v>lascas bacalhau</v>
      </c>
      <c r="D177">
        <v>2713</v>
      </c>
      <c r="E177">
        <v>2568</v>
      </c>
      <c r="F177" s="5">
        <v>5.3400000000000003E-2</v>
      </c>
      <c r="G177" s="6">
        <v>40.6</v>
      </c>
      <c r="H177">
        <v>8</v>
      </c>
      <c r="I177">
        <v>134</v>
      </c>
      <c r="J177">
        <v>3</v>
      </c>
      <c r="K177">
        <f>Fato_Producao[[#This Row],[embalagens_danificadas]]+Fato_Producao[[#This Row],[peso_errado]]+Fato_Producao[[#This Row],[impressao]]</f>
        <v>145</v>
      </c>
      <c r="L177" s="1" t="d">
        <v>2024-01-09</v>
      </c>
      <c r="M177">
        <v>10</v>
      </c>
      <c r="N177" s="7">
        <v>5.28</v>
      </c>
      <c r="O177" s="4" t="str">
        <f t="shared" si="6"/>
        <v>janeiro</v>
      </c>
      <c r="P177" s="4">
        <f t="shared" si="7"/>
        <v>2024</v>
      </c>
      <c r="Q177" s="4" t="str">
        <f t="shared" si="8"/>
        <v/>
      </c>
      <c r="R177" t="s">
        <v>24</v>
      </c>
    </row>
    <row r="178" spans="1:18" x14ac:dyDescent="0.3">
      <c r="A178" s="1" t="d">
        <v>2024-01-20</v>
      </c>
      <c r="B178">
        <v>45500</v>
      </c>
      <c r="C178" t="str">
        <f>VLOOKUP(Fato_Producao[[#This Row],[referencia]], Dim_Produtos!A:B,2,FALSE)</f>
        <v>filete pescada</v>
      </c>
      <c r="D178">
        <v>2937</v>
      </c>
      <c r="E178">
        <v>2864</v>
      </c>
      <c r="F178" s="5">
        <v>2.4899999999999999E-2</v>
      </c>
      <c r="G178" s="6">
        <v>20.440000000000001</v>
      </c>
      <c r="H178">
        <v>3</v>
      </c>
      <c r="I178">
        <v>69</v>
      </c>
      <c r="J178">
        <v>1</v>
      </c>
      <c r="K178">
        <f>Fato_Producao[[#This Row],[embalagens_danificadas]]+Fato_Producao[[#This Row],[peso_errado]]+Fato_Producao[[#This Row],[impressao]]</f>
        <v>73</v>
      </c>
      <c r="L178" s="1" t="d">
        <v>2024-01-09</v>
      </c>
      <c r="M178">
        <v>11</v>
      </c>
      <c r="N178" s="7">
        <v>2.4500000000000002</v>
      </c>
      <c r="O178" s="4" t="str">
        <f t="shared" si="6"/>
        <v>janeiro</v>
      </c>
      <c r="P178" s="4">
        <f t="shared" si="7"/>
        <v>2024</v>
      </c>
      <c r="Q178" s="4" t="str">
        <f t="shared" si="8"/>
        <v/>
      </c>
      <c r="R178" t="s">
        <v>24</v>
      </c>
    </row>
    <row r="179" spans="1:18" x14ac:dyDescent="0.3">
      <c r="A179" s="1" t="d">
        <v>2024-01-21</v>
      </c>
      <c r="B179">
        <v>45510</v>
      </c>
      <c r="C179" t="str">
        <f>VLOOKUP(Fato_Producao[[#This Row],[referencia]], Dim_Produtos!A:B,2,FALSE)</f>
        <v>tiras pota</v>
      </c>
      <c r="D179">
        <v>3796</v>
      </c>
      <c r="E179">
        <v>3544</v>
      </c>
      <c r="F179" s="5">
        <v>6.6400000000000001E-2</v>
      </c>
      <c r="G179" s="6">
        <v>80.64</v>
      </c>
      <c r="H179">
        <v>35</v>
      </c>
      <c r="I179">
        <v>210</v>
      </c>
      <c r="J179">
        <v>7</v>
      </c>
      <c r="K179">
        <f>Fato_Producao[[#This Row],[embalagens_danificadas]]+Fato_Producao[[#This Row],[peso_errado]]+Fato_Producao[[#This Row],[impressao]]</f>
        <v>252</v>
      </c>
      <c r="L179" s="1" t="d">
        <v>2024-01-09</v>
      </c>
      <c r="M179">
        <v>12</v>
      </c>
      <c r="N179" s="7">
        <v>11.29</v>
      </c>
      <c r="O179" s="4" t="str">
        <f t="shared" si="6"/>
        <v>janeiro</v>
      </c>
      <c r="P179" s="4">
        <f t="shared" si="7"/>
        <v>2024</v>
      </c>
      <c r="Q179" s="4" t="str">
        <f t="shared" si="8"/>
        <v/>
      </c>
      <c r="R179" t="s">
        <v>24</v>
      </c>
    </row>
    <row r="180" spans="1:18" x14ac:dyDescent="0.3">
      <c r="A180" s="1" t="d">
        <v>2024-01-21</v>
      </c>
      <c r="B180">
        <v>45507</v>
      </c>
      <c r="C180" t="str">
        <f>VLOOKUP(Fato_Producao[[#This Row],[referencia]], Dim_Produtos!A:B,2,FALSE)</f>
        <v>salmao posta</v>
      </c>
      <c r="D180">
        <v>3939</v>
      </c>
      <c r="E180">
        <v>3702</v>
      </c>
      <c r="F180" s="5">
        <v>6.0199999999999997E-2</v>
      </c>
      <c r="G180" s="6">
        <v>82.95</v>
      </c>
      <c r="H180">
        <v>8</v>
      </c>
      <c r="I180">
        <v>224</v>
      </c>
      <c r="J180">
        <v>5</v>
      </c>
      <c r="K180">
        <f>Fato_Producao[[#This Row],[embalagens_danificadas]]+Fato_Producao[[#This Row],[peso_errado]]+Fato_Producao[[#This Row],[impressao]]</f>
        <v>237</v>
      </c>
      <c r="L180" s="1" t="d">
        <v>2024-01-09</v>
      </c>
      <c r="M180">
        <v>12</v>
      </c>
      <c r="N180" s="7">
        <v>13.27</v>
      </c>
      <c r="O180" s="4" t="str">
        <f t="shared" si="6"/>
        <v>janeiro</v>
      </c>
      <c r="P180" s="4">
        <f t="shared" si="7"/>
        <v>2024</v>
      </c>
      <c r="Q180" s="4" t="str">
        <f t="shared" si="8"/>
        <v/>
      </c>
      <c r="R180" t="s">
        <v>24</v>
      </c>
    </row>
    <row r="181" spans="1:18" x14ac:dyDescent="0.3">
      <c r="A181" s="1" t="d">
        <v>2024-01-22</v>
      </c>
      <c r="B181">
        <v>45506</v>
      </c>
      <c r="C181" t="str">
        <f>VLOOKUP(Fato_Producao[[#This Row],[referencia]], Dim_Produtos!A:B,2,FALSE)</f>
        <v>perca posta</v>
      </c>
      <c r="D181">
        <v>3980</v>
      </c>
      <c r="E181">
        <v>3750</v>
      </c>
      <c r="F181" s="5">
        <v>5.7799999999999997E-2</v>
      </c>
      <c r="G181" s="6">
        <v>80.5</v>
      </c>
      <c r="H181">
        <v>9</v>
      </c>
      <c r="I181">
        <v>219</v>
      </c>
      <c r="J181">
        <v>2</v>
      </c>
      <c r="K181">
        <f>Fato_Producao[[#This Row],[embalagens_danificadas]]+Fato_Producao[[#This Row],[peso_errado]]+Fato_Producao[[#This Row],[impressao]]</f>
        <v>230</v>
      </c>
      <c r="L181" s="1" t="d">
        <v>2024-01-09</v>
      </c>
      <c r="M181">
        <v>13</v>
      </c>
      <c r="N181" s="7">
        <v>12.07</v>
      </c>
      <c r="O181" s="4" t="str">
        <f t="shared" si="6"/>
        <v>janeiro</v>
      </c>
      <c r="P181" s="4">
        <f t="shared" si="7"/>
        <v>2024</v>
      </c>
      <c r="Q181" s="4" t="str">
        <f t="shared" si="8"/>
        <v/>
      </c>
      <c r="R181" t="s">
        <v>24</v>
      </c>
    </row>
    <row r="182" spans="1:18" x14ac:dyDescent="0.3">
      <c r="A182" s="1" t="d">
        <v>2024-01-22</v>
      </c>
      <c r="B182">
        <v>45506</v>
      </c>
      <c r="C182" t="str">
        <f>VLOOKUP(Fato_Producao[[#This Row],[referencia]], Dim_Produtos!A:B,2,FALSE)</f>
        <v>perca posta</v>
      </c>
      <c r="D182">
        <v>2225</v>
      </c>
      <c r="E182">
        <v>2116</v>
      </c>
      <c r="F182" s="5">
        <v>4.9000000000000002E-2</v>
      </c>
      <c r="G182" s="6">
        <v>38.15</v>
      </c>
      <c r="H182">
        <v>6</v>
      </c>
      <c r="I182">
        <v>100</v>
      </c>
      <c r="J182">
        <v>3</v>
      </c>
      <c r="K182">
        <f>Fato_Producao[[#This Row],[embalagens_danificadas]]+Fato_Producao[[#This Row],[peso_errado]]+Fato_Producao[[#This Row],[impressao]]</f>
        <v>109</v>
      </c>
      <c r="L182" s="1" t="d">
        <v>2024-01-09</v>
      </c>
      <c r="M182">
        <v>13</v>
      </c>
      <c r="N182" s="7">
        <v>5.72</v>
      </c>
      <c r="O182" s="4" t="str">
        <f t="shared" si="6"/>
        <v>janeiro</v>
      </c>
      <c r="P182" s="4">
        <f t="shared" si="7"/>
        <v>2024</v>
      </c>
      <c r="Q182" s="4" t="str">
        <f t="shared" si="8"/>
        <v/>
      </c>
      <c r="R182" t="s">
        <v>24</v>
      </c>
    </row>
    <row r="183" spans="1:18" x14ac:dyDescent="0.3">
      <c r="A183" s="1" t="d">
        <v>2024-01-23</v>
      </c>
      <c r="B183">
        <v>45512</v>
      </c>
      <c r="C183" t="str">
        <f>VLOOKUP(Fato_Producao[[#This Row],[referencia]], Dim_Produtos!A:B,2,FALSE)</f>
        <v>red-fish posta</v>
      </c>
      <c r="D183">
        <v>3347</v>
      </c>
      <c r="E183">
        <v>3195</v>
      </c>
      <c r="F183" s="5">
        <v>4.5400000000000003E-2</v>
      </c>
      <c r="G183" s="6">
        <v>51.68</v>
      </c>
      <c r="H183">
        <v>57</v>
      </c>
      <c r="I183">
        <v>31</v>
      </c>
      <c r="J183">
        <v>64</v>
      </c>
      <c r="K183">
        <f>Fato_Producao[[#This Row],[embalagens_danificadas]]+Fato_Producao[[#This Row],[peso_errado]]+Fato_Producao[[#This Row],[impressao]]</f>
        <v>152</v>
      </c>
      <c r="L183" s="1" t="d">
        <v>2024-01-09</v>
      </c>
      <c r="M183">
        <v>14</v>
      </c>
      <c r="N183" s="7">
        <v>7.24</v>
      </c>
      <c r="O183" s="4" t="str">
        <f t="shared" si="6"/>
        <v>janeiro</v>
      </c>
      <c r="P183" s="4">
        <f t="shared" si="7"/>
        <v>2024</v>
      </c>
      <c r="Q183" s="4" t="str">
        <f t="shared" si="8"/>
        <v/>
      </c>
      <c r="R183" t="s">
        <v>50</v>
      </c>
    </row>
    <row r="184" spans="1:18" x14ac:dyDescent="0.3">
      <c r="A184" s="1" t="d">
        <v>2024-01-23</v>
      </c>
      <c r="B184">
        <v>45500</v>
      </c>
      <c r="C184" t="str">
        <f>VLOOKUP(Fato_Producao[[#This Row],[referencia]], Dim_Produtos!A:B,2,FALSE)</f>
        <v>filete pescada</v>
      </c>
      <c r="D184">
        <v>3056</v>
      </c>
      <c r="E184">
        <v>2955</v>
      </c>
      <c r="F184" s="5">
        <v>3.3000000000000002E-2</v>
      </c>
      <c r="G184" s="6">
        <v>28.28</v>
      </c>
      <c r="H184">
        <v>3</v>
      </c>
      <c r="I184">
        <v>95</v>
      </c>
      <c r="J184">
        <v>3</v>
      </c>
      <c r="K184">
        <f>Fato_Producao[[#This Row],[embalagens_danificadas]]+Fato_Producao[[#This Row],[peso_errado]]+Fato_Producao[[#This Row],[impressao]]</f>
        <v>101</v>
      </c>
      <c r="L184" s="1" t="d">
        <v>2024-01-09</v>
      </c>
      <c r="M184">
        <v>14</v>
      </c>
      <c r="N184" s="7">
        <v>3.39</v>
      </c>
      <c r="O184" s="4" t="str">
        <f t="shared" si="6"/>
        <v>janeiro</v>
      </c>
      <c r="P184" s="4">
        <f t="shared" si="7"/>
        <v>2024</v>
      </c>
      <c r="Q184" s="4" t="str">
        <f t="shared" si="8"/>
        <v/>
      </c>
      <c r="R184" t="s">
        <v>24</v>
      </c>
    </row>
    <row r="185" spans="1:18" x14ac:dyDescent="0.3">
      <c r="A185" s="1" t="d">
        <v>2024-01-24</v>
      </c>
      <c r="B185">
        <v>45513</v>
      </c>
      <c r="C185" t="str">
        <f>VLOOKUP(Fato_Producao[[#This Row],[referencia]], Dim_Produtos!A:B,2,FALSE)</f>
        <v>filete pescada</v>
      </c>
      <c r="D185">
        <v>2385</v>
      </c>
      <c r="E185">
        <v>2237</v>
      </c>
      <c r="F185" s="5">
        <v>6.2100000000000002E-2</v>
      </c>
      <c r="G185" s="6">
        <v>47.36</v>
      </c>
      <c r="H185">
        <v>4</v>
      </c>
      <c r="I185">
        <v>141</v>
      </c>
      <c r="J185">
        <v>3</v>
      </c>
      <c r="K185">
        <f>Fato_Producao[[#This Row],[embalagens_danificadas]]+Fato_Producao[[#This Row],[peso_errado]]+Fato_Producao[[#This Row],[impressao]]</f>
        <v>148</v>
      </c>
      <c r="L185" s="1" t="d">
        <v>2024-01-09</v>
      </c>
      <c r="M185">
        <v>15</v>
      </c>
      <c r="N185" s="7">
        <v>6.16</v>
      </c>
      <c r="O185" s="4" t="str">
        <f t="shared" si="6"/>
        <v>janeiro</v>
      </c>
      <c r="P185" s="4">
        <f t="shared" si="7"/>
        <v>2024</v>
      </c>
      <c r="Q185" s="4" t="str">
        <f t="shared" si="8"/>
        <v/>
      </c>
      <c r="R185" t="s">
        <v>24</v>
      </c>
    </row>
    <row r="186" spans="1:18" x14ac:dyDescent="0.3">
      <c r="A186" s="1" t="d">
        <v>2024-01-25</v>
      </c>
      <c r="B186">
        <v>45504</v>
      </c>
      <c r="C186" t="str">
        <f>VLOOKUP(Fato_Producao[[#This Row],[referencia]], Dim_Produtos!A:B,2,FALSE)</f>
        <v>pescada posta fritar</v>
      </c>
      <c r="D186">
        <v>2788</v>
      </c>
      <c r="E186">
        <v>2627</v>
      </c>
      <c r="F186" s="5">
        <v>5.7700000000000001E-2</v>
      </c>
      <c r="G186" s="6">
        <v>51.52</v>
      </c>
      <c r="H186">
        <v>5</v>
      </c>
      <c r="I186">
        <v>154</v>
      </c>
      <c r="J186">
        <v>2</v>
      </c>
      <c r="K186">
        <f>Fato_Producao[[#This Row],[embalagens_danificadas]]+Fato_Producao[[#This Row],[peso_errado]]+Fato_Producao[[#This Row],[impressao]]</f>
        <v>161</v>
      </c>
      <c r="L186" s="1" t="d">
        <v>2024-01-09</v>
      </c>
      <c r="M186">
        <v>16</v>
      </c>
      <c r="N186" s="7">
        <v>7.21</v>
      </c>
      <c r="O186" s="4" t="str">
        <f t="shared" si="6"/>
        <v>janeiro</v>
      </c>
      <c r="P186" s="4">
        <f t="shared" si="7"/>
        <v>2024</v>
      </c>
      <c r="Q186" s="4" t="str">
        <f t="shared" si="8"/>
        <v/>
      </c>
      <c r="R186" t="s">
        <v>24</v>
      </c>
    </row>
    <row r="187" spans="1:18" x14ac:dyDescent="0.3">
      <c r="A187" s="1" t="d">
        <v>2024-01-26</v>
      </c>
      <c r="B187">
        <v>45500</v>
      </c>
      <c r="C187" t="str">
        <f>VLOOKUP(Fato_Producao[[#This Row],[referencia]], Dim_Produtos!A:B,2,FALSE)</f>
        <v>filete pescada</v>
      </c>
      <c r="D187">
        <v>2685</v>
      </c>
      <c r="E187">
        <v>2540</v>
      </c>
      <c r="F187" s="5">
        <v>5.3999999999999999E-2</v>
      </c>
      <c r="G187" s="6">
        <v>40.6</v>
      </c>
      <c r="H187">
        <v>7</v>
      </c>
      <c r="I187">
        <v>136</v>
      </c>
      <c r="J187">
        <v>2</v>
      </c>
      <c r="K187">
        <f>Fato_Producao[[#This Row],[embalagens_danificadas]]+Fato_Producao[[#This Row],[peso_errado]]+Fato_Producao[[#This Row],[impressao]]</f>
        <v>145</v>
      </c>
      <c r="L187" s="1" t="d">
        <v>2024-01-09</v>
      </c>
      <c r="M187">
        <v>17</v>
      </c>
      <c r="N187" s="7">
        <v>4.87</v>
      </c>
      <c r="O187" s="4" t="str">
        <f t="shared" si="6"/>
        <v>janeiro</v>
      </c>
      <c r="P187" s="4">
        <f t="shared" si="7"/>
        <v>2024</v>
      </c>
      <c r="Q187" s="4" t="str">
        <f t="shared" si="8"/>
        <v/>
      </c>
      <c r="R187" t="s">
        <v>24</v>
      </c>
    </row>
    <row r="188" spans="1:18" x14ac:dyDescent="0.3">
      <c r="A188" s="1" t="d">
        <v>2024-01-26</v>
      </c>
      <c r="B188">
        <v>45501</v>
      </c>
      <c r="C188" t="str">
        <f>VLOOKUP(Fato_Producao[[#This Row],[referencia]], Dim_Produtos!A:B,2,FALSE)</f>
        <v>pescada posta cozer</v>
      </c>
      <c r="D188">
        <v>2503</v>
      </c>
      <c r="E188">
        <v>2357</v>
      </c>
      <c r="F188" s="5">
        <v>5.8299999999999998E-2</v>
      </c>
      <c r="G188" s="6">
        <v>46.72</v>
      </c>
      <c r="H188">
        <v>6</v>
      </c>
      <c r="I188">
        <v>137</v>
      </c>
      <c r="J188">
        <v>3</v>
      </c>
      <c r="K188">
        <f>Fato_Producao[[#This Row],[embalagens_danificadas]]+Fato_Producao[[#This Row],[peso_errado]]+Fato_Producao[[#This Row],[impressao]]</f>
        <v>146</v>
      </c>
      <c r="L188" s="1" t="d">
        <v>2024-01-09</v>
      </c>
      <c r="M188">
        <v>17</v>
      </c>
      <c r="N188" s="7">
        <v>6.54</v>
      </c>
      <c r="O188" s="4" t="str">
        <f t="shared" si="6"/>
        <v>janeiro</v>
      </c>
      <c r="P188" s="4">
        <f t="shared" si="7"/>
        <v>2024</v>
      </c>
      <c r="Q188" s="4" t="str">
        <f t="shared" si="8"/>
        <v/>
      </c>
      <c r="R188" t="s">
        <v>24</v>
      </c>
    </row>
    <row r="189" spans="1:18" x14ac:dyDescent="0.3">
      <c r="A189" s="1" t="d">
        <v>2024-01-27</v>
      </c>
      <c r="B189">
        <v>45500</v>
      </c>
      <c r="C189" t="str">
        <f>VLOOKUP(Fato_Producao[[#This Row],[referencia]], Dim_Produtos!A:B,2,FALSE)</f>
        <v>filete pescada</v>
      </c>
      <c r="D189">
        <v>3926</v>
      </c>
      <c r="E189">
        <v>3655</v>
      </c>
      <c r="F189" s="5">
        <v>6.9000000000000006E-2</v>
      </c>
      <c r="G189" s="6">
        <v>75.88</v>
      </c>
      <c r="H189">
        <v>18</v>
      </c>
      <c r="I189">
        <v>250</v>
      </c>
      <c r="J189">
        <v>3</v>
      </c>
      <c r="K189">
        <f>Fato_Producao[[#This Row],[embalagens_danificadas]]+Fato_Producao[[#This Row],[peso_errado]]+Fato_Producao[[#This Row],[impressao]]</f>
        <v>271</v>
      </c>
      <c r="L189" s="1" t="d">
        <v>2024-01-09</v>
      </c>
      <c r="M189">
        <v>18</v>
      </c>
      <c r="N189" s="7">
        <v>9.11</v>
      </c>
      <c r="O189" s="4" t="str">
        <f t="shared" si="6"/>
        <v>janeiro</v>
      </c>
      <c r="P189" s="4">
        <f t="shared" si="7"/>
        <v>2024</v>
      </c>
      <c r="Q189" s="4" t="str">
        <f t="shared" si="8"/>
        <v/>
      </c>
      <c r="R189" t="s">
        <v>24</v>
      </c>
    </row>
    <row r="190" spans="1:18" x14ac:dyDescent="0.3">
      <c r="A190" s="1" t="d">
        <v>2024-01-28</v>
      </c>
      <c r="B190">
        <v>45501</v>
      </c>
      <c r="C190" t="str">
        <f>VLOOKUP(Fato_Producao[[#This Row],[referencia]], Dim_Produtos!A:B,2,FALSE)</f>
        <v>pescada posta cozer</v>
      </c>
      <c r="D190">
        <v>2315</v>
      </c>
      <c r="E190">
        <v>2196</v>
      </c>
      <c r="F190" s="5">
        <v>5.1400000000000001E-2</v>
      </c>
      <c r="G190" s="6">
        <v>38.08</v>
      </c>
      <c r="H190">
        <v>3</v>
      </c>
      <c r="I190">
        <v>113</v>
      </c>
      <c r="J190">
        <v>3</v>
      </c>
      <c r="K190">
        <f>Fato_Producao[[#This Row],[embalagens_danificadas]]+Fato_Producao[[#This Row],[peso_errado]]+Fato_Producao[[#This Row],[impressao]]</f>
        <v>119</v>
      </c>
      <c r="L190" s="1" t="d">
        <v>2024-01-09</v>
      </c>
      <c r="M190">
        <v>19</v>
      </c>
      <c r="N190" s="7">
        <v>5.33</v>
      </c>
      <c r="O190" s="4" t="str">
        <f t="shared" si="6"/>
        <v>janeiro</v>
      </c>
      <c r="P190" s="4">
        <f t="shared" si="7"/>
        <v>2024</v>
      </c>
      <c r="Q190" s="4" t="str">
        <f t="shared" si="8"/>
        <v/>
      </c>
      <c r="R190" t="s">
        <v>24</v>
      </c>
    </row>
    <row r="191" spans="1:18" x14ac:dyDescent="0.3">
      <c r="A191" s="1" t="d">
        <v>2024-01-29</v>
      </c>
      <c r="B191">
        <v>45501</v>
      </c>
      <c r="C191" t="str">
        <f>VLOOKUP(Fato_Producao[[#This Row],[referencia]], Dim_Produtos!A:B,2,FALSE)</f>
        <v>pescada posta cozer</v>
      </c>
      <c r="D191">
        <v>3510</v>
      </c>
      <c r="E191">
        <v>3353</v>
      </c>
      <c r="F191" s="5">
        <v>4.4699999999999997E-2</v>
      </c>
      <c r="G191" s="6">
        <v>50.24</v>
      </c>
      <c r="H191">
        <v>7</v>
      </c>
      <c r="I191">
        <v>148</v>
      </c>
      <c r="J191">
        <v>2</v>
      </c>
      <c r="K191">
        <f>Fato_Producao[[#This Row],[embalagens_danificadas]]+Fato_Producao[[#This Row],[peso_errado]]+Fato_Producao[[#This Row],[impressao]]</f>
        <v>157</v>
      </c>
      <c r="L191" s="1" t="d">
        <v>2024-01-09</v>
      </c>
      <c r="M191">
        <v>20</v>
      </c>
      <c r="N191" s="7">
        <v>7.03</v>
      </c>
      <c r="O191" s="4" t="str">
        <f t="shared" si="6"/>
        <v>janeiro</v>
      </c>
      <c r="P191" s="4">
        <f t="shared" si="7"/>
        <v>2024</v>
      </c>
      <c r="Q191" s="4" t="str">
        <f t="shared" si="8"/>
        <v/>
      </c>
      <c r="R191" t="s">
        <v>24</v>
      </c>
    </row>
    <row r="192" spans="1:18" x14ac:dyDescent="0.3">
      <c r="A192" s="1" t="d">
        <v>2024-01-30</v>
      </c>
      <c r="B192">
        <v>45511</v>
      </c>
      <c r="C192" t="str">
        <f>VLOOKUP(Fato_Producao[[#This Row],[referencia]], Dim_Produtos!A:B,2,FALSE)</f>
        <v>lula limpa</v>
      </c>
      <c r="D192">
        <v>2788</v>
      </c>
      <c r="E192">
        <v>2561</v>
      </c>
      <c r="F192" s="5">
        <v>8.14E-2</v>
      </c>
      <c r="G192" s="6">
        <v>72.64</v>
      </c>
      <c r="H192">
        <v>24</v>
      </c>
      <c r="I192">
        <v>199</v>
      </c>
      <c r="J192">
        <v>4</v>
      </c>
      <c r="K192">
        <f>Fato_Producao[[#This Row],[embalagens_danificadas]]+Fato_Producao[[#This Row],[peso_errado]]+Fato_Producao[[#This Row],[impressao]]</f>
        <v>227</v>
      </c>
      <c r="L192" s="1" t="d">
        <v>2024-01-09</v>
      </c>
      <c r="M192">
        <v>21</v>
      </c>
      <c r="N192" s="7">
        <v>10.17</v>
      </c>
      <c r="O192" s="4" t="str">
        <f t="shared" si="6"/>
        <v>janeiro</v>
      </c>
      <c r="P192" s="4">
        <f t="shared" si="7"/>
        <v>2024</v>
      </c>
      <c r="Q192" s="4" t="str">
        <f t="shared" si="8"/>
        <v/>
      </c>
      <c r="R192" t="s">
        <v>24</v>
      </c>
    </row>
    <row r="193" spans="1:18" x14ac:dyDescent="0.3">
      <c r="A193" s="1" t="d">
        <v>2024-01-30</v>
      </c>
      <c r="B193">
        <v>45502</v>
      </c>
      <c r="C193" t="str">
        <f>VLOOKUP(Fato_Producao[[#This Row],[referencia]], Dim_Produtos!A:B,2,FALSE)</f>
        <v>carapau pelim</v>
      </c>
      <c r="D193">
        <v>3330</v>
      </c>
      <c r="E193">
        <v>3074</v>
      </c>
      <c r="F193" s="5">
        <v>7.6899999999999996E-2</v>
      </c>
      <c r="G193" s="6">
        <v>76.8</v>
      </c>
      <c r="H193">
        <v>78</v>
      </c>
      <c r="I193">
        <v>174</v>
      </c>
      <c r="J193">
        <v>4</v>
      </c>
      <c r="K193">
        <f>Fato_Producao[[#This Row],[embalagens_danificadas]]+Fato_Producao[[#This Row],[peso_errado]]+Fato_Producao[[#This Row],[impressao]]</f>
        <v>256</v>
      </c>
      <c r="L193" s="1" t="d">
        <v>2024-01-09</v>
      </c>
      <c r="M193">
        <v>21</v>
      </c>
      <c r="N193" s="7">
        <v>9.98</v>
      </c>
      <c r="O193" s="4" t="str">
        <f t="shared" si="6"/>
        <v>janeiro</v>
      </c>
      <c r="P193" s="4">
        <f t="shared" si="7"/>
        <v>2024</v>
      </c>
      <c r="Q193" s="4" t="str">
        <f t="shared" si="8"/>
        <v/>
      </c>
      <c r="R193" t="s">
        <v>24</v>
      </c>
    </row>
    <row r="194" spans="1:18" x14ac:dyDescent="0.3">
      <c r="A194" s="1" t="d">
        <v>2024-01-31</v>
      </c>
      <c r="B194">
        <v>45500</v>
      </c>
      <c r="C194" t="str">
        <f>VLOOKUP(Fato_Producao[[#This Row],[referencia]], Dim_Produtos!A:B,2,FALSE)</f>
        <v>filete pescada</v>
      </c>
      <c r="D194">
        <v>2592</v>
      </c>
      <c r="E194">
        <v>2441</v>
      </c>
      <c r="F194" s="5">
        <v>5.8299999999999998E-2</v>
      </c>
      <c r="G194" s="6">
        <v>42.28</v>
      </c>
      <c r="H194">
        <v>7</v>
      </c>
      <c r="I194">
        <v>142</v>
      </c>
      <c r="J194">
        <v>2</v>
      </c>
      <c r="K194">
        <f>Fato_Producao[[#This Row],[embalagens_danificadas]]+Fato_Producao[[#This Row],[peso_errado]]+Fato_Producao[[#This Row],[impressao]]</f>
        <v>151</v>
      </c>
      <c r="L194" s="1" t="d">
        <v>2024-01-09</v>
      </c>
      <c r="M194">
        <v>22</v>
      </c>
      <c r="N194" s="7">
        <v>5.07</v>
      </c>
      <c r="O194" s="4" t="str">
        <f t="shared" ref="O194:O257" si="9">TEXT(A194, "mmmm")</f>
        <v>janeiro</v>
      </c>
      <c r="P194" s="4">
        <f t="shared" ref="P194:P257" si="10">YEAR(A194)</f>
        <v>2024</v>
      </c>
      <c r="Q194" s="4" t="str">
        <f t="shared" ref="Q194:Q257" si="11">IF(M195 &gt;= M194, "", M194)</f>
        <v/>
      </c>
      <c r="R194" t="s">
        <v>24</v>
      </c>
    </row>
    <row r="195" spans="1:18" x14ac:dyDescent="0.3">
      <c r="A195" s="1" t="d">
        <v>2024-02-01</v>
      </c>
      <c r="B195">
        <v>45512</v>
      </c>
      <c r="C195" t="str">
        <f>VLOOKUP(Fato_Producao[[#This Row],[referencia]], Dim_Produtos!A:B,2,FALSE)</f>
        <v>red-fish posta</v>
      </c>
      <c r="D195">
        <v>2319</v>
      </c>
      <c r="E195">
        <v>2137</v>
      </c>
      <c r="F195" s="5">
        <v>7.85E-2</v>
      </c>
      <c r="G195" s="6">
        <v>61.88</v>
      </c>
      <c r="H195">
        <v>4</v>
      </c>
      <c r="I195">
        <v>173</v>
      </c>
      <c r="J195">
        <v>5</v>
      </c>
      <c r="K195">
        <f>Fato_Producao[[#This Row],[embalagens_danificadas]]+Fato_Producao[[#This Row],[peso_errado]]+Fato_Producao[[#This Row],[impressao]]</f>
        <v>182</v>
      </c>
      <c r="L195" s="1" t="d">
        <v>2024-01-09</v>
      </c>
      <c r="M195">
        <v>23</v>
      </c>
      <c r="N195" s="7">
        <v>8.66</v>
      </c>
      <c r="O195" s="4" t="str">
        <f t="shared" si="9"/>
        <v>fevereiro</v>
      </c>
      <c r="P195" s="4">
        <f t="shared" si="10"/>
        <v>2024</v>
      </c>
      <c r="Q195" s="4" t="str">
        <f t="shared" si="11"/>
        <v/>
      </c>
      <c r="R195" t="s">
        <v>24</v>
      </c>
    </row>
    <row r="196" spans="1:18" x14ac:dyDescent="0.3">
      <c r="A196" s="1" t="d">
        <v>2024-02-02</v>
      </c>
      <c r="B196">
        <v>45511</v>
      </c>
      <c r="C196" t="str">
        <f>VLOOKUP(Fato_Producao[[#This Row],[referencia]], Dim_Produtos!A:B,2,FALSE)</f>
        <v>lula limpa</v>
      </c>
      <c r="D196">
        <v>2492</v>
      </c>
      <c r="E196">
        <v>2284</v>
      </c>
      <c r="F196" s="5">
        <v>8.3500000000000005E-2</v>
      </c>
      <c r="G196" s="6">
        <v>66.56</v>
      </c>
      <c r="H196">
        <v>77</v>
      </c>
      <c r="I196">
        <v>27</v>
      </c>
      <c r="J196">
        <v>104</v>
      </c>
      <c r="K196">
        <f>Fato_Producao[[#This Row],[embalagens_danificadas]]+Fato_Producao[[#This Row],[peso_errado]]+Fato_Producao[[#This Row],[impressao]]</f>
        <v>208</v>
      </c>
      <c r="L196" s="1" t="d">
        <v>2024-01-09</v>
      </c>
      <c r="M196">
        <v>24</v>
      </c>
      <c r="N196" s="7">
        <v>9.32</v>
      </c>
      <c r="O196" s="4" t="str">
        <f t="shared" si="9"/>
        <v>fevereiro</v>
      </c>
      <c r="P196" s="4">
        <f t="shared" si="10"/>
        <v>2024</v>
      </c>
      <c r="Q196" s="4" t="str">
        <f t="shared" si="11"/>
        <v/>
      </c>
      <c r="R196" t="s">
        <v>50</v>
      </c>
    </row>
    <row r="197" spans="1:18" x14ac:dyDescent="0.3">
      <c r="A197" s="1" t="d">
        <v>2024-02-02</v>
      </c>
      <c r="B197">
        <v>45503</v>
      </c>
      <c r="C197" t="str">
        <f>VLOOKUP(Fato_Producao[[#This Row],[referencia]], Dim_Produtos!A:B,2,FALSE)</f>
        <v>sardinha pequena</v>
      </c>
      <c r="D197">
        <v>3563</v>
      </c>
      <c r="E197">
        <v>3351</v>
      </c>
      <c r="F197" s="5">
        <v>5.9499999999999997E-2</v>
      </c>
      <c r="G197" s="6">
        <v>55.12</v>
      </c>
      <c r="H197">
        <v>14</v>
      </c>
      <c r="I197">
        <v>195</v>
      </c>
      <c r="J197">
        <v>3</v>
      </c>
      <c r="K197">
        <f>Fato_Producao[[#This Row],[embalagens_danificadas]]+Fato_Producao[[#This Row],[peso_errado]]+Fato_Producao[[#This Row],[impressao]]</f>
        <v>212</v>
      </c>
      <c r="L197" s="1" t="d">
        <v>2024-01-09</v>
      </c>
      <c r="M197">
        <v>24</v>
      </c>
      <c r="N197" s="7">
        <v>6.06</v>
      </c>
      <c r="O197" s="4" t="str">
        <f t="shared" si="9"/>
        <v>fevereiro</v>
      </c>
      <c r="P197" s="4">
        <f t="shared" si="10"/>
        <v>2024</v>
      </c>
      <c r="Q197" s="4" t="str">
        <f t="shared" si="11"/>
        <v/>
      </c>
      <c r="R197" t="s">
        <v>24</v>
      </c>
    </row>
    <row r="198" spans="1:18" x14ac:dyDescent="0.3">
      <c r="A198" s="1" t="d">
        <v>2024-02-03</v>
      </c>
      <c r="B198">
        <v>45504</v>
      </c>
      <c r="C198" t="str">
        <f>VLOOKUP(Fato_Producao[[#This Row],[referencia]], Dim_Produtos!A:B,2,FALSE)</f>
        <v>pescada posta fritar</v>
      </c>
      <c r="D198">
        <v>1916</v>
      </c>
      <c r="E198">
        <v>1808</v>
      </c>
      <c r="F198" s="5">
        <v>5.6399999999999999E-2</v>
      </c>
      <c r="G198" s="6">
        <v>34.56</v>
      </c>
      <c r="H198">
        <v>7</v>
      </c>
      <c r="I198">
        <v>99</v>
      </c>
      <c r="J198">
        <v>2</v>
      </c>
      <c r="K198">
        <f>Fato_Producao[[#This Row],[embalagens_danificadas]]+Fato_Producao[[#This Row],[peso_errado]]+Fato_Producao[[#This Row],[impressao]]</f>
        <v>108</v>
      </c>
      <c r="L198" s="1" t="d">
        <v>2024-01-09</v>
      </c>
      <c r="M198">
        <v>25</v>
      </c>
      <c r="N198" s="7">
        <v>4.84</v>
      </c>
      <c r="O198" s="4" t="str">
        <f t="shared" si="9"/>
        <v>fevereiro</v>
      </c>
      <c r="P198" s="4">
        <f t="shared" si="10"/>
        <v>2024</v>
      </c>
      <c r="Q198" s="4" t="str">
        <f t="shared" si="11"/>
        <v/>
      </c>
      <c r="R198" t="s">
        <v>24</v>
      </c>
    </row>
    <row r="199" spans="1:18" x14ac:dyDescent="0.3">
      <c r="A199" s="1" t="d">
        <v>2024-02-03</v>
      </c>
      <c r="B199">
        <v>45513</v>
      </c>
      <c r="C199" t="str">
        <f>VLOOKUP(Fato_Producao[[#This Row],[referencia]], Dim_Produtos!A:B,2,FALSE)</f>
        <v>filete pescada</v>
      </c>
      <c r="D199">
        <v>3143</v>
      </c>
      <c r="E199">
        <v>2884</v>
      </c>
      <c r="F199" s="5">
        <v>8.2400000000000001E-2</v>
      </c>
      <c r="G199" s="6">
        <v>82.88</v>
      </c>
      <c r="H199">
        <v>5</v>
      </c>
      <c r="I199">
        <v>248</v>
      </c>
      <c r="J199">
        <v>6</v>
      </c>
      <c r="K199">
        <f>Fato_Producao[[#This Row],[embalagens_danificadas]]+Fato_Producao[[#This Row],[peso_errado]]+Fato_Producao[[#This Row],[impressao]]</f>
        <v>259</v>
      </c>
      <c r="L199" s="1" t="d">
        <v>2024-01-09</v>
      </c>
      <c r="M199">
        <v>25</v>
      </c>
      <c r="N199" s="7">
        <v>10.77</v>
      </c>
      <c r="O199" s="4" t="str">
        <f t="shared" si="9"/>
        <v>fevereiro</v>
      </c>
      <c r="P199" s="4">
        <f t="shared" si="10"/>
        <v>2024</v>
      </c>
      <c r="Q199" s="4" t="str">
        <f t="shared" si="11"/>
        <v/>
      </c>
      <c r="R199" t="s">
        <v>24</v>
      </c>
    </row>
    <row r="200" spans="1:18" x14ac:dyDescent="0.3">
      <c r="A200" s="1" t="d">
        <v>2024-02-04</v>
      </c>
      <c r="B200">
        <v>45508</v>
      </c>
      <c r="C200" t="str">
        <f>VLOOKUP(Fato_Producao[[#This Row],[referencia]], Dim_Produtos!A:B,2,FALSE)</f>
        <v>lula suja</v>
      </c>
      <c r="D200">
        <v>3843</v>
      </c>
      <c r="E200">
        <v>3509</v>
      </c>
      <c r="F200" s="5">
        <v>8.6900000000000005E-2</v>
      </c>
      <c r="G200" s="6">
        <v>106.88</v>
      </c>
      <c r="H200">
        <v>50</v>
      </c>
      <c r="I200">
        <v>280</v>
      </c>
      <c r="J200">
        <v>4</v>
      </c>
      <c r="K200">
        <f>Fato_Producao[[#This Row],[embalagens_danificadas]]+Fato_Producao[[#This Row],[peso_errado]]+Fato_Producao[[#This Row],[impressao]]</f>
        <v>334</v>
      </c>
      <c r="L200" s="1" t="d">
        <v>2024-01-09</v>
      </c>
      <c r="M200">
        <v>26</v>
      </c>
      <c r="N200" s="7">
        <v>14.96</v>
      </c>
      <c r="O200" s="4" t="str">
        <f t="shared" si="9"/>
        <v>fevereiro</v>
      </c>
      <c r="P200" s="4">
        <f t="shared" si="10"/>
        <v>2024</v>
      </c>
      <c r="Q200" s="4" t="str">
        <f t="shared" si="11"/>
        <v/>
      </c>
      <c r="R200" t="s">
        <v>24</v>
      </c>
    </row>
    <row r="201" spans="1:18" x14ac:dyDescent="0.3">
      <c r="A201" s="1" t="d">
        <v>2024-02-04</v>
      </c>
      <c r="B201">
        <v>45505</v>
      </c>
      <c r="C201" t="str">
        <f>VLOOKUP(Fato_Producao[[#This Row],[referencia]], Dim_Produtos!A:B,2,FALSE)</f>
        <v>camarao</v>
      </c>
      <c r="D201">
        <v>2909</v>
      </c>
      <c r="E201">
        <v>2693</v>
      </c>
      <c r="F201" s="5">
        <v>7.4300000000000005E-2</v>
      </c>
      <c r="G201" s="6">
        <v>64.8</v>
      </c>
      <c r="H201">
        <v>50</v>
      </c>
      <c r="I201">
        <v>159</v>
      </c>
      <c r="J201">
        <v>7</v>
      </c>
      <c r="K201">
        <f>Fato_Producao[[#This Row],[embalagens_danificadas]]+Fato_Producao[[#This Row],[peso_errado]]+Fato_Producao[[#This Row],[impressao]]</f>
        <v>216</v>
      </c>
      <c r="L201" s="1" t="d">
        <v>2024-01-09</v>
      </c>
      <c r="M201">
        <v>26</v>
      </c>
      <c r="N201" s="7">
        <v>9.7200000000000006</v>
      </c>
      <c r="O201" s="4" t="str">
        <f t="shared" si="9"/>
        <v>fevereiro</v>
      </c>
      <c r="P201" s="4">
        <f t="shared" si="10"/>
        <v>2024</v>
      </c>
      <c r="Q201" s="4" t="str">
        <f t="shared" si="11"/>
        <v/>
      </c>
      <c r="R201" t="s">
        <v>24</v>
      </c>
    </row>
    <row r="202" spans="1:18" x14ac:dyDescent="0.3">
      <c r="A202" s="1" t="d">
        <v>2024-02-05</v>
      </c>
      <c r="B202">
        <v>45500</v>
      </c>
      <c r="C202" t="str">
        <f>VLOOKUP(Fato_Producao[[#This Row],[referencia]], Dim_Produtos!A:B,2,FALSE)</f>
        <v>filete pescada</v>
      </c>
      <c r="D202">
        <v>1801</v>
      </c>
      <c r="E202">
        <v>1679</v>
      </c>
      <c r="F202" s="5">
        <v>6.7699999999999996E-2</v>
      </c>
      <c r="G202" s="6">
        <v>34.159999999999997</v>
      </c>
      <c r="H202">
        <v>4</v>
      </c>
      <c r="I202">
        <v>116</v>
      </c>
      <c r="J202">
        <v>2</v>
      </c>
      <c r="K202">
        <f>Fato_Producao[[#This Row],[embalagens_danificadas]]+Fato_Producao[[#This Row],[peso_errado]]+Fato_Producao[[#This Row],[impressao]]</f>
        <v>122</v>
      </c>
      <c r="L202" s="1" t="d">
        <v>2024-01-09</v>
      </c>
      <c r="M202">
        <v>27</v>
      </c>
      <c r="N202" s="7">
        <v>4.0999999999999996</v>
      </c>
      <c r="O202" s="4" t="str">
        <f t="shared" si="9"/>
        <v>fevereiro</v>
      </c>
      <c r="P202" s="4">
        <f t="shared" si="10"/>
        <v>2024</v>
      </c>
      <c r="Q202" s="4" t="str">
        <f t="shared" si="11"/>
        <v/>
      </c>
      <c r="R202" t="s">
        <v>24</v>
      </c>
    </row>
    <row r="203" spans="1:18" x14ac:dyDescent="0.3">
      <c r="A203" s="1" t="d">
        <v>2024-02-05</v>
      </c>
      <c r="B203">
        <v>45506</v>
      </c>
      <c r="C203" t="str">
        <f>VLOOKUP(Fato_Producao[[#This Row],[referencia]], Dim_Produtos!A:B,2,FALSE)</f>
        <v>perca posta</v>
      </c>
      <c r="D203">
        <v>4041</v>
      </c>
      <c r="E203">
        <v>3777</v>
      </c>
      <c r="F203" s="5">
        <v>6.5299999999999997E-2</v>
      </c>
      <c r="G203" s="6">
        <v>92.4</v>
      </c>
      <c r="H203">
        <v>15</v>
      </c>
      <c r="I203">
        <v>243</v>
      </c>
      <c r="J203">
        <v>6</v>
      </c>
      <c r="K203">
        <f>Fato_Producao[[#This Row],[embalagens_danificadas]]+Fato_Producao[[#This Row],[peso_errado]]+Fato_Producao[[#This Row],[impressao]]</f>
        <v>264</v>
      </c>
      <c r="L203" s="1" t="d">
        <v>2024-01-09</v>
      </c>
      <c r="M203">
        <v>27</v>
      </c>
      <c r="N203" s="7">
        <v>13.86</v>
      </c>
      <c r="O203" s="4" t="str">
        <f t="shared" si="9"/>
        <v>fevereiro</v>
      </c>
      <c r="P203" s="4">
        <f t="shared" si="10"/>
        <v>2024</v>
      </c>
      <c r="Q203" s="4" t="str">
        <f t="shared" si="11"/>
        <v/>
      </c>
      <c r="R203" t="s">
        <v>24</v>
      </c>
    </row>
    <row r="204" spans="1:18" x14ac:dyDescent="0.3">
      <c r="A204" s="1" t="d">
        <v>2024-02-06</v>
      </c>
      <c r="B204">
        <v>45509</v>
      </c>
      <c r="C204" t="str">
        <f>VLOOKUP(Fato_Producao[[#This Row],[referencia]], Dim_Produtos!A:B,2,FALSE)</f>
        <v>lascas bacalhau</v>
      </c>
      <c r="D204">
        <v>2686</v>
      </c>
      <c r="E204">
        <v>2472</v>
      </c>
      <c r="F204" s="5">
        <v>7.9699999999999993E-2</v>
      </c>
      <c r="G204" s="6">
        <v>59.92</v>
      </c>
      <c r="H204">
        <v>5</v>
      </c>
      <c r="I204">
        <v>204</v>
      </c>
      <c r="J204">
        <v>5</v>
      </c>
      <c r="K204">
        <f>Fato_Producao[[#This Row],[embalagens_danificadas]]+Fato_Producao[[#This Row],[peso_errado]]+Fato_Producao[[#This Row],[impressao]]</f>
        <v>214</v>
      </c>
      <c r="L204" s="1" t="d">
        <v>2024-01-09</v>
      </c>
      <c r="M204">
        <v>28</v>
      </c>
      <c r="N204" s="7">
        <v>7.79</v>
      </c>
      <c r="O204" s="4" t="str">
        <f t="shared" si="9"/>
        <v>fevereiro</v>
      </c>
      <c r="P204" s="4">
        <f t="shared" si="10"/>
        <v>2024</v>
      </c>
      <c r="Q204" s="4" t="str">
        <f t="shared" si="11"/>
        <v/>
      </c>
      <c r="R204" t="s">
        <v>24</v>
      </c>
    </row>
    <row r="205" spans="1:18" x14ac:dyDescent="0.3">
      <c r="A205" s="1" t="d">
        <v>2024-02-06</v>
      </c>
      <c r="B205">
        <v>45508</v>
      </c>
      <c r="C205" t="str">
        <f>VLOOKUP(Fato_Producao[[#This Row],[referencia]], Dim_Produtos!A:B,2,FALSE)</f>
        <v>lula suja</v>
      </c>
      <c r="D205">
        <v>4070</v>
      </c>
      <c r="E205">
        <v>3664</v>
      </c>
      <c r="F205" s="5">
        <v>9.98E-2</v>
      </c>
      <c r="G205" s="6">
        <v>129.91999999999999</v>
      </c>
      <c r="H205">
        <v>53</v>
      </c>
      <c r="I205">
        <v>342</v>
      </c>
      <c r="J205">
        <v>11</v>
      </c>
      <c r="K205">
        <f>Fato_Producao[[#This Row],[embalagens_danificadas]]+Fato_Producao[[#This Row],[peso_errado]]+Fato_Producao[[#This Row],[impressao]]</f>
        <v>406</v>
      </c>
      <c r="L205" s="1" t="d">
        <v>2024-01-09</v>
      </c>
      <c r="M205">
        <v>28</v>
      </c>
      <c r="N205" s="7">
        <v>18.190000000000001</v>
      </c>
      <c r="O205" s="4" t="str">
        <f t="shared" si="9"/>
        <v>fevereiro</v>
      </c>
      <c r="P205" s="4">
        <f t="shared" si="10"/>
        <v>2024</v>
      </c>
      <c r="Q205" s="4" t="str">
        <f t="shared" si="11"/>
        <v/>
      </c>
      <c r="R205" t="s">
        <v>24</v>
      </c>
    </row>
    <row r="206" spans="1:18" x14ac:dyDescent="0.3">
      <c r="A206" s="1" t="d">
        <v>2024-02-07</v>
      </c>
      <c r="B206">
        <v>45513</v>
      </c>
      <c r="C206" t="str">
        <f>VLOOKUP(Fato_Producao[[#This Row],[referencia]], Dim_Produtos!A:B,2,FALSE)</f>
        <v>filete pescada</v>
      </c>
      <c r="D206">
        <v>2907</v>
      </c>
      <c r="E206">
        <v>2684</v>
      </c>
      <c r="F206" s="5">
        <v>7.6700000000000004E-2</v>
      </c>
      <c r="G206" s="6">
        <v>71.36</v>
      </c>
      <c r="H206">
        <v>5</v>
      </c>
      <c r="I206">
        <v>213</v>
      </c>
      <c r="J206">
        <v>5</v>
      </c>
      <c r="K206">
        <f>Fato_Producao[[#This Row],[embalagens_danificadas]]+Fato_Producao[[#This Row],[peso_errado]]+Fato_Producao[[#This Row],[impressao]]</f>
        <v>223</v>
      </c>
      <c r="L206" s="1" t="d">
        <v>2024-01-09</v>
      </c>
      <c r="M206">
        <v>29</v>
      </c>
      <c r="N206" s="7">
        <v>9.2799999999999994</v>
      </c>
      <c r="O206" s="4" t="str">
        <f t="shared" si="9"/>
        <v>fevereiro</v>
      </c>
      <c r="P206" s="4">
        <f t="shared" si="10"/>
        <v>2024</v>
      </c>
      <c r="Q206" s="4" t="str">
        <f t="shared" si="11"/>
        <v/>
      </c>
      <c r="R206" t="s">
        <v>24</v>
      </c>
    </row>
    <row r="207" spans="1:18" x14ac:dyDescent="0.3">
      <c r="A207" s="1" t="d">
        <v>2024-02-07</v>
      </c>
      <c r="B207">
        <v>45509</v>
      </c>
      <c r="C207" t="str">
        <f>VLOOKUP(Fato_Producao[[#This Row],[referencia]], Dim_Produtos!A:B,2,FALSE)</f>
        <v>lascas bacalhau</v>
      </c>
      <c r="D207">
        <v>1821</v>
      </c>
      <c r="E207">
        <v>1690</v>
      </c>
      <c r="F207" s="5">
        <v>7.1900000000000006E-2</v>
      </c>
      <c r="G207" s="6">
        <v>36.68</v>
      </c>
      <c r="H207">
        <v>5</v>
      </c>
      <c r="I207">
        <v>123</v>
      </c>
      <c r="J207">
        <v>3</v>
      </c>
      <c r="K207">
        <f>Fato_Producao[[#This Row],[embalagens_danificadas]]+Fato_Producao[[#This Row],[peso_errado]]+Fato_Producao[[#This Row],[impressao]]</f>
        <v>131</v>
      </c>
      <c r="L207" s="1" t="d">
        <v>2024-01-09</v>
      </c>
      <c r="M207">
        <v>29</v>
      </c>
      <c r="N207" s="7">
        <v>4.7699999999999996</v>
      </c>
      <c r="O207" s="4" t="str">
        <f t="shared" si="9"/>
        <v>fevereiro</v>
      </c>
      <c r="P207" s="4">
        <f t="shared" si="10"/>
        <v>2024</v>
      </c>
      <c r="Q207" s="4" t="str">
        <f t="shared" si="11"/>
        <v/>
      </c>
      <c r="R207" t="s">
        <v>24</v>
      </c>
    </row>
    <row r="208" spans="1:18" x14ac:dyDescent="0.3">
      <c r="A208" s="1" t="d">
        <v>2024-02-08</v>
      </c>
      <c r="B208">
        <v>45510</v>
      </c>
      <c r="C208" t="str">
        <f>VLOOKUP(Fato_Producao[[#This Row],[referencia]], Dim_Produtos!A:B,2,FALSE)</f>
        <v>tiras pota</v>
      </c>
      <c r="D208">
        <v>3934</v>
      </c>
      <c r="E208">
        <v>3592</v>
      </c>
      <c r="F208" s="5">
        <v>8.6900000000000005E-2</v>
      </c>
      <c r="G208" s="6">
        <v>109.44</v>
      </c>
      <c r="H208">
        <v>35</v>
      </c>
      <c r="I208">
        <v>300</v>
      </c>
      <c r="J208">
        <v>7</v>
      </c>
      <c r="K208">
        <f>Fato_Producao[[#This Row],[embalagens_danificadas]]+Fato_Producao[[#This Row],[peso_errado]]+Fato_Producao[[#This Row],[impressao]]</f>
        <v>342</v>
      </c>
      <c r="L208" s="1" t="d">
        <v>2024-01-09</v>
      </c>
      <c r="M208">
        <v>30</v>
      </c>
      <c r="N208" s="7">
        <v>15.32</v>
      </c>
      <c r="O208" s="4" t="str">
        <f t="shared" si="9"/>
        <v>fevereiro</v>
      </c>
      <c r="P208" s="4">
        <f t="shared" si="10"/>
        <v>2024</v>
      </c>
      <c r="Q208" s="4" t="str">
        <f t="shared" si="11"/>
        <v/>
      </c>
      <c r="R208" t="s">
        <v>24</v>
      </c>
    </row>
    <row r="209" spans="1:18" x14ac:dyDescent="0.3">
      <c r="A209" s="1" t="d">
        <v>2024-02-08</v>
      </c>
      <c r="B209">
        <v>45512</v>
      </c>
      <c r="C209" t="str">
        <f>VLOOKUP(Fato_Producao[[#This Row],[referencia]], Dim_Produtos!A:B,2,FALSE)</f>
        <v>red-fish posta</v>
      </c>
      <c r="D209">
        <v>3727</v>
      </c>
      <c r="E209">
        <v>3397</v>
      </c>
      <c r="F209" s="5">
        <v>8.8499999999999995E-2</v>
      </c>
      <c r="G209" s="6">
        <v>112.2</v>
      </c>
      <c r="H209">
        <v>19</v>
      </c>
      <c r="I209">
        <v>307</v>
      </c>
      <c r="J209">
        <v>4</v>
      </c>
      <c r="K209">
        <f>Fato_Producao[[#This Row],[embalagens_danificadas]]+Fato_Producao[[#This Row],[peso_errado]]+Fato_Producao[[#This Row],[impressao]]</f>
        <v>330</v>
      </c>
      <c r="L209" s="1" t="d">
        <v>2024-01-09</v>
      </c>
      <c r="M209">
        <v>30</v>
      </c>
      <c r="N209" s="7">
        <v>15.71</v>
      </c>
      <c r="O209" s="4" t="str">
        <f t="shared" si="9"/>
        <v>fevereiro</v>
      </c>
      <c r="P209" s="4">
        <f t="shared" si="10"/>
        <v>2024</v>
      </c>
      <c r="Q209" s="4" t="str">
        <f t="shared" si="11"/>
        <v/>
      </c>
      <c r="R209" t="s">
        <v>24</v>
      </c>
    </row>
    <row r="210" spans="1:18" x14ac:dyDescent="0.3">
      <c r="A210" s="1" t="d">
        <v>2024-02-09</v>
      </c>
      <c r="B210">
        <v>45505</v>
      </c>
      <c r="C210" t="str">
        <f>VLOOKUP(Fato_Producao[[#This Row],[referencia]], Dim_Produtos!A:B,2,FALSE)</f>
        <v>camarao</v>
      </c>
      <c r="D210">
        <v>2461</v>
      </c>
      <c r="E210">
        <v>2255</v>
      </c>
      <c r="F210" s="5">
        <v>8.3699999999999997E-2</v>
      </c>
      <c r="G210" s="6">
        <v>61.8</v>
      </c>
      <c r="H210">
        <v>39</v>
      </c>
      <c r="I210">
        <v>162</v>
      </c>
      <c r="J210">
        <v>5</v>
      </c>
      <c r="K210">
        <f>Fato_Producao[[#This Row],[embalagens_danificadas]]+Fato_Producao[[#This Row],[peso_errado]]+Fato_Producao[[#This Row],[impressao]]</f>
        <v>206</v>
      </c>
      <c r="L210" s="1" t="d">
        <v>2024-01-09</v>
      </c>
      <c r="M210">
        <v>31</v>
      </c>
      <c r="N210" s="7">
        <v>9.27</v>
      </c>
      <c r="O210" s="4" t="str">
        <f t="shared" si="9"/>
        <v>fevereiro</v>
      </c>
      <c r="P210" s="4">
        <f t="shared" si="10"/>
        <v>2024</v>
      </c>
      <c r="Q210" s="4" t="str">
        <f t="shared" si="11"/>
        <v/>
      </c>
      <c r="R210" t="s">
        <v>24</v>
      </c>
    </row>
    <row r="211" spans="1:18" x14ac:dyDescent="0.3">
      <c r="A211" s="1" t="d">
        <v>2024-02-10</v>
      </c>
      <c r="B211">
        <v>45505</v>
      </c>
      <c r="C211" t="str">
        <f>VLOOKUP(Fato_Producao[[#This Row],[referencia]], Dim_Produtos!A:B,2,FALSE)</f>
        <v>camarao</v>
      </c>
      <c r="D211">
        <v>3782</v>
      </c>
      <c r="E211">
        <v>3556</v>
      </c>
      <c r="F211" s="5">
        <v>5.9799999999999999E-2</v>
      </c>
      <c r="G211" s="6">
        <v>67.8</v>
      </c>
      <c r="H211">
        <v>68</v>
      </c>
      <c r="I211">
        <v>155</v>
      </c>
      <c r="J211">
        <v>3</v>
      </c>
      <c r="K211">
        <f>Fato_Producao[[#This Row],[embalagens_danificadas]]+Fato_Producao[[#This Row],[peso_errado]]+Fato_Producao[[#This Row],[impressao]]</f>
        <v>226</v>
      </c>
      <c r="L211" s="1" t="d">
        <v>2024-01-09</v>
      </c>
      <c r="M211">
        <v>32</v>
      </c>
      <c r="N211" s="7">
        <v>10.17</v>
      </c>
      <c r="O211" s="4" t="str">
        <f t="shared" si="9"/>
        <v>fevereiro</v>
      </c>
      <c r="P211" s="4">
        <f t="shared" si="10"/>
        <v>2024</v>
      </c>
      <c r="Q211" s="4" t="str">
        <f t="shared" si="11"/>
        <v/>
      </c>
      <c r="R211" t="s">
        <v>24</v>
      </c>
    </row>
    <row r="212" spans="1:18" x14ac:dyDescent="0.3">
      <c r="A212" s="1" t="d">
        <v>2024-02-11</v>
      </c>
      <c r="B212">
        <v>45509</v>
      </c>
      <c r="C212" t="str">
        <f>VLOOKUP(Fato_Producao[[#This Row],[referencia]], Dim_Produtos!A:B,2,FALSE)</f>
        <v>lascas bacalhau</v>
      </c>
      <c r="D212">
        <v>2756</v>
      </c>
      <c r="E212">
        <v>2524</v>
      </c>
      <c r="F212" s="5">
        <v>8.4199999999999997E-2</v>
      </c>
      <c r="G212" s="6">
        <v>64.959999999999994</v>
      </c>
      <c r="H212">
        <v>7</v>
      </c>
      <c r="I212">
        <v>220</v>
      </c>
      <c r="J212">
        <v>5</v>
      </c>
      <c r="K212">
        <f>Fato_Producao[[#This Row],[embalagens_danificadas]]+Fato_Producao[[#This Row],[peso_errado]]+Fato_Producao[[#This Row],[impressao]]</f>
        <v>232</v>
      </c>
      <c r="L212" s="1" t="d">
        <v>2024-01-09</v>
      </c>
      <c r="M212">
        <v>33</v>
      </c>
      <c r="N212" s="7">
        <v>8.44</v>
      </c>
      <c r="O212" s="4" t="str">
        <f t="shared" si="9"/>
        <v>fevereiro</v>
      </c>
      <c r="P212" s="4">
        <f t="shared" si="10"/>
        <v>2024</v>
      </c>
      <c r="Q212" s="4" t="str">
        <f t="shared" si="11"/>
        <v/>
      </c>
      <c r="R212" t="s">
        <v>24</v>
      </c>
    </row>
    <row r="213" spans="1:18" x14ac:dyDescent="0.3">
      <c r="A213" s="1" t="d">
        <v>2024-02-11</v>
      </c>
      <c r="B213">
        <v>45501</v>
      </c>
      <c r="C213" t="str">
        <f>VLOOKUP(Fato_Producao[[#This Row],[referencia]], Dim_Produtos!A:B,2,FALSE)</f>
        <v>pescada posta cozer</v>
      </c>
      <c r="D213">
        <v>3512</v>
      </c>
      <c r="E213">
        <v>3204</v>
      </c>
      <c r="F213" s="5">
        <v>8.77E-2</v>
      </c>
      <c r="G213" s="6">
        <v>98.56</v>
      </c>
      <c r="H213">
        <v>16</v>
      </c>
      <c r="I213">
        <v>289</v>
      </c>
      <c r="J213">
        <v>3</v>
      </c>
      <c r="K213">
        <f>Fato_Producao[[#This Row],[embalagens_danificadas]]+Fato_Producao[[#This Row],[peso_errado]]+Fato_Producao[[#This Row],[impressao]]</f>
        <v>308</v>
      </c>
      <c r="L213" s="1" t="d">
        <v>2024-01-09</v>
      </c>
      <c r="M213">
        <v>33</v>
      </c>
      <c r="N213" s="7">
        <v>13.8</v>
      </c>
      <c r="O213" s="4" t="str">
        <f t="shared" si="9"/>
        <v>fevereiro</v>
      </c>
      <c r="P213" s="4">
        <f t="shared" si="10"/>
        <v>2024</v>
      </c>
      <c r="Q213" s="4" t="str">
        <f t="shared" si="11"/>
        <v/>
      </c>
      <c r="R213" t="s">
        <v>24</v>
      </c>
    </row>
    <row r="214" spans="1:18" x14ac:dyDescent="0.3">
      <c r="A214" s="1" t="d">
        <v>2024-02-12</v>
      </c>
      <c r="B214">
        <v>45503</v>
      </c>
      <c r="C214" t="str">
        <f>VLOOKUP(Fato_Producao[[#This Row],[referencia]], Dim_Produtos!A:B,2,FALSE)</f>
        <v>sardinha pequena</v>
      </c>
      <c r="D214">
        <v>4182</v>
      </c>
      <c r="E214">
        <v>3849</v>
      </c>
      <c r="F214" s="5">
        <v>7.9600000000000004E-2</v>
      </c>
      <c r="G214" s="6">
        <v>86.58</v>
      </c>
      <c r="H214">
        <v>11</v>
      </c>
      <c r="I214">
        <v>313</v>
      </c>
      <c r="J214">
        <v>9</v>
      </c>
      <c r="K214">
        <f>Fato_Producao[[#This Row],[embalagens_danificadas]]+Fato_Producao[[#This Row],[peso_errado]]+Fato_Producao[[#This Row],[impressao]]</f>
        <v>333</v>
      </c>
      <c r="L214" s="1" t="d">
        <v>2024-01-09</v>
      </c>
      <c r="M214">
        <v>34</v>
      </c>
      <c r="N214" s="7">
        <v>9.52</v>
      </c>
      <c r="O214" s="4" t="str">
        <f t="shared" si="9"/>
        <v>fevereiro</v>
      </c>
      <c r="P214" s="4">
        <f t="shared" si="10"/>
        <v>2024</v>
      </c>
      <c r="Q214" s="4" t="str">
        <f t="shared" si="11"/>
        <v/>
      </c>
      <c r="R214" t="s">
        <v>24</v>
      </c>
    </row>
    <row r="215" spans="1:18" x14ac:dyDescent="0.3">
      <c r="A215" s="1" t="d">
        <v>2024-02-13</v>
      </c>
      <c r="B215">
        <v>45512</v>
      </c>
      <c r="C215" t="str">
        <f>VLOOKUP(Fato_Producao[[#This Row],[referencia]], Dim_Produtos!A:B,2,FALSE)</f>
        <v>red-fish posta</v>
      </c>
      <c r="D215">
        <v>2329</v>
      </c>
      <c r="E215">
        <v>2143</v>
      </c>
      <c r="F215" s="5">
        <v>7.9899999999999999E-2</v>
      </c>
      <c r="G215" s="6">
        <v>63.24</v>
      </c>
      <c r="H215">
        <v>8</v>
      </c>
      <c r="I215">
        <v>176</v>
      </c>
      <c r="J215">
        <v>2</v>
      </c>
      <c r="K215">
        <f>Fato_Producao[[#This Row],[embalagens_danificadas]]+Fato_Producao[[#This Row],[peso_errado]]+Fato_Producao[[#This Row],[impressao]]</f>
        <v>186</v>
      </c>
      <c r="L215" s="1" t="d">
        <v>2024-01-09</v>
      </c>
      <c r="M215">
        <v>35</v>
      </c>
      <c r="N215" s="7">
        <v>8.85</v>
      </c>
      <c r="O215" s="4" t="str">
        <f t="shared" si="9"/>
        <v>fevereiro</v>
      </c>
      <c r="P215" s="4">
        <f t="shared" si="10"/>
        <v>2024</v>
      </c>
      <c r="Q215" s="4" t="str">
        <f t="shared" si="11"/>
        <v/>
      </c>
      <c r="R215" t="s">
        <v>24</v>
      </c>
    </row>
    <row r="216" spans="1:18" x14ac:dyDescent="0.3">
      <c r="A216" s="1" t="d">
        <v>2024-02-14</v>
      </c>
      <c r="B216">
        <v>45513</v>
      </c>
      <c r="C216" t="str">
        <f>VLOOKUP(Fato_Producao[[#This Row],[referencia]], Dim_Produtos!A:B,2,FALSE)</f>
        <v>filete pescada</v>
      </c>
      <c r="D216">
        <v>3422</v>
      </c>
      <c r="E216">
        <v>3223</v>
      </c>
      <c r="F216" s="5">
        <v>5.8200000000000002E-2</v>
      </c>
      <c r="G216" s="6">
        <v>63.68</v>
      </c>
      <c r="H216">
        <v>12</v>
      </c>
      <c r="I216">
        <v>185</v>
      </c>
      <c r="J216">
        <v>2</v>
      </c>
      <c r="K216">
        <f>Fato_Producao[[#This Row],[embalagens_danificadas]]+Fato_Producao[[#This Row],[peso_errado]]+Fato_Producao[[#This Row],[impressao]]</f>
        <v>199</v>
      </c>
      <c r="L216" s="1" t="d">
        <v>2024-01-09</v>
      </c>
      <c r="M216">
        <v>36</v>
      </c>
      <c r="N216" s="7">
        <v>8.2799999999999994</v>
      </c>
      <c r="O216" s="4" t="str">
        <f t="shared" si="9"/>
        <v>fevereiro</v>
      </c>
      <c r="P216" s="4">
        <f t="shared" si="10"/>
        <v>2024</v>
      </c>
      <c r="Q216" s="4" t="str">
        <f t="shared" si="11"/>
        <v/>
      </c>
      <c r="R216" t="s">
        <v>24</v>
      </c>
    </row>
    <row r="217" spans="1:18" x14ac:dyDescent="0.3">
      <c r="A217" s="1" t="d">
        <v>2024-02-14</v>
      </c>
      <c r="B217">
        <v>45508</v>
      </c>
      <c r="C217" t="str">
        <f>VLOOKUP(Fato_Producao[[#This Row],[referencia]], Dim_Produtos!A:B,2,FALSE)</f>
        <v>lula suja</v>
      </c>
      <c r="D217">
        <v>4165</v>
      </c>
      <c r="E217">
        <v>3668</v>
      </c>
      <c r="F217" s="5">
        <v>0.1193</v>
      </c>
      <c r="G217" s="6">
        <v>159.04</v>
      </c>
      <c r="H217">
        <v>54</v>
      </c>
      <c r="I217">
        <v>432</v>
      </c>
      <c r="J217">
        <v>11</v>
      </c>
      <c r="K217">
        <f>Fato_Producao[[#This Row],[embalagens_danificadas]]+Fato_Producao[[#This Row],[peso_errado]]+Fato_Producao[[#This Row],[impressao]]</f>
        <v>497</v>
      </c>
      <c r="L217" s="1" t="d">
        <v>2024-01-09</v>
      </c>
      <c r="M217">
        <v>36</v>
      </c>
      <c r="N217" s="7">
        <v>22.27</v>
      </c>
      <c r="O217" s="4" t="str">
        <f t="shared" si="9"/>
        <v>fevereiro</v>
      </c>
      <c r="P217" s="4">
        <f t="shared" si="10"/>
        <v>2024</v>
      </c>
      <c r="Q217" s="4" t="str">
        <f t="shared" si="11"/>
        <v/>
      </c>
      <c r="R217" t="s">
        <v>24</v>
      </c>
    </row>
    <row r="218" spans="1:18" x14ac:dyDescent="0.3">
      <c r="A218" s="1" t="d">
        <v>2024-02-15</v>
      </c>
      <c r="B218">
        <v>45503</v>
      </c>
      <c r="C218" t="str">
        <f>VLOOKUP(Fato_Producao[[#This Row],[referencia]], Dim_Produtos!A:B,2,FALSE)</f>
        <v>sardinha pequena</v>
      </c>
      <c r="D218">
        <v>1929</v>
      </c>
      <c r="E218">
        <v>1762</v>
      </c>
      <c r="F218" s="5">
        <v>8.6599999999999996E-2</v>
      </c>
      <c r="G218" s="6">
        <v>43.42</v>
      </c>
      <c r="H218">
        <v>7</v>
      </c>
      <c r="I218">
        <v>155</v>
      </c>
      <c r="J218">
        <v>5</v>
      </c>
      <c r="K218">
        <f>Fato_Producao[[#This Row],[embalagens_danificadas]]+Fato_Producao[[#This Row],[peso_errado]]+Fato_Producao[[#This Row],[impressao]]</f>
        <v>167</v>
      </c>
      <c r="L218" s="1" t="d">
        <v>2024-01-09</v>
      </c>
      <c r="M218">
        <v>37</v>
      </c>
      <c r="N218" s="7">
        <v>4.78</v>
      </c>
      <c r="O218" s="4" t="str">
        <f t="shared" si="9"/>
        <v>fevereiro</v>
      </c>
      <c r="P218" s="4">
        <f t="shared" si="10"/>
        <v>2024</v>
      </c>
      <c r="Q218" s="4" t="str">
        <f t="shared" si="11"/>
        <v/>
      </c>
      <c r="R218" t="s">
        <v>24</v>
      </c>
    </row>
    <row r="219" spans="1:18" x14ac:dyDescent="0.3">
      <c r="A219" s="1" t="d">
        <v>2024-02-15</v>
      </c>
      <c r="B219">
        <v>45504</v>
      </c>
      <c r="C219" t="str">
        <f>VLOOKUP(Fato_Producao[[#This Row],[referencia]], Dim_Produtos!A:B,2,FALSE)</f>
        <v>pescada posta fritar</v>
      </c>
      <c r="D219">
        <v>3846</v>
      </c>
      <c r="E219">
        <v>3563</v>
      </c>
      <c r="F219" s="5">
        <v>7.3599999999999999E-2</v>
      </c>
      <c r="G219" s="6">
        <v>90.56</v>
      </c>
      <c r="H219">
        <v>12</v>
      </c>
      <c r="I219">
        <v>266</v>
      </c>
      <c r="J219">
        <v>5</v>
      </c>
      <c r="K219">
        <f>Fato_Producao[[#This Row],[embalagens_danificadas]]+Fato_Producao[[#This Row],[peso_errado]]+Fato_Producao[[#This Row],[impressao]]</f>
        <v>283</v>
      </c>
      <c r="L219" s="1" t="d">
        <v>2024-01-09</v>
      </c>
      <c r="M219">
        <v>37</v>
      </c>
      <c r="N219" s="7">
        <v>12.68</v>
      </c>
      <c r="O219" s="4" t="str">
        <f t="shared" si="9"/>
        <v>fevereiro</v>
      </c>
      <c r="P219" s="4">
        <f t="shared" si="10"/>
        <v>2024</v>
      </c>
      <c r="Q219" s="4" t="str">
        <f t="shared" si="11"/>
        <v/>
      </c>
      <c r="R219" t="s">
        <v>24</v>
      </c>
    </row>
    <row r="220" spans="1:18" x14ac:dyDescent="0.3">
      <c r="A220" s="1" t="d">
        <v>2024-02-16</v>
      </c>
      <c r="B220">
        <v>45514</v>
      </c>
      <c r="C220" t="str">
        <f>VLOOKUP(Fato_Producao[[#This Row],[referencia]], Dim_Produtos!A:B,2,FALSE)</f>
        <v>sardinha pequena</v>
      </c>
      <c r="D220">
        <v>2429</v>
      </c>
      <c r="E220">
        <v>2204</v>
      </c>
      <c r="F220" s="5">
        <v>9.2600000000000002E-2</v>
      </c>
      <c r="G220" s="6">
        <v>67.5</v>
      </c>
      <c r="H220">
        <v>7</v>
      </c>
      <c r="I220">
        <v>214</v>
      </c>
      <c r="J220">
        <v>4</v>
      </c>
      <c r="K220">
        <f>Fato_Producao[[#This Row],[embalagens_danificadas]]+Fato_Producao[[#This Row],[peso_errado]]+Fato_Producao[[#This Row],[impressao]]</f>
        <v>225</v>
      </c>
      <c r="L220" s="1" t="d">
        <v>2024-01-09</v>
      </c>
      <c r="M220">
        <v>38</v>
      </c>
      <c r="N220" s="7">
        <v>8.1</v>
      </c>
      <c r="O220" s="4" t="str">
        <f t="shared" si="9"/>
        <v>fevereiro</v>
      </c>
      <c r="P220" s="4">
        <f t="shared" si="10"/>
        <v>2024</v>
      </c>
      <c r="Q220" s="4" t="str">
        <f t="shared" si="11"/>
        <v/>
      </c>
      <c r="R220" t="s">
        <v>24</v>
      </c>
    </row>
    <row r="221" spans="1:18" x14ac:dyDescent="0.3">
      <c r="A221" s="1" t="d">
        <v>2024-02-17</v>
      </c>
      <c r="B221">
        <v>45510</v>
      </c>
      <c r="C221" t="str">
        <f>VLOOKUP(Fato_Producao[[#This Row],[referencia]], Dim_Produtos!A:B,2,FALSE)</f>
        <v>tiras pota</v>
      </c>
      <c r="D221">
        <v>4160</v>
      </c>
      <c r="E221">
        <v>3808</v>
      </c>
      <c r="F221" s="5">
        <v>8.4599999999999995E-2</v>
      </c>
      <c r="G221" s="6">
        <v>112.64</v>
      </c>
      <c r="H221">
        <v>32</v>
      </c>
      <c r="I221">
        <v>316</v>
      </c>
      <c r="J221">
        <v>4</v>
      </c>
      <c r="K221">
        <f>Fato_Producao[[#This Row],[embalagens_danificadas]]+Fato_Producao[[#This Row],[peso_errado]]+Fato_Producao[[#This Row],[impressao]]</f>
        <v>352</v>
      </c>
      <c r="L221" s="1" t="d">
        <v>2024-01-09</v>
      </c>
      <c r="M221">
        <v>39</v>
      </c>
      <c r="N221" s="7">
        <v>15.77</v>
      </c>
      <c r="O221" s="4" t="str">
        <f t="shared" si="9"/>
        <v>fevereiro</v>
      </c>
      <c r="P221" s="4">
        <f t="shared" si="10"/>
        <v>2024</v>
      </c>
      <c r="Q221" s="4" t="str">
        <f t="shared" si="11"/>
        <v/>
      </c>
      <c r="R221" t="s">
        <v>24</v>
      </c>
    </row>
    <row r="222" spans="1:18" x14ac:dyDescent="0.3">
      <c r="A222" s="1" t="d">
        <v>2024-02-18</v>
      </c>
      <c r="B222">
        <v>45504</v>
      </c>
      <c r="C222" t="str">
        <f>VLOOKUP(Fato_Producao[[#This Row],[referencia]], Dim_Produtos!A:B,2,FALSE)</f>
        <v>pescada posta fritar</v>
      </c>
      <c r="D222">
        <v>4012</v>
      </c>
      <c r="E222">
        <v>3649</v>
      </c>
      <c r="F222" s="5">
        <v>9.0499999999999997E-2</v>
      </c>
      <c r="G222" s="6">
        <v>116.16</v>
      </c>
      <c r="H222">
        <v>9</v>
      </c>
      <c r="I222">
        <v>346</v>
      </c>
      <c r="J222">
        <v>8</v>
      </c>
      <c r="K222">
        <f>Fato_Producao[[#This Row],[embalagens_danificadas]]+Fato_Producao[[#This Row],[peso_errado]]+Fato_Producao[[#This Row],[impressao]]</f>
        <v>363</v>
      </c>
      <c r="L222" s="1" t="d">
        <v>2024-01-09</v>
      </c>
      <c r="M222">
        <v>40</v>
      </c>
      <c r="N222" s="7">
        <v>16.260000000000002</v>
      </c>
      <c r="O222" s="4" t="str">
        <f t="shared" si="9"/>
        <v>fevereiro</v>
      </c>
      <c r="P222" s="4">
        <f t="shared" si="10"/>
        <v>2024</v>
      </c>
      <c r="Q222" s="4" t="str">
        <f t="shared" si="11"/>
        <v/>
      </c>
      <c r="R222" t="s">
        <v>24</v>
      </c>
    </row>
    <row r="223" spans="1:18" x14ac:dyDescent="0.3">
      <c r="A223" s="1" t="d">
        <v>2024-02-18</v>
      </c>
      <c r="B223">
        <v>45510</v>
      </c>
      <c r="C223" t="str">
        <f>VLOOKUP(Fato_Producao[[#This Row],[referencia]], Dim_Produtos!A:B,2,FALSE)</f>
        <v>tiras pota</v>
      </c>
      <c r="D223">
        <v>2756</v>
      </c>
      <c r="E223">
        <v>2458</v>
      </c>
      <c r="F223" s="5">
        <v>0.1081</v>
      </c>
      <c r="G223" s="6">
        <v>95.36</v>
      </c>
      <c r="H223">
        <v>82</v>
      </c>
      <c r="I223">
        <v>38</v>
      </c>
      <c r="J223">
        <v>178</v>
      </c>
      <c r="K223">
        <f>Fato_Producao[[#This Row],[embalagens_danificadas]]+Fato_Producao[[#This Row],[peso_errado]]+Fato_Producao[[#This Row],[impressao]]</f>
        <v>298</v>
      </c>
      <c r="L223" s="1" t="d">
        <v>2024-01-09</v>
      </c>
      <c r="M223">
        <v>40</v>
      </c>
      <c r="N223" s="7">
        <v>13.35</v>
      </c>
      <c r="O223" s="4" t="str">
        <f t="shared" si="9"/>
        <v>fevereiro</v>
      </c>
      <c r="P223" s="4">
        <f t="shared" si="10"/>
        <v>2024</v>
      </c>
      <c r="Q223" s="4" t="str">
        <f t="shared" si="11"/>
        <v/>
      </c>
      <c r="R223" t="s">
        <v>50</v>
      </c>
    </row>
    <row r="224" spans="1:18" x14ac:dyDescent="0.3">
      <c r="A224" s="1" t="d">
        <v>2024-02-19</v>
      </c>
      <c r="B224">
        <v>45509</v>
      </c>
      <c r="C224" t="str">
        <f>VLOOKUP(Fato_Producao[[#This Row],[referencia]], Dim_Produtos!A:B,2,FALSE)</f>
        <v>lascas bacalhau</v>
      </c>
      <c r="D224">
        <v>3966</v>
      </c>
      <c r="E224">
        <v>3645</v>
      </c>
      <c r="F224" s="5">
        <v>8.09E-2</v>
      </c>
      <c r="G224" s="6">
        <v>89.88</v>
      </c>
      <c r="H224">
        <v>20</v>
      </c>
      <c r="I224">
        <v>294</v>
      </c>
      <c r="J224">
        <v>7</v>
      </c>
      <c r="K224">
        <f>Fato_Producao[[#This Row],[embalagens_danificadas]]+Fato_Producao[[#This Row],[peso_errado]]+Fato_Producao[[#This Row],[impressao]]</f>
        <v>321</v>
      </c>
      <c r="L224" s="1" t="d">
        <v>2024-01-09</v>
      </c>
      <c r="M224">
        <v>41</v>
      </c>
      <c r="N224" s="7">
        <v>11.68</v>
      </c>
      <c r="O224" s="4" t="str">
        <f t="shared" si="9"/>
        <v>fevereiro</v>
      </c>
      <c r="P224" s="4">
        <f t="shared" si="10"/>
        <v>2024</v>
      </c>
      <c r="Q224" s="4" t="str">
        <f t="shared" si="11"/>
        <v/>
      </c>
      <c r="R224" t="s">
        <v>24</v>
      </c>
    </row>
    <row r="225" spans="1:18" x14ac:dyDescent="0.3">
      <c r="A225" s="1" t="d">
        <v>2024-02-20</v>
      </c>
      <c r="B225">
        <v>45503</v>
      </c>
      <c r="C225" t="str">
        <f>VLOOKUP(Fato_Producao[[#This Row],[referencia]], Dim_Produtos!A:B,2,FALSE)</f>
        <v>sardinha pequena</v>
      </c>
      <c r="D225">
        <v>4089</v>
      </c>
      <c r="E225">
        <v>3751</v>
      </c>
      <c r="F225" s="5">
        <v>8.2699999999999996E-2</v>
      </c>
      <c r="G225" s="6">
        <v>87.88</v>
      </c>
      <c r="H225">
        <v>20</v>
      </c>
      <c r="I225">
        <v>308</v>
      </c>
      <c r="J225">
        <v>10</v>
      </c>
      <c r="K225">
        <f>Fato_Producao[[#This Row],[embalagens_danificadas]]+Fato_Producao[[#This Row],[peso_errado]]+Fato_Producao[[#This Row],[impressao]]</f>
        <v>338</v>
      </c>
      <c r="L225" s="1" t="d">
        <v>2024-01-09</v>
      </c>
      <c r="M225">
        <v>42</v>
      </c>
      <c r="N225" s="7">
        <v>9.67</v>
      </c>
      <c r="O225" s="4" t="str">
        <f t="shared" si="9"/>
        <v>fevereiro</v>
      </c>
      <c r="P225" s="4">
        <f t="shared" si="10"/>
        <v>2024</v>
      </c>
      <c r="Q225" s="4" t="str">
        <f t="shared" si="11"/>
        <v/>
      </c>
      <c r="R225" t="s">
        <v>24</v>
      </c>
    </row>
    <row r="226" spans="1:18" x14ac:dyDescent="0.3">
      <c r="A226" s="1" t="d">
        <v>2024-02-20</v>
      </c>
      <c r="B226">
        <v>45501</v>
      </c>
      <c r="C226" t="str">
        <f>VLOOKUP(Fato_Producao[[#This Row],[referencia]], Dim_Produtos!A:B,2,FALSE)</f>
        <v>pescada posta cozer</v>
      </c>
      <c r="D226">
        <v>3008</v>
      </c>
      <c r="E226">
        <v>2799</v>
      </c>
      <c r="F226" s="5">
        <v>6.9500000000000006E-2</v>
      </c>
      <c r="G226" s="6">
        <v>66.88</v>
      </c>
      <c r="H226">
        <v>11</v>
      </c>
      <c r="I226">
        <v>194</v>
      </c>
      <c r="J226">
        <v>4</v>
      </c>
      <c r="K226">
        <f>Fato_Producao[[#This Row],[embalagens_danificadas]]+Fato_Producao[[#This Row],[peso_errado]]+Fato_Producao[[#This Row],[impressao]]</f>
        <v>209</v>
      </c>
      <c r="L226" s="1" t="d">
        <v>2024-01-09</v>
      </c>
      <c r="M226">
        <v>42</v>
      </c>
      <c r="N226" s="7">
        <v>9.36</v>
      </c>
      <c r="O226" s="4" t="str">
        <f t="shared" si="9"/>
        <v>fevereiro</v>
      </c>
      <c r="P226" s="4">
        <f t="shared" si="10"/>
        <v>2024</v>
      </c>
      <c r="Q226" s="4" t="str">
        <f t="shared" si="11"/>
        <v/>
      </c>
      <c r="R226" t="s">
        <v>24</v>
      </c>
    </row>
    <row r="227" spans="1:18" x14ac:dyDescent="0.3">
      <c r="A227" s="1" t="d">
        <v>2024-02-21</v>
      </c>
      <c r="B227">
        <v>45513</v>
      </c>
      <c r="C227" t="str">
        <f>VLOOKUP(Fato_Producao[[#This Row],[referencia]], Dim_Produtos!A:B,2,FALSE)</f>
        <v>filete pescada</v>
      </c>
      <c r="D227">
        <v>2107</v>
      </c>
      <c r="E227">
        <v>1932</v>
      </c>
      <c r="F227" s="5">
        <v>8.3099999999999993E-2</v>
      </c>
      <c r="G227" s="6">
        <v>56</v>
      </c>
      <c r="H227">
        <v>10</v>
      </c>
      <c r="I227">
        <v>161</v>
      </c>
      <c r="J227">
        <v>4</v>
      </c>
      <c r="K227">
        <f>Fato_Producao[[#This Row],[embalagens_danificadas]]+Fato_Producao[[#This Row],[peso_errado]]+Fato_Producao[[#This Row],[impressao]]</f>
        <v>175</v>
      </c>
      <c r="L227" s="1" t="d">
        <v>2024-01-09</v>
      </c>
      <c r="M227">
        <v>43</v>
      </c>
      <c r="N227" s="7">
        <v>7.28</v>
      </c>
      <c r="O227" s="4" t="str">
        <f t="shared" si="9"/>
        <v>fevereiro</v>
      </c>
      <c r="P227" s="4">
        <f t="shared" si="10"/>
        <v>2024</v>
      </c>
      <c r="Q227" s="4" t="str">
        <f t="shared" si="11"/>
        <v/>
      </c>
      <c r="R227" t="s">
        <v>24</v>
      </c>
    </row>
    <row r="228" spans="1:18" x14ac:dyDescent="0.3">
      <c r="A228" s="1" t="d">
        <v>2024-02-22</v>
      </c>
      <c r="B228">
        <v>45500</v>
      </c>
      <c r="C228" t="str">
        <f>VLOOKUP(Fato_Producao[[#This Row],[referencia]], Dim_Produtos!A:B,2,FALSE)</f>
        <v>filete pescada</v>
      </c>
      <c r="D228">
        <v>2814</v>
      </c>
      <c r="E228">
        <v>2630</v>
      </c>
      <c r="F228" s="5">
        <v>6.54E-2</v>
      </c>
      <c r="G228" s="6">
        <v>51.52</v>
      </c>
      <c r="H228">
        <v>11</v>
      </c>
      <c r="I228">
        <v>169</v>
      </c>
      <c r="J228">
        <v>4</v>
      </c>
      <c r="K228">
        <f>Fato_Producao[[#This Row],[embalagens_danificadas]]+Fato_Producao[[#This Row],[peso_errado]]+Fato_Producao[[#This Row],[impressao]]</f>
        <v>184</v>
      </c>
      <c r="L228" s="1" t="d">
        <v>2024-01-09</v>
      </c>
      <c r="M228">
        <v>44</v>
      </c>
      <c r="N228" s="7">
        <v>6.18</v>
      </c>
      <c r="O228" s="4" t="str">
        <f t="shared" si="9"/>
        <v>fevereiro</v>
      </c>
      <c r="P228" s="4">
        <f t="shared" si="10"/>
        <v>2024</v>
      </c>
      <c r="Q228" s="4" t="str">
        <f t="shared" si="11"/>
        <v/>
      </c>
      <c r="R228" t="s">
        <v>24</v>
      </c>
    </row>
    <row r="229" spans="1:18" x14ac:dyDescent="0.3">
      <c r="A229" s="1" t="d">
        <v>2024-02-22</v>
      </c>
      <c r="B229">
        <v>45506</v>
      </c>
      <c r="C229" t="str">
        <f>VLOOKUP(Fato_Producao[[#This Row],[referencia]], Dim_Produtos!A:B,2,FALSE)</f>
        <v>perca posta</v>
      </c>
      <c r="D229">
        <v>2942</v>
      </c>
      <c r="E229">
        <v>2654</v>
      </c>
      <c r="F229" s="5">
        <v>9.7900000000000001E-2</v>
      </c>
      <c r="G229" s="6">
        <v>100.8</v>
      </c>
      <c r="H229">
        <v>10</v>
      </c>
      <c r="I229">
        <v>272</v>
      </c>
      <c r="J229">
        <v>6</v>
      </c>
      <c r="K229">
        <f>Fato_Producao[[#This Row],[embalagens_danificadas]]+Fato_Producao[[#This Row],[peso_errado]]+Fato_Producao[[#This Row],[impressao]]</f>
        <v>288</v>
      </c>
      <c r="L229" s="1" t="d">
        <v>2024-01-09</v>
      </c>
      <c r="M229">
        <v>44</v>
      </c>
      <c r="N229" s="7">
        <v>15.12</v>
      </c>
      <c r="O229" s="4" t="str">
        <f t="shared" si="9"/>
        <v>fevereiro</v>
      </c>
      <c r="P229" s="4">
        <f t="shared" si="10"/>
        <v>2024</v>
      </c>
      <c r="Q229" s="4" t="str">
        <f t="shared" si="11"/>
        <v/>
      </c>
      <c r="R229" t="s">
        <v>24</v>
      </c>
    </row>
    <row r="230" spans="1:18" x14ac:dyDescent="0.3">
      <c r="A230" s="1" t="d">
        <v>2024-02-23</v>
      </c>
      <c r="B230">
        <v>45507</v>
      </c>
      <c r="C230" t="str">
        <f>VLOOKUP(Fato_Producao[[#This Row],[referencia]], Dim_Produtos!A:B,2,FALSE)</f>
        <v>salmao posta</v>
      </c>
      <c r="D230">
        <v>2102</v>
      </c>
      <c r="E230">
        <v>1944</v>
      </c>
      <c r="F230" s="5">
        <v>7.5200000000000003E-2</v>
      </c>
      <c r="G230" s="6">
        <v>55.3</v>
      </c>
      <c r="H230">
        <v>5</v>
      </c>
      <c r="I230">
        <v>149</v>
      </c>
      <c r="J230">
        <v>4</v>
      </c>
      <c r="K230">
        <f>Fato_Producao[[#This Row],[embalagens_danificadas]]+Fato_Producao[[#This Row],[peso_errado]]+Fato_Producao[[#This Row],[impressao]]</f>
        <v>158</v>
      </c>
      <c r="L230" s="1" t="d">
        <v>2024-01-09</v>
      </c>
      <c r="M230">
        <v>45</v>
      </c>
      <c r="N230" s="7">
        <v>8.85</v>
      </c>
      <c r="O230" s="4" t="str">
        <f t="shared" si="9"/>
        <v>fevereiro</v>
      </c>
      <c r="P230" s="4">
        <f t="shared" si="10"/>
        <v>2024</v>
      </c>
      <c r="Q230" s="4" t="str">
        <f t="shared" si="11"/>
        <v/>
      </c>
      <c r="R230" t="s">
        <v>24</v>
      </c>
    </row>
    <row r="231" spans="1:18" x14ac:dyDescent="0.3">
      <c r="A231" s="1" t="d">
        <v>2024-02-23</v>
      </c>
      <c r="B231">
        <v>45502</v>
      </c>
      <c r="C231" t="str">
        <f>VLOOKUP(Fato_Producao[[#This Row],[referencia]], Dim_Produtos!A:B,2,FALSE)</f>
        <v>carapau pelim</v>
      </c>
      <c r="D231">
        <v>3110</v>
      </c>
      <c r="E231">
        <v>2826</v>
      </c>
      <c r="F231" s="5">
        <v>9.1300000000000006E-2</v>
      </c>
      <c r="G231" s="6">
        <v>85.2</v>
      </c>
      <c r="H231">
        <v>67</v>
      </c>
      <c r="I231">
        <v>209</v>
      </c>
      <c r="J231">
        <v>8</v>
      </c>
      <c r="K231">
        <f>Fato_Producao[[#This Row],[embalagens_danificadas]]+Fato_Producao[[#This Row],[peso_errado]]+Fato_Producao[[#This Row],[impressao]]</f>
        <v>284</v>
      </c>
      <c r="L231" s="1" t="d">
        <v>2024-01-09</v>
      </c>
      <c r="M231">
        <v>45</v>
      </c>
      <c r="N231" s="7">
        <v>11.08</v>
      </c>
      <c r="O231" s="4" t="str">
        <f t="shared" si="9"/>
        <v>fevereiro</v>
      </c>
      <c r="P231" s="4">
        <f t="shared" si="10"/>
        <v>2024</v>
      </c>
      <c r="Q231" s="4" t="str">
        <f t="shared" si="11"/>
        <v/>
      </c>
      <c r="R231" t="s">
        <v>24</v>
      </c>
    </row>
    <row r="232" spans="1:18" x14ac:dyDescent="0.3">
      <c r="A232" s="1" t="d">
        <v>2024-02-24</v>
      </c>
      <c r="B232">
        <v>45511</v>
      </c>
      <c r="C232" t="str">
        <f>VLOOKUP(Fato_Producao[[#This Row],[referencia]], Dim_Produtos!A:B,2,FALSE)</f>
        <v>lula limpa</v>
      </c>
      <c r="D232">
        <v>2809</v>
      </c>
      <c r="E232">
        <v>2564</v>
      </c>
      <c r="F232" s="5">
        <v>8.72E-2</v>
      </c>
      <c r="G232" s="6">
        <v>78.400000000000006</v>
      </c>
      <c r="H232">
        <v>37</v>
      </c>
      <c r="I232">
        <v>202</v>
      </c>
      <c r="J232">
        <v>6</v>
      </c>
      <c r="K232">
        <f>Fato_Producao[[#This Row],[embalagens_danificadas]]+Fato_Producao[[#This Row],[peso_errado]]+Fato_Producao[[#This Row],[impressao]]</f>
        <v>245</v>
      </c>
      <c r="L232" s="1" t="d">
        <v>2024-01-09</v>
      </c>
      <c r="M232">
        <v>46</v>
      </c>
      <c r="N232" s="7">
        <v>10.98</v>
      </c>
      <c r="O232" s="4" t="str">
        <f t="shared" si="9"/>
        <v>fevereiro</v>
      </c>
      <c r="P232" s="4">
        <f t="shared" si="10"/>
        <v>2024</v>
      </c>
      <c r="Q232" s="4" t="str">
        <f t="shared" si="11"/>
        <v/>
      </c>
      <c r="R232" t="s">
        <v>24</v>
      </c>
    </row>
    <row r="233" spans="1:18" x14ac:dyDescent="0.3">
      <c r="A233" s="1" t="d">
        <v>2024-02-25</v>
      </c>
      <c r="B233">
        <v>45514</v>
      </c>
      <c r="C233" t="str">
        <f>VLOOKUP(Fato_Producao[[#This Row],[referencia]], Dim_Produtos!A:B,2,FALSE)</f>
        <v>sardinha pequena</v>
      </c>
      <c r="D233">
        <v>2288</v>
      </c>
      <c r="E233">
        <v>2040</v>
      </c>
      <c r="F233" s="5">
        <v>0.1084</v>
      </c>
      <c r="G233" s="6">
        <v>74.400000000000006</v>
      </c>
      <c r="H233">
        <v>8</v>
      </c>
      <c r="I233">
        <v>234</v>
      </c>
      <c r="J233">
        <v>6</v>
      </c>
      <c r="K233">
        <f>Fato_Producao[[#This Row],[embalagens_danificadas]]+Fato_Producao[[#This Row],[peso_errado]]+Fato_Producao[[#This Row],[impressao]]</f>
        <v>248</v>
      </c>
      <c r="L233" s="1" t="d">
        <v>2024-01-09</v>
      </c>
      <c r="M233">
        <v>47</v>
      </c>
      <c r="N233" s="7">
        <v>8.93</v>
      </c>
      <c r="O233" s="4" t="str">
        <f t="shared" si="9"/>
        <v>fevereiro</v>
      </c>
      <c r="P233" s="4">
        <f t="shared" si="10"/>
        <v>2024</v>
      </c>
      <c r="Q233" s="4" t="str">
        <f t="shared" si="11"/>
        <v/>
      </c>
      <c r="R233" t="s">
        <v>24</v>
      </c>
    </row>
    <row r="234" spans="1:18" x14ac:dyDescent="0.3">
      <c r="A234" s="1" t="d">
        <v>2024-02-26</v>
      </c>
      <c r="B234">
        <v>45502</v>
      </c>
      <c r="C234" t="str">
        <f>VLOOKUP(Fato_Producao[[#This Row],[referencia]], Dim_Produtos!A:B,2,FALSE)</f>
        <v>carapau pelim</v>
      </c>
      <c r="D234">
        <v>2800</v>
      </c>
      <c r="E234">
        <v>2517</v>
      </c>
      <c r="F234" s="5">
        <v>0.1011</v>
      </c>
      <c r="G234" s="6">
        <v>84.9</v>
      </c>
      <c r="H234">
        <v>63</v>
      </c>
      <c r="I234">
        <v>212</v>
      </c>
      <c r="J234">
        <v>8</v>
      </c>
      <c r="K234">
        <f>Fato_Producao[[#This Row],[embalagens_danificadas]]+Fato_Producao[[#This Row],[peso_errado]]+Fato_Producao[[#This Row],[impressao]]</f>
        <v>283</v>
      </c>
      <c r="L234" s="1" t="d">
        <v>2024-01-09</v>
      </c>
      <c r="M234">
        <v>48</v>
      </c>
      <c r="N234" s="7">
        <v>11.04</v>
      </c>
      <c r="O234" s="4" t="str">
        <f t="shared" si="9"/>
        <v>fevereiro</v>
      </c>
      <c r="P234" s="4">
        <f t="shared" si="10"/>
        <v>2024</v>
      </c>
      <c r="Q234" s="4" t="str">
        <f t="shared" si="11"/>
        <v/>
      </c>
      <c r="R234" t="s">
        <v>24</v>
      </c>
    </row>
    <row r="235" spans="1:18" x14ac:dyDescent="0.3">
      <c r="A235" s="1" t="d">
        <v>2024-02-26</v>
      </c>
      <c r="B235">
        <v>45504</v>
      </c>
      <c r="C235" t="str">
        <f>VLOOKUP(Fato_Producao[[#This Row],[referencia]], Dim_Produtos!A:B,2,FALSE)</f>
        <v>pescada posta fritar</v>
      </c>
      <c r="D235">
        <v>2510</v>
      </c>
      <c r="E235">
        <v>2294</v>
      </c>
      <c r="F235" s="5">
        <v>8.6099999999999996E-2</v>
      </c>
      <c r="G235" s="6">
        <v>69.12</v>
      </c>
      <c r="H235">
        <v>10</v>
      </c>
      <c r="I235">
        <v>201</v>
      </c>
      <c r="J235">
        <v>5</v>
      </c>
      <c r="K235">
        <f>Fato_Producao[[#This Row],[embalagens_danificadas]]+Fato_Producao[[#This Row],[peso_errado]]+Fato_Producao[[#This Row],[impressao]]</f>
        <v>216</v>
      </c>
      <c r="L235" s="1" t="d">
        <v>2024-01-09</v>
      </c>
      <c r="M235">
        <v>48</v>
      </c>
      <c r="N235" s="7">
        <v>9.68</v>
      </c>
      <c r="O235" s="4" t="str">
        <f t="shared" si="9"/>
        <v>fevereiro</v>
      </c>
      <c r="P235" s="4">
        <f t="shared" si="10"/>
        <v>2024</v>
      </c>
      <c r="Q235" s="4" t="str">
        <f t="shared" si="11"/>
        <v/>
      </c>
      <c r="R235" t="s">
        <v>24</v>
      </c>
    </row>
    <row r="236" spans="1:18" x14ac:dyDescent="0.3">
      <c r="A236" s="1" t="d">
        <v>2024-02-27</v>
      </c>
      <c r="B236">
        <v>45500</v>
      </c>
      <c r="C236" t="str">
        <f>VLOOKUP(Fato_Producao[[#This Row],[referencia]], Dim_Produtos!A:B,2,FALSE)</f>
        <v>filete pescada</v>
      </c>
      <c r="D236">
        <v>4138</v>
      </c>
      <c r="E236">
        <v>3756</v>
      </c>
      <c r="F236" s="5">
        <v>9.2299999999999993E-2</v>
      </c>
      <c r="G236" s="6">
        <v>106.96</v>
      </c>
      <c r="H236">
        <v>19</v>
      </c>
      <c r="I236">
        <v>356</v>
      </c>
      <c r="J236">
        <v>7</v>
      </c>
      <c r="K236">
        <f>Fato_Producao[[#This Row],[embalagens_danificadas]]+Fato_Producao[[#This Row],[peso_errado]]+Fato_Producao[[#This Row],[impressao]]</f>
        <v>382</v>
      </c>
      <c r="L236" s="1" t="d">
        <v>2024-01-09</v>
      </c>
      <c r="M236">
        <v>49</v>
      </c>
      <c r="N236" s="7">
        <v>12.84</v>
      </c>
      <c r="O236" s="4" t="str">
        <f t="shared" si="9"/>
        <v>fevereiro</v>
      </c>
      <c r="P236" s="4">
        <f t="shared" si="10"/>
        <v>2024</v>
      </c>
      <c r="Q236" s="4" t="str">
        <f t="shared" si="11"/>
        <v/>
      </c>
      <c r="R236" t="s">
        <v>24</v>
      </c>
    </row>
    <row r="237" spans="1:18" x14ac:dyDescent="0.3">
      <c r="A237" s="1" t="d">
        <v>2024-02-27</v>
      </c>
      <c r="B237">
        <v>45509</v>
      </c>
      <c r="C237" t="str">
        <f>VLOOKUP(Fato_Producao[[#This Row],[referencia]], Dim_Produtos!A:B,2,FALSE)</f>
        <v>lascas bacalhau</v>
      </c>
      <c r="D237">
        <v>4175</v>
      </c>
      <c r="E237">
        <v>3741</v>
      </c>
      <c r="F237" s="5">
        <v>0.104</v>
      </c>
      <c r="G237" s="6">
        <v>121.52</v>
      </c>
      <c r="H237">
        <v>24</v>
      </c>
      <c r="I237">
        <v>405</v>
      </c>
      <c r="J237">
        <v>5</v>
      </c>
      <c r="K237">
        <f>Fato_Producao[[#This Row],[embalagens_danificadas]]+Fato_Producao[[#This Row],[peso_errado]]+Fato_Producao[[#This Row],[impressao]]</f>
        <v>434</v>
      </c>
      <c r="L237" s="1" t="d">
        <v>2024-01-09</v>
      </c>
      <c r="M237">
        <v>49</v>
      </c>
      <c r="N237" s="7">
        <v>15.8</v>
      </c>
      <c r="O237" s="4" t="str">
        <f t="shared" si="9"/>
        <v>fevereiro</v>
      </c>
      <c r="P237" s="4">
        <f t="shared" si="10"/>
        <v>2024</v>
      </c>
      <c r="Q237" s="4" t="str">
        <f t="shared" si="11"/>
        <v/>
      </c>
      <c r="R237" t="s">
        <v>24</v>
      </c>
    </row>
    <row r="238" spans="1:18" x14ac:dyDescent="0.3">
      <c r="A238" s="1" t="d">
        <v>2024-02-28</v>
      </c>
      <c r="B238">
        <v>45511</v>
      </c>
      <c r="C238" t="str">
        <f>VLOOKUP(Fato_Producao[[#This Row],[referencia]], Dim_Produtos!A:B,2,FALSE)</f>
        <v>lula limpa</v>
      </c>
      <c r="D238">
        <v>2956</v>
      </c>
      <c r="E238">
        <v>2598</v>
      </c>
      <c r="F238" s="5">
        <v>0.1211</v>
      </c>
      <c r="G238" s="6">
        <v>114.56</v>
      </c>
      <c r="H238">
        <v>44</v>
      </c>
      <c r="I238">
        <v>305</v>
      </c>
      <c r="J238">
        <v>9</v>
      </c>
      <c r="K238">
        <f>Fato_Producao[[#This Row],[embalagens_danificadas]]+Fato_Producao[[#This Row],[peso_errado]]+Fato_Producao[[#This Row],[impressao]]</f>
        <v>358</v>
      </c>
      <c r="L238" s="1" t="d">
        <v>2024-01-09</v>
      </c>
      <c r="M238">
        <v>50</v>
      </c>
      <c r="N238" s="7">
        <v>16.04</v>
      </c>
      <c r="O238" s="4" t="str">
        <f t="shared" si="9"/>
        <v>fevereiro</v>
      </c>
      <c r="P238" s="4">
        <f t="shared" si="10"/>
        <v>2024</v>
      </c>
      <c r="Q238" s="4" t="str">
        <f t="shared" si="11"/>
        <v/>
      </c>
      <c r="R238" t="s">
        <v>24</v>
      </c>
    </row>
    <row r="239" spans="1:18" x14ac:dyDescent="0.3">
      <c r="A239" s="1" t="d">
        <v>2024-02-29</v>
      </c>
      <c r="B239">
        <v>45501</v>
      </c>
      <c r="C239" t="str">
        <f>VLOOKUP(Fato_Producao[[#This Row],[referencia]], Dim_Produtos!A:B,2,FALSE)</f>
        <v>pescada posta cozer</v>
      </c>
      <c r="D239">
        <v>2690</v>
      </c>
      <c r="E239">
        <v>2490</v>
      </c>
      <c r="F239" s="5">
        <v>7.4300000000000005E-2</v>
      </c>
      <c r="G239" s="6">
        <v>64</v>
      </c>
      <c r="H239">
        <v>6</v>
      </c>
      <c r="I239">
        <v>190</v>
      </c>
      <c r="J239">
        <v>4</v>
      </c>
      <c r="K239">
        <f>Fato_Producao[[#This Row],[embalagens_danificadas]]+Fato_Producao[[#This Row],[peso_errado]]+Fato_Producao[[#This Row],[impressao]]</f>
        <v>200</v>
      </c>
      <c r="L239" s="1" t="d">
        <v>2024-01-09</v>
      </c>
      <c r="M239">
        <v>51</v>
      </c>
      <c r="N239" s="7">
        <v>8.9600000000000009</v>
      </c>
      <c r="O239" s="4" t="str">
        <f t="shared" si="9"/>
        <v>fevereiro</v>
      </c>
      <c r="P239" s="4">
        <f t="shared" si="10"/>
        <v>2024</v>
      </c>
      <c r="Q239" s="4" t="str">
        <f t="shared" si="11"/>
        <v/>
      </c>
      <c r="R239" t="s">
        <v>24</v>
      </c>
    </row>
    <row r="240" spans="1:18" x14ac:dyDescent="0.3">
      <c r="A240" s="1" t="d">
        <v>2024-02-29</v>
      </c>
      <c r="B240">
        <v>45514</v>
      </c>
      <c r="C240" t="str">
        <f>VLOOKUP(Fato_Producao[[#This Row],[referencia]], Dim_Produtos!A:B,2,FALSE)</f>
        <v>sardinha pequena</v>
      </c>
      <c r="D240">
        <v>2947</v>
      </c>
      <c r="E240">
        <v>2641</v>
      </c>
      <c r="F240" s="5">
        <v>0.1038</v>
      </c>
      <c r="G240" s="6">
        <v>91.8</v>
      </c>
      <c r="H240">
        <v>19</v>
      </c>
      <c r="I240">
        <v>281</v>
      </c>
      <c r="J240">
        <v>6</v>
      </c>
      <c r="K240">
        <f>Fato_Producao[[#This Row],[embalagens_danificadas]]+Fato_Producao[[#This Row],[peso_errado]]+Fato_Producao[[#This Row],[impressao]]</f>
        <v>306</v>
      </c>
      <c r="L240" s="1" t="d">
        <v>2024-01-09</v>
      </c>
      <c r="M240">
        <v>51</v>
      </c>
      <c r="N240" s="7">
        <v>11.02</v>
      </c>
      <c r="O240" s="4" t="str">
        <f t="shared" si="9"/>
        <v>fevereiro</v>
      </c>
      <c r="P240" s="4">
        <f t="shared" si="10"/>
        <v>2024</v>
      </c>
      <c r="Q240" s="4" t="str">
        <f t="shared" si="11"/>
        <v/>
      </c>
      <c r="R240" t="s">
        <v>24</v>
      </c>
    </row>
    <row r="241" spans="1:18" x14ac:dyDescent="0.3">
      <c r="A241" s="1" t="d">
        <v>2024-03-01</v>
      </c>
      <c r="B241">
        <v>45513</v>
      </c>
      <c r="C241" t="str">
        <f>VLOOKUP(Fato_Producao[[#This Row],[referencia]], Dim_Produtos!A:B,2,FALSE)</f>
        <v>filete pescada</v>
      </c>
      <c r="D241">
        <v>3716</v>
      </c>
      <c r="E241">
        <v>3385</v>
      </c>
      <c r="F241" s="5">
        <v>8.9099999999999999E-2</v>
      </c>
      <c r="G241" s="6">
        <v>105.92</v>
      </c>
      <c r="H241">
        <v>13</v>
      </c>
      <c r="I241">
        <v>310</v>
      </c>
      <c r="J241">
        <v>8</v>
      </c>
      <c r="K241">
        <f>Fato_Producao[[#This Row],[embalagens_danificadas]]+Fato_Producao[[#This Row],[peso_errado]]+Fato_Producao[[#This Row],[impressao]]</f>
        <v>331</v>
      </c>
      <c r="L241" s="1" t="d">
        <v>2024-01-09</v>
      </c>
      <c r="M241">
        <v>52</v>
      </c>
      <c r="N241" s="7">
        <v>13.77</v>
      </c>
      <c r="O241" s="4" t="str">
        <f t="shared" si="9"/>
        <v>março</v>
      </c>
      <c r="P241" s="4">
        <f t="shared" si="10"/>
        <v>2024</v>
      </c>
      <c r="Q241" s="4" t="str">
        <f t="shared" si="11"/>
        <v/>
      </c>
      <c r="R241" t="s">
        <v>24</v>
      </c>
    </row>
    <row r="242" spans="1:18" x14ac:dyDescent="0.3">
      <c r="A242" s="1" t="d">
        <v>2024-03-02</v>
      </c>
      <c r="B242">
        <v>45511</v>
      </c>
      <c r="C242" t="str">
        <f>VLOOKUP(Fato_Producao[[#This Row],[referencia]], Dim_Produtos!A:B,2,FALSE)</f>
        <v>lula limpa</v>
      </c>
      <c r="D242">
        <v>4138</v>
      </c>
      <c r="E242">
        <v>3721</v>
      </c>
      <c r="F242" s="5">
        <v>0.1008</v>
      </c>
      <c r="G242" s="6">
        <v>133.44</v>
      </c>
      <c r="H242">
        <v>45</v>
      </c>
      <c r="I242">
        <v>360</v>
      </c>
      <c r="J242">
        <v>12</v>
      </c>
      <c r="K242">
        <f>Fato_Producao[[#This Row],[embalagens_danificadas]]+Fato_Producao[[#This Row],[peso_errado]]+Fato_Producao[[#This Row],[impressao]]</f>
        <v>417</v>
      </c>
      <c r="L242" s="1" t="d">
        <v>2024-01-09</v>
      </c>
      <c r="M242">
        <v>53</v>
      </c>
      <c r="N242" s="7">
        <v>18.68</v>
      </c>
      <c r="O242" s="4" t="str">
        <f t="shared" si="9"/>
        <v>março</v>
      </c>
      <c r="P242" s="4">
        <f t="shared" si="10"/>
        <v>2024</v>
      </c>
      <c r="Q242" s="4" t="str">
        <f t="shared" si="11"/>
        <v/>
      </c>
      <c r="R242" t="s">
        <v>24</v>
      </c>
    </row>
    <row r="243" spans="1:18" x14ac:dyDescent="0.3">
      <c r="A243" s="1" t="d">
        <v>2024-03-02</v>
      </c>
      <c r="B243">
        <v>45509</v>
      </c>
      <c r="C243" t="str">
        <f>VLOOKUP(Fato_Producao[[#This Row],[referencia]], Dim_Produtos!A:B,2,FALSE)</f>
        <v>lascas bacalhau</v>
      </c>
      <c r="D243">
        <v>2149</v>
      </c>
      <c r="E243">
        <v>1937</v>
      </c>
      <c r="F243" s="5">
        <v>9.8699999999999996E-2</v>
      </c>
      <c r="G243" s="6">
        <v>59.36</v>
      </c>
      <c r="H243">
        <v>9</v>
      </c>
      <c r="I243">
        <v>200</v>
      </c>
      <c r="J243">
        <v>3</v>
      </c>
      <c r="K243">
        <f>Fato_Producao[[#This Row],[embalagens_danificadas]]+Fato_Producao[[#This Row],[peso_errado]]+Fato_Producao[[#This Row],[impressao]]</f>
        <v>212</v>
      </c>
      <c r="L243" s="1" t="d">
        <v>2024-01-09</v>
      </c>
      <c r="M243">
        <v>53</v>
      </c>
      <c r="N243" s="7">
        <v>7.72</v>
      </c>
      <c r="O243" s="4" t="str">
        <f t="shared" si="9"/>
        <v>março</v>
      </c>
      <c r="P243" s="4">
        <f t="shared" si="10"/>
        <v>2024</v>
      </c>
      <c r="Q243" s="4" t="str">
        <f t="shared" si="11"/>
        <v/>
      </c>
      <c r="R243" t="s">
        <v>24</v>
      </c>
    </row>
    <row r="244" spans="1:18" x14ac:dyDescent="0.3">
      <c r="A244" s="1" t="d">
        <v>2024-03-03</v>
      </c>
      <c r="B244">
        <v>45506</v>
      </c>
      <c r="C244" t="str">
        <f>VLOOKUP(Fato_Producao[[#This Row],[referencia]], Dim_Produtos!A:B,2,FALSE)</f>
        <v>perca posta</v>
      </c>
      <c r="D244">
        <v>4159</v>
      </c>
      <c r="E244">
        <v>3821</v>
      </c>
      <c r="F244" s="5">
        <v>8.1299999999999997E-2</v>
      </c>
      <c r="G244" s="6">
        <v>118.3</v>
      </c>
      <c r="H244">
        <v>19</v>
      </c>
      <c r="I244">
        <v>315</v>
      </c>
      <c r="J244">
        <v>4</v>
      </c>
      <c r="K244">
        <f>Fato_Producao[[#This Row],[embalagens_danificadas]]+Fato_Producao[[#This Row],[peso_errado]]+Fato_Producao[[#This Row],[impressao]]</f>
        <v>338</v>
      </c>
      <c r="L244" s="1" t="d">
        <v>2024-01-09</v>
      </c>
      <c r="M244">
        <v>54</v>
      </c>
      <c r="N244" s="7">
        <v>17.739999999999998</v>
      </c>
      <c r="O244" s="4" t="str">
        <f t="shared" si="9"/>
        <v>março</v>
      </c>
      <c r="P244" s="4">
        <f t="shared" si="10"/>
        <v>2024</v>
      </c>
      <c r="Q244" s="4" t="str">
        <f t="shared" si="11"/>
        <v/>
      </c>
      <c r="R244" t="s">
        <v>24</v>
      </c>
    </row>
    <row r="245" spans="1:18" x14ac:dyDescent="0.3">
      <c r="A245" s="1" t="d">
        <v>2024-03-03</v>
      </c>
      <c r="B245">
        <v>45505</v>
      </c>
      <c r="C245" t="str">
        <f>VLOOKUP(Fato_Producao[[#This Row],[referencia]], Dim_Produtos!A:B,2,FALSE)</f>
        <v>camarao</v>
      </c>
      <c r="D245">
        <v>3208</v>
      </c>
      <c r="E245">
        <v>2877</v>
      </c>
      <c r="F245" s="5">
        <v>0.1032</v>
      </c>
      <c r="G245" s="6">
        <v>99.3</v>
      </c>
      <c r="H245">
        <v>84</v>
      </c>
      <c r="I245">
        <v>243</v>
      </c>
      <c r="J245">
        <v>4</v>
      </c>
      <c r="K245">
        <f>Fato_Producao[[#This Row],[embalagens_danificadas]]+Fato_Producao[[#This Row],[peso_errado]]+Fato_Producao[[#This Row],[impressao]]</f>
        <v>331</v>
      </c>
      <c r="L245" s="1" t="d">
        <v>2024-01-09</v>
      </c>
      <c r="M245">
        <v>54</v>
      </c>
      <c r="N245" s="7">
        <v>14.89</v>
      </c>
      <c r="O245" s="4" t="str">
        <f t="shared" si="9"/>
        <v>março</v>
      </c>
      <c r="P245" s="4">
        <f t="shared" si="10"/>
        <v>2024</v>
      </c>
      <c r="Q245" s="4" t="str">
        <f t="shared" si="11"/>
        <v/>
      </c>
      <c r="R245" t="s">
        <v>24</v>
      </c>
    </row>
    <row r="246" spans="1:18" x14ac:dyDescent="0.3">
      <c r="A246" s="1" t="d">
        <v>2024-03-04</v>
      </c>
      <c r="B246">
        <v>45505</v>
      </c>
      <c r="C246" t="str">
        <f>VLOOKUP(Fato_Producao[[#This Row],[referencia]], Dim_Produtos!A:B,2,FALSE)</f>
        <v>camarao</v>
      </c>
      <c r="D246">
        <v>3100</v>
      </c>
      <c r="E246">
        <v>2802</v>
      </c>
      <c r="F246" s="5">
        <v>9.6100000000000005E-2</v>
      </c>
      <c r="G246" s="6">
        <v>89.4</v>
      </c>
      <c r="H246">
        <v>79</v>
      </c>
      <c r="I246">
        <v>212</v>
      </c>
      <c r="J246">
        <v>7</v>
      </c>
      <c r="K246">
        <f>Fato_Producao[[#This Row],[embalagens_danificadas]]+Fato_Producao[[#This Row],[peso_errado]]+Fato_Producao[[#This Row],[impressao]]</f>
        <v>298</v>
      </c>
      <c r="L246" s="1" t="d">
        <v>2024-01-09</v>
      </c>
      <c r="M246">
        <v>55</v>
      </c>
      <c r="N246" s="7">
        <v>13.41</v>
      </c>
      <c r="O246" s="4" t="str">
        <f t="shared" si="9"/>
        <v>março</v>
      </c>
      <c r="P246" s="4">
        <f t="shared" si="10"/>
        <v>2024</v>
      </c>
      <c r="Q246" s="4" t="str">
        <f t="shared" si="11"/>
        <v/>
      </c>
      <c r="R246" t="s">
        <v>24</v>
      </c>
    </row>
    <row r="247" spans="1:18" x14ac:dyDescent="0.3">
      <c r="A247" s="1" t="d">
        <v>2024-03-05</v>
      </c>
      <c r="B247">
        <v>45507</v>
      </c>
      <c r="C247" t="str">
        <f>VLOOKUP(Fato_Producao[[#This Row],[referencia]], Dim_Produtos!A:B,2,FALSE)</f>
        <v>salmao posta</v>
      </c>
      <c r="D247">
        <v>3999</v>
      </c>
      <c r="E247">
        <v>3628</v>
      </c>
      <c r="F247" s="5">
        <v>9.2799999999999994E-2</v>
      </c>
      <c r="G247" s="6">
        <v>129.85</v>
      </c>
      <c r="H247">
        <v>19</v>
      </c>
      <c r="I247">
        <v>342</v>
      </c>
      <c r="J247">
        <v>10</v>
      </c>
      <c r="K247">
        <f>Fato_Producao[[#This Row],[embalagens_danificadas]]+Fato_Producao[[#This Row],[peso_errado]]+Fato_Producao[[#This Row],[impressao]]</f>
        <v>371</v>
      </c>
      <c r="L247" s="1" t="d">
        <v>2024-01-09</v>
      </c>
      <c r="M247">
        <v>56</v>
      </c>
      <c r="N247" s="7">
        <v>20.78</v>
      </c>
      <c r="O247" s="4" t="str">
        <f t="shared" si="9"/>
        <v>março</v>
      </c>
      <c r="P247" s="4">
        <f t="shared" si="10"/>
        <v>2024</v>
      </c>
      <c r="Q247" s="4" t="str">
        <f t="shared" si="11"/>
        <v/>
      </c>
      <c r="R247" t="s">
        <v>24</v>
      </c>
    </row>
    <row r="248" spans="1:18" x14ac:dyDescent="0.3">
      <c r="A248" s="1" t="d">
        <v>2024-03-05</v>
      </c>
      <c r="B248">
        <v>45501</v>
      </c>
      <c r="C248" t="str">
        <f>VLOOKUP(Fato_Producao[[#This Row],[referencia]], Dim_Produtos!A:B,2,FALSE)</f>
        <v>pescada posta cozer</v>
      </c>
      <c r="D248">
        <v>1945</v>
      </c>
      <c r="E248">
        <v>1768</v>
      </c>
      <c r="F248" s="5">
        <v>9.0999999999999998E-2</v>
      </c>
      <c r="G248" s="6">
        <v>56.64</v>
      </c>
      <c r="H248">
        <v>12</v>
      </c>
      <c r="I248">
        <v>162</v>
      </c>
      <c r="J248">
        <v>3</v>
      </c>
      <c r="K248">
        <f>Fato_Producao[[#This Row],[embalagens_danificadas]]+Fato_Producao[[#This Row],[peso_errado]]+Fato_Producao[[#This Row],[impressao]]</f>
        <v>177</v>
      </c>
      <c r="L248" s="1" t="d">
        <v>2024-01-09</v>
      </c>
      <c r="M248">
        <v>56</v>
      </c>
      <c r="N248" s="7">
        <v>7.93</v>
      </c>
      <c r="O248" s="4" t="str">
        <f t="shared" si="9"/>
        <v>março</v>
      </c>
      <c r="P248" s="4">
        <f t="shared" si="10"/>
        <v>2024</v>
      </c>
      <c r="Q248" s="4" t="str">
        <f t="shared" si="11"/>
        <v/>
      </c>
      <c r="R248" t="s">
        <v>24</v>
      </c>
    </row>
    <row r="249" spans="1:18" x14ac:dyDescent="0.3">
      <c r="A249" s="1" t="d">
        <v>2024-03-06</v>
      </c>
      <c r="B249">
        <v>45500</v>
      </c>
      <c r="C249" t="str">
        <f>VLOOKUP(Fato_Producao[[#This Row],[referencia]], Dim_Produtos!A:B,2,FALSE)</f>
        <v>filete pescada</v>
      </c>
      <c r="D249">
        <v>2430</v>
      </c>
      <c r="E249">
        <v>2219</v>
      </c>
      <c r="F249" s="5">
        <v>8.6800000000000002E-2</v>
      </c>
      <c r="G249" s="6">
        <v>59.08</v>
      </c>
      <c r="H249">
        <v>14</v>
      </c>
      <c r="I249">
        <v>194</v>
      </c>
      <c r="J249">
        <v>3</v>
      </c>
      <c r="K249">
        <f>Fato_Producao[[#This Row],[embalagens_danificadas]]+Fato_Producao[[#This Row],[peso_errado]]+Fato_Producao[[#This Row],[impressao]]</f>
        <v>211</v>
      </c>
      <c r="L249" s="1" t="d">
        <v>2024-01-09</v>
      </c>
      <c r="M249">
        <v>57</v>
      </c>
      <c r="N249" s="7">
        <v>7.09</v>
      </c>
      <c r="O249" s="4" t="str">
        <f t="shared" si="9"/>
        <v>março</v>
      </c>
      <c r="P249" s="4">
        <f t="shared" si="10"/>
        <v>2024</v>
      </c>
      <c r="Q249" s="4" t="str">
        <f t="shared" si="11"/>
        <v/>
      </c>
      <c r="R249" t="s">
        <v>24</v>
      </c>
    </row>
    <row r="250" spans="1:18" x14ac:dyDescent="0.3">
      <c r="A250" s="1" t="d">
        <v>2024-03-06</v>
      </c>
      <c r="B250">
        <v>45502</v>
      </c>
      <c r="C250" t="str">
        <f>VLOOKUP(Fato_Producao[[#This Row],[referencia]], Dim_Produtos!A:B,2,FALSE)</f>
        <v>carapau pelim</v>
      </c>
      <c r="D250">
        <v>2787</v>
      </c>
      <c r="E250">
        <v>2491</v>
      </c>
      <c r="F250" s="5">
        <v>0.1062</v>
      </c>
      <c r="G250" s="6">
        <v>88.8</v>
      </c>
      <c r="H250">
        <v>80</v>
      </c>
      <c r="I250">
        <v>213</v>
      </c>
      <c r="J250">
        <v>3</v>
      </c>
      <c r="K250">
        <f>Fato_Producao[[#This Row],[embalagens_danificadas]]+Fato_Producao[[#This Row],[peso_errado]]+Fato_Producao[[#This Row],[impressao]]</f>
        <v>296</v>
      </c>
      <c r="L250" s="1" t="d">
        <v>2024-01-09</v>
      </c>
      <c r="M250">
        <v>57</v>
      </c>
      <c r="N250" s="7">
        <v>11.54</v>
      </c>
      <c r="O250" s="4" t="str">
        <f t="shared" si="9"/>
        <v>março</v>
      </c>
      <c r="P250" s="4">
        <f t="shared" si="10"/>
        <v>2024</v>
      </c>
      <c r="Q250" s="4" t="str">
        <f t="shared" si="11"/>
        <v/>
      </c>
      <c r="R250" t="s">
        <v>24</v>
      </c>
    </row>
    <row r="251" spans="1:18" x14ac:dyDescent="0.3">
      <c r="A251" s="1" t="d">
        <v>2024-03-07</v>
      </c>
      <c r="B251">
        <v>45502</v>
      </c>
      <c r="C251" t="str">
        <f>VLOOKUP(Fato_Producao[[#This Row],[referencia]], Dim_Produtos!A:B,2,FALSE)</f>
        <v>carapau pelim</v>
      </c>
      <c r="D251">
        <v>2062</v>
      </c>
      <c r="E251">
        <v>1878</v>
      </c>
      <c r="F251" s="5">
        <v>8.9200000000000002E-2</v>
      </c>
      <c r="G251" s="6">
        <v>55.2</v>
      </c>
      <c r="H251">
        <v>44</v>
      </c>
      <c r="I251">
        <v>136</v>
      </c>
      <c r="J251">
        <v>4</v>
      </c>
      <c r="K251">
        <f>Fato_Producao[[#This Row],[embalagens_danificadas]]+Fato_Producao[[#This Row],[peso_errado]]+Fato_Producao[[#This Row],[impressao]]</f>
        <v>184</v>
      </c>
      <c r="L251" s="1" t="d">
        <v>2024-01-09</v>
      </c>
      <c r="M251">
        <v>58</v>
      </c>
      <c r="N251" s="7">
        <v>7.18</v>
      </c>
      <c r="O251" s="4" t="str">
        <f t="shared" si="9"/>
        <v>março</v>
      </c>
      <c r="P251" s="4">
        <f t="shared" si="10"/>
        <v>2024</v>
      </c>
      <c r="Q251" s="4">
        <f t="shared" si="11"/>
        <v>58</v>
      </c>
      <c r="R251" t="s">
        <v>24</v>
      </c>
    </row>
    <row r="252" spans="1:18" x14ac:dyDescent="0.3">
      <c r="A252" s="1" t="d">
        <v>2024-03-08</v>
      </c>
      <c r="B252">
        <v>45500</v>
      </c>
      <c r="C252" t="str">
        <f>VLOOKUP(Fato_Producao[[#This Row],[referencia]], Dim_Produtos!A:B,2,FALSE)</f>
        <v>filete pescada</v>
      </c>
      <c r="D252">
        <v>2798</v>
      </c>
      <c r="E252">
        <v>2671</v>
      </c>
      <c r="F252" s="5">
        <v>4.5400000000000003E-2</v>
      </c>
      <c r="G252" s="6">
        <v>35.56</v>
      </c>
      <c r="H252">
        <v>5</v>
      </c>
      <c r="I252">
        <v>118</v>
      </c>
      <c r="J252">
        <v>4</v>
      </c>
      <c r="K252">
        <f>Fato_Producao[[#This Row],[embalagens_danificadas]]+Fato_Producao[[#This Row],[peso_errado]]+Fato_Producao[[#This Row],[impressao]]</f>
        <v>127</v>
      </c>
      <c r="L252" s="1" t="d">
        <v>2024-03-08</v>
      </c>
      <c r="M252">
        <v>0</v>
      </c>
      <c r="N252" s="7">
        <v>4.2699999999999996</v>
      </c>
      <c r="O252" s="4" t="str">
        <f t="shared" si="9"/>
        <v>março</v>
      </c>
      <c r="P252" s="4">
        <f t="shared" si="10"/>
        <v>2024</v>
      </c>
      <c r="Q252" s="4" t="str">
        <f t="shared" si="11"/>
        <v/>
      </c>
      <c r="R252" t="s">
        <v>24</v>
      </c>
    </row>
    <row r="253" spans="1:18" x14ac:dyDescent="0.3">
      <c r="A253" s="1" t="d">
        <v>2024-03-08</v>
      </c>
      <c r="B253">
        <v>45512</v>
      </c>
      <c r="C253" t="str">
        <f>VLOOKUP(Fato_Producao[[#This Row],[referencia]], Dim_Produtos!A:B,2,FALSE)</f>
        <v>red-fish posta</v>
      </c>
      <c r="D253">
        <v>2805</v>
      </c>
      <c r="E253">
        <v>2702</v>
      </c>
      <c r="F253" s="5">
        <v>3.6700000000000003E-2</v>
      </c>
      <c r="G253" s="6">
        <v>35.020000000000003</v>
      </c>
      <c r="H253">
        <v>4</v>
      </c>
      <c r="I253">
        <v>97</v>
      </c>
      <c r="J253">
        <v>2</v>
      </c>
      <c r="K253">
        <f>Fato_Producao[[#This Row],[embalagens_danificadas]]+Fato_Producao[[#This Row],[peso_errado]]+Fato_Producao[[#This Row],[impressao]]</f>
        <v>103</v>
      </c>
      <c r="L253" s="1" t="d">
        <v>2024-03-08</v>
      </c>
      <c r="M253">
        <v>0</v>
      </c>
      <c r="N253" s="7">
        <v>4.9000000000000004</v>
      </c>
      <c r="O253" s="4" t="str">
        <f t="shared" si="9"/>
        <v>março</v>
      </c>
      <c r="P253" s="4">
        <f t="shared" si="10"/>
        <v>2024</v>
      </c>
      <c r="Q253" s="4" t="str">
        <f t="shared" si="11"/>
        <v/>
      </c>
      <c r="R253" t="s">
        <v>24</v>
      </c>
    </row>
    <row r="254" spans="1:18" x14ac:dyDescent="0.3">
      <c r="A254" s="1" t="d">
        <v>2024-03-09</v>
      </c>
      <c r="B254">
        <v>45500</v>
      </c>
      <c r="C254" t="str">
        <f>VLOOKUP(Fato_Producao[[#This Row],[referencia]], Dim_Produtos!A:B,2,FALSE)</f>
        <v>filete pescada</v>
      </c>
      <c r="D254">
        <v>3714</v>
      </c>
      <c r="E254">
        <v>3538</v>
      </c>
      <c r="F254" s="5">
        <v>4.7399999999999998E-2</v>
      </c>
      <c r="G254" s="6">
        <v>49.28</v>
      </c>
      <c r="H254">
        <v>5</v>
      </c>
      <c r="I254">
        <v>167</v>
      </c>
      <c r="J254">
        <v>4</v>
      </c>
      <c r="K254">
        <f>Fato_Producao[[#This Row],[embalagens_danificadas]]+Fato_Producao[[#This Row],[peso_errado]]+Fato_Producao[[#This Row],[impressao]]</f>
        <v>176</v>
      </c>
      <c r="L254" s="1" t="d">
        <v>2024-03-08</v>
      </c>
      <c r="M254">
        <v>1</v>
      </c>
      <c r="N254" s="7">
        <v>5.91</v>
      </c>
      <c r="O254" s="4" t="str">
        <f t="shared" si="9"/>
        <v>março</v>
      </c>
      <c r="P254" s="4">
        <f t="shared" si="10"/>
        <v>2024</v>
      </c>
      <c r="Q254" s="4" t="str">
        <f t="shared" si="11"/>
        <v/>
      </c>
      <c r="R254" t="s">
        <v>24</v>
      </c>
    </row>
    <row r="255" spans="1:18" x14ac:dyDescent="0.3">
      <c r="A255" s="1" t="d">
        <v>2024-03-09</v>
      </c>
      <c r="B255">
        <v>45511</v>
      </c>
      <c r="C255" t="str">
        <f>VLOOKUP(Fato_Producao[[#This Row],[referencia]], Dim_Produtos!A:B,2,FALSE)</f>
        <v>lula limpa</v>
      </c>
      <c r="D255">
        <v>1959</v>
      </c>
      <c r="E255">
        <v>1860</v>
      </c>
      <c r="F255" s="5">
        <v>5.0500000000000003E-2</v>
      </c>
      <c r="G255" s="6">
        <v>31.68</v>
      </c>
      <c r="H255">
        <v>14</v>
      </c>
      <c r="I255">
        <v>83</v>
      </c>
      <c r="J255">
        <v>2</v>
      </c>
      <c r="K255">
        <f>Fato_Producao[[#This Row],[embalagens_danificadas]]+Fato_Producao[[#This Row],[peso_errado]]+Fato_Producao[[#This Row],[impressao]]</f>
        <v>99</v>
      </c>
      <c r="L255" s="1" t="d">
        <v>2024-03-08</v>
      </c>
      <c r="M255">
        <v>1</v>
      </c>
      <c r="N255" s="7">
        <v>4.4400000000000004</v>
      </c>
      <c r="O255" s="4" t="str">
        <f t="shared" si="9"/>
        <v>março</v>
      </c>
      <c r="P255" s="4">
        <f t="shared" si="10"/>
        <v>2024</v>
      </c>
      <c r="Q255" s="4" t="str">
        <f t="shared" si="11"/>
        <v/>
      </c>
      <c r="R255" t="s">
        <v>24</v>
      </c>
    </row>
    <row r="256" spans="1:18" x14ac:dyDescent="0.3">
      <c r="A256" s="1" t="d">
        <v>2024-03-10</v>
      </c>
      <c r="B256">
        <v>45512</v>
      </c>
      <c r="C256" t="str">
        <f>VLOOKUP(Fato_Producao[[#This Row],[referencia]], Dim_Produtos!A:B,2,FALSE)</f>
        <v>red-fish posta</v>
      </c>
      <c r="D256">
        <v>1857</v>
      </c>
      <c r="E256">
        <v>1753</v>
      </c>
      <c r="F256" s="5">
        <v>5.6000000000000001E-2</v>
      </c>
      <c r="G256" s="6">
        <v>35.36</v>
      </c>
      <c r="H256">
        <v>4</v>
      </c>
      <c r="I256">
        <v>98</v>
      </c>
      <c r="J256">
        <v>2</v>
      </c>
      <c r="K256">
        <f>Fato_Producao[[#This Row],[embalagens_danificadas]]+Fato_Producao[[#This Row],[peso_errado]]+Fato_Producao[[#This Row],[impressao]]</f>
        <v>104</v>
      </c>
      <c r="L256" s="1" t="d">
        <v>2024-03-08</v>
      </c>
      <c r="M256">
        <v>2</v>
      </c>
      <c r="N256" s="7">
        <v>4.95</v>
      </c>
      <c r="O256" s="4" t="str">
        <f t="shared" si="9"/>
        <v>março</v>
      </c>
      <c r="P256" s="4">
        <f t="shared" si="10"/>
        <v>2024</v>
      </c>
      <c r="Q256" s="4" t="str">
        <f t="shared" si="11"/>
        <v/>
      </c>
      <c r="R256" t="s">
        <v>24</v>
      </c>
    </row>
    <row r="257" spans="1:18" x14ac:dyDescent="0.3">
      <c r="A257" s="1" t="d">
        <v>2024-03-10</v>
      </c>
      <c r="B257">
        <v>45501</v>
      </c>
      <c r="C257" t="str">
        <f>VLOOKUP(Fato_Producao[[#This Row],[referencia]], Dim_Produtos!A:B,2,FALSE)</f>
        <v>pescada posta cozer</v>
      </c>
      <c r="D257">
        <v>3294</v>
      </c>
      <c r="E257">
        <v>3164</v>
      </c>
      <c r="F257" s="5">
        <v>3.95E-2</v>
      </c>
      <c r="G257" s="6">
        <v>41.6</v>
      </c>
      <c r="H257">
        <v>8</v>
      </c>
      <c r="I257">
        <v>119</v>
      </c>
      <c r="J257">
        <v>3</v>
      </c>
      <c r="K257">
        <f>Fato_Producao[[#This Row],[embalagens_danificadas]]+Fato_Producao[[#This Row],[peso_errado]]+Fato_Producao[[#This Row],[impressao]]</f>
        <v>130</v>
      </c>
      <c r="L257" s="1" t="d">
        <v>2024-03-08</v>
      </c>
      <c r="M257">
        <v>2</v>
      </c>
      <c r="N257" s="7">
        <v>5.82</v>
      </c>
      <c r="O257" s="4" t="str">
        <f t="shared" si="9"/>
        <v>março</v>
      </c>
      <c r="P257" s="4">
        <f t="shared" si="10"/>
        <v>2024</v>
      </c>
      <c r="Q257" s="4" t="str">
        <f t="shared" si="11"/>
        <v/>
      </c>
      <c r="R257" t="s">
        <v>24</v>
      </c>
    </row>
    <row r="258" spans="1:18" x14ac:dyDescent="0.3">
      <c r="A258" s="1" t="d">
        <v>2024-03-11</v>
      </c>
      <c r="B258">
        <v>45512</v>
      </c>
      <c r="C258" t="str">
        <f>VLOOKUP(Fato_Producao[[#This Row],[referencia]], Dim_Produtos!A:B,2,FALSE)</f>
        <v>red-fish posta</v>
      </c>
      <c r="D258">
        <v>4134</v>
      </c>
      <c r="E258">
        <v>3978</v>
      </c>
      <c r="F258" s="5">
        <v>3.7699999999999997E-2</v>
      </c>
      <c r="G258" s="6">
        <v>53.04</v>
      </c>
      <c r="H258">
        <v>7</v>
      </c>
      <c r="I258">
        <v>145</v>
      </c>
      <c r="J258">
        <v>4</v>
      </c>
      <c r="K258">
        <f>Fato_Producao[[#This Row],[embalagens_danificadas]]+Fato_Producao[[#This Row],[peso_errado]]+Fato_Producao[[#This Row],[impressao]]</f>
        <v>156</v>
      </c>
      <c r="L258" s="1" t="d">
        <v>2024-03-08</v>
      </c>
      <c r="M258">
        <v>3</v>
      </c>
      <c r="N258" s="7">
        <v>7.43</v>
      </c>
      <c r="O258" s="4" t="str">
        <f t="shared" ref="O258:O321" si="12">TEXT(A258, "mmmm")</f>
        <v>março</v>
      </c>
      <c r="P258" s="4">
        <f t="shared" ref="P258:P321" si="13">YEAR(A258)</f>
        <v>2024</v>
      </c>
      <c r="Q258" s="4" t="str">
        <f t="shared" ref="Q258:Q321" si="14">IF(M259 &gt;= M258, "", M258)</f>
        <v/>
      </c>
      <c r="R258" t="s">
        <v>24</v>
      </c>
    </row>
    <row r="259" spans="1:18" x14ac:dyDescent="0.3">
      <c r="A259" s="1" t="d">
        <v>2024-03-11</v>
      </c>
      <c r="B259">
        <v>45511</v>
      </c>
      <c r="C259" t="str">
        <f>VLOOKUP(Fato_Producao[[#This Row],[referencia]], Dim_Produtos!A:B,2,FALSE)</f>
        <v>lula limpa</v>
      </c>
      <c r="D259">
        <v>2456</v>
      </c>
      <c r="E259">
        <v>2277</v>
      </c>
      <c r="F259" s="5">
        <v>7.2900000000000006E-2</v>
      </c>
      <c r="G259" s="6">
        <v>57.28</v>
      </c>
      <c r="H259">
        <v>27</v>
      </c>
      <c r="I259">
        <v>149</v>
      </c>
      <c r="J259">
        <v>3</v>
      </c>
      <c r="K259">
        <f>Fato_Producao[[#This Row],[embalagens_danificadas]]+Fato_Producao[[#This Row],[peso_errado]]+Fato_Producao[[#This Row],[impressao]]</f>
        <v>179</v>
      </c>
      <c r="L259" s="1" t="d">
        <v>2024-03-08</v>
      </c>
      <c r="M259">
        <v>3</v>
      </c>
      <c r="N259" s="7">
        <v>8.02</v>
      </c>
      <c r="O259" s="4" t="str">
        <f t="shared" si="12"/>
        <v>março</v>
      </c>
      <c r="P259" s="4">
        <f t="shared" si="13"/>
        <v>2024</v>
      </c>
      <c r="Q259" s="4" t="str">
        <f t="shared" si="14"/>
        <v/>
      </c>
      <c r="R259" t="s">
        <v>24</v>
      </c>
    </row>
    <row r="260" spans="1:18" x14ac:dyDescent="0.3">
      <c r="A260" s="1" t="d">
        <v>2024-03-12</v>
      </c>
      <c r="B260">
        <v>45506</v>
      </c>
      <c r="C260" t="str">
        <f>VLOOKUP(Fato_Producao[[#This Row],[referencia]], Dim_Produtos!A:B,2,FALSE)</f>
        <v>perca posta</v>
      </c>
      <c r="D260">
        <v>2147</v>
      </c>
      <c r="E260">
        <v>2031</v>
      </c>
      <c r="F260" s="5">
        <v>5.3999999999999999E-2</v>
      </c>
      <c r="G260" s="6">
        <v>40.6</v>
      </c>
      <c r="H260">
        <v>6</v>
      </c>
      <c r="I260">
        <v>109</v>
      </c>
      <c r="J260">
        <v>1</v>
      </c>
      <c r="K260">
        <f>Fato_Producao[[#This Row],[embalagens_danificadas]]+Fato_Producao[[#This Row],[peso_errado]]+Fato_Producao[[#This Row],[impressao]]</f>
        <v>116</v>
      </c>
      <c r="L260" s="1" t="d">
        <v>2024-03-08</v>
      </c>
      <c r="M260">
        <v>4</v>
      </c>
      <c r="N260" s="7">
        <v>6.09</v>
      </c>
      <c r="O260" s="4" t="str">
        <f t="shared" si="12"/>
        <v>março</v>
      </c>
      <c r="P260" s="4">
        <f t="shared" si="13"/>
        <v>2024</v>
      </c>
      <c r="Q260" s="4" t="str">
        <f t="shared" si="14"/>
        <v/>
      </c>
      <c r="R260" t="s">
        <v>24</v>
      </c>
    </row>
    <row r="261" spans="1:18" x14ac:dyDescent="0.3">
      <c r="A261" s="1" t="d">
        <v>2024-03-13</v>
      </c>
      <c r="B261">
        <v>45507</v>
      </c>
      <c r="C261" t="str">
        <f>VLOOKUP(Fato_Producao[[#This Row],[referencia]], Dim_Produtos!A:B,2,FALSE)</f>
        <v>salmao posta</v>
      </c>
      <c r="D261">
        <v>3566</v>
      </c>
      <c r="E261">
        <v>3374</v>
      </c>
      <c r="F261" s="5">
        <v>5.3800000000000001E-2</v>
      </c>
      <c r="G261" s="6">
        <v>67.2</v>
      </c>
      <c r="H261">
        <v>7</v>
      </c>
      <c r="I261">
        <v>181</v>
      </c>
      <c r="J261">
        <v>4</v>
      </c>
      <c r="K261">
        <f>Fato_Producao[[#This Row],[embalagens_danificadas]]+Fato_Producao[[#This Row],[peso_errado]]+Fato_Producao[[#This Row],[impressao]]</f>
        <v>192</v>
      </c>
      <c r="L261" s="1" t="d">
        <v>2024-03-08</v>
      </c>
      <c r="M261">
        <v>5</v>
      </c>
      <c r="N261" s="7">
        <v>10.75</v>
      </c>
      <c r="O261" s="4" t="str">
        <f t="shared" si="12"/>
        <v>março</v>
      </c>
      <c r="P261" s="4">
        <f t="shared" si="13"/>
        <v>2024</v>
      </c>
      <c r="Q261" s="4" t="str">
        <f t="shared" si="14"/>
        <v/>
      </c>
      <c r="R261" t="s">
        <v>24</v>
      </c>
    </row>
    <row r="262" spans="1:18" x14ac:dyDescent="0.3">
      <c r="A262" s="1" t="d">
        <v>2024-03-14</v>
      </c>
      <c r="B262">
        <v>45512</v>
      </c>
      <c r="C262" t="str">
        <f>VLOOKUP(Fato_Producao[[#This Row],[referencia]], Dim_Produtos!A:B,2,FALSE)</f>
        <v>red-fish posta</v>
      </c>
      <c r="D262">
        <v>2280</v>
      </c>
      <c r="E262">
        <v>2188</v>
      </c>
      <c r="F262" s="5">
        <v>4.0399999999999998E-2</v>
      </c>
      <c r="G262" s="6">
        <v>31.28</v>
      </c>
      <c r="H262">
        <v>6</v>
      </c>
      <c r="I262">
        <v>85</v>
      </c>
      <c r="J262">
        <v>1</v>
      </c>
      <c r="K262">
        <f>Fato_Producao[[#This Row],[embalagens_danificadas]]+Fato_Producao[[#This Row],[peso_errado]]+Fato_Producao[[#This Row],[impressao]]</f>
        <v>92</v>
      </c>
      <c r="L262" s="1" t="d">
        <v>2024-03-08</v>
      </c>
      <c r="M262">
        <v>6</v>
      </c>
      <c r="N262" s="7">
        <v>4.38</v>
      </c>
      <c r="O262" s="4" t="str">
        <f t="shared" si="12"/>
        <v>março</v>
      </c>
      <c r="P262" s="4">
        <f t="shared" si="13"/>
        <v>2024</v>
      </c>
      <c r="Q262" s="4" t="str">
        <f t="shared" si="14"/>
        <v/>
      </c>
      <c r="R262" t="s">
        <v>24</v>
      </c>
    </row>
    <row r="263" spans="1:18" x14ac:dyDescent="0.3">
      <c r="A263" s="1" t="d">
        <v>2024-03-15</v>
      </c>
      <c r="B263">
        <v>45502</v>
      </c>
      <c r="C263" t="str">
        <f>VLOOKUP(Fato_Producao[[#This Row],[referencia]], Dim_Produtos!A:B,2,FALSE)</f>
        <v>carapau pelim</v>
      </c>
      <c r="D263">
        <v>3003</v>
      </c>
      <c r="E263">
        <v>2862</v>
      </c>
      <c r="F263" s="5">
        <v>4.7E-2</v>
      </c>
      <c r="G263" s="6">
        <v>42.3</v>
      </c>
      <c r="H263">
        <v>44</v>
      </c>
      <c r="I263">
        <v>92</v>
      </c>
      <c r="J263">
        <v>5</v>
      </c>
      <c r="K263">
        <f>Fato_Producao[[#This Row],[embalagens_danificadas]]+Fato_Producao[[#This Row],[peso_errado]]+Fato_Producao[[#This Row],[impressao]]</f>
        <v>141</v>
      </c>
      <c r="L263" s="1" t="d">
        <v>2024-03-08</v>
      </c>
      <c r="M263">
        <v>7</v>
      </c>
      <c r="N263" s="7">
        <v>5.5</v>
      </c>
      <c r="O263" s="4" t="str">
        <f t="shared" si="12"/>
        <v>março</v>
      </c>
      <c r="P263" s="4">
        <f t="shared" si="13"/>
        <v>2024</v>
      </c>
      <c r="Q263" s="4" t="str">
        <f t="shared" si="14"/>
        <v/>
      </c>
      <c r="R263" t="s">
        <v>24</v>
      </c>
    </row>
    <row r="264" spans="1:18" x14ac:dyDescent="0.3">
      <c r="A264" s="1" t="d">
        <v>2024-03-15</v>
      </c>
      <c r="B264">
        <v>45505</v>
      </c>
      <c r="C264" t="str">
        <f>VLOOKUP(Fato_Producao[[#This Row],[referencia]], Dim_Produtos!A:B,2,FALSE)</f>
        <v>camarao</v>
      </c>
      <c r="D264">
        <v>3242</v>
      </c>
      <c r="E264">
        <v>3039</v>
      </c>
      <c r="F264" s="5">
        <v>6.2600000000000003E-2</v>
      </c>
      <c r="G264" s="6">
        <v>60.9</v>
      </c>
      <c r="H264">
        <v>48</v>
      </c>
      <c r="I264">
        <v>150</v>
      </c>
      <c r="J264">
        <v>5</v>
      </c>
      <c r="K264">
        <f>Fato_Producao[[#This Row],[embalagens_danificadas]]+Fato_Producao[[#This Row],[peso_errado]]+Fato_Producao[[#This Row],[impressao]]</f>
        <v>203</v>
      </c>
      <c r="L264" s="1" t="d">
        <v>2024-03-08</v>
      </c>
      <c r="M264">
        <v>7</v>
      </c>
      <c r="N264" s="7">
        <v>9.1300000000000008</v>
      </c>
      <c r="O264" s="4" t="str">
        <f t="shared" si="12"/>
        <v>março</v>
      </c>
      <c r="P264" s="4">
        <f t="shared" si="13"/>
        <v>2024</v>
      </c>
      <c r="Q264" s="4" t="str">
        <f t="shared" si="14"/>
        <v/>
      </c>
      <c r="R264" t="s">
        <v>24</v>
      </c>
    </row>
    <row r="265" spans="1:18" x14ac:dyDescent="0.3">
      <c r="A265" s="1" t="d">
        <v>2024-03-16</v>
      </c>
      <c r="B265">
        <v>45505</v>
      </c>
      <c r="C265" t="str">
        <f>VLOOKUP(Fato_Producao[[#This Row],[referencia]], Dim_Produtos!A:B,2,FALSE)</f>
        <v>camarao</v>
      </c>
      <c r="D265">
        <v>2393</v>
      </c>
      <c r="E265">
        <v>2217</v>
      </c>
      <c r="F265" s="5">
        <v>7.3499999999999996E-2</v>
      </c>
      <c r="G265" s="6">
        <v>52.8</v>
      </c>
      <c r="H265">
        <v>48</v>
      </c>
      <c r="I265">
        <v>123</v>
      </c>
      <c r="J265">
        <v>5</v>
      </c>
      <c r="K265">
        <f>Fato_Producao[[#This Row],[embalagens_danificadas]]+Fato_Producao[[#This Row],[peso_errado]]+Fato_Producao[[#This Row],[impressao]]</f>
        <v>176</v>
      </c>
      <c r="L265" s="1" t="d">
        <v>2024-03-08</v>
      </c>
      <c r="M265">
        <v>8</v>
      </c>
      <c r="N265" s="7">
        <v>7.92</v>
      </c>
      <c r="O265" s="4" t="str">
        <f t="shared" si="12"/>
        <v>março</v>
      </c>
      <c r="P265" s="4">
        <f t="shared" si="13"/>
        <v>2024</v>
      </c>
      <c r="Q265" s="4" t="str">
        <f t="shared" si="14"/>
        <v/>
      </c>
      <c r="R265" t="s">
        <v>24</v>
      </c>
    </row>
    <row r="266" spans="1:18" x14ac:dyDescent="0.3">
      <c r="A266" s="1" t="d">
        <v>2024-03-17</v>
      </c>
      <c r="B266">
        <v>45502</v>
      </c>
      <c r="C266" t="str">
        <f>VLOOKUP(Fato_Producao[[#This Row],[referencia]], Dim_Produtos!A:B,2,FALSE)</f>
        <v>carapau pelim</v>
      </c>
      <c r="D266">
        <v>2747</v>
      </c>
      <c r="E266">
        <v>2596</v>
      </c>
      <c r="F266" s="5">
        <v>5.5E-2</v>
      </c>
      <c r="G266" s="6">
        <v>45.3</v>
      </c>
      <c r="H266">
        <v>44</v>
      </c>
      <c r="I266">
        <v>48</v>
      </c>
      <c r="J266">
        <v>59</v>
      </c>
      <c r="K266">
        <f>Fato_Producao[[#This Row],[embalagens_danificadas]]+Fato_Producao[[#This Row],[peso_errado]]+Fato_Producao[[#This Row],[impressao]]</f>
        <v>151</v>
      </c>
      <c r="L266" s="1" t="d">
        <v>2024-03-08</v>
      </c>
      <c r="M266">
        <v>9</v>
      </c>
      <c r="N266" s="7">
        <v>5.89</v>
      </c>
      <c r="O266" s="4" t="str">
        <f t="shared" si="12"/>
        <v>março</v>
      </c>
      <c r="P266" s="4">
        <f t="shared" si="13"/>
        <v>2024</v>
      </c>
      <c r="Q266" s="4" t="str">
        <f t="shared" si="14"/>
        <v/>
      </c>
      <c r="R266" t="s">
        <v>50</v>
      </c>
    </row>
    <row r="267" spans="1:18" x14ac:dyDescent="0.3">
      <c r="A267" s="1" t="d">
        <v>2024-03-17</v>
      </c>
      <c r="B267">
        <v>45513</v>
      </c>
      <c r="C267" t="str">
        <f>VLOOKUP(Fato_Producao[[#This Row],[referencia]], Dim_Produtos!A:B,2,FALSE)</f>
        <v>filete pescada</v>
      </c>
      <c r="D267">
        <v>3611</v>
      </c>
      <c r="E267">
        <v>3397</v>
      </c>
      <c r="F267" s="5">
        <v>5.9299999999999999E-2</v>
      </c>
      <c r="G267" s="6">
        <v>68.48</v>
      </c>
      <c r="H267">
        <v>4</v>
      </c>
      <c r="I267">
        <v>205</v>
      </c>
      <c r="J267">
        <v>5</v>
      </c>
      <c r="K267">
        <f>Fato_Producao[[#This Row],[embalagens_danificadas]]+Fato_Producao[[#This Row],[peso_errado]]+Fato_Producao[[#This Row],[impressao]]</f>
        <v>214</v>
      </c>
      <c r="L267" s="1" t="d">
        <v>2024-03-08</v>
      </c>
      <c r="M267">
        <v>9</v>
      </c>
      <c r="N267" s="7">
        <v>8.9</v>
      </c>
      <c r="O267" s="4" t="str">
        <f t="shared" si="12"/>
        <v>março</v>
      </c>
      <c r="P267" s="4">
        <f t="shared" si="13"/>
        <v>2024</v>
      </c>
      <c r="Q267" s="4" t="str">
        <f t="shared" si="14"/>
        <v/>
      </c>
      <c r="R267" t="s">
        <v>24</v>
      </c>
    </row>
    <row r="268" spans="1:18" x14ac:dyDescent="0.3">
      <c r="A268" s="1" t="d">
        <v>2024-03-18</v>
      </c>
      <c r="B268">
        <v>45500</v>
      </c>
      <c r="C268" t="str">
        <f>VLOOKUP(Fato_Producao[[#This Row],[referencia]], Dim_Produtos!A:B,2,FALSE)</f>
        <v>filete pescada</v>
      </c>
      <c r="D268">
        <v>1963</v>
      </c>
      <c r="E268">
        <v>1898</v>
      </c>
      <c r="F268" s="5">
        <v>3.3099999999999997E-2</v>
      </c>
      <c r="G268" s="6">
        <v>18.2</v>
      </c>
      <c r="H268">
        <v>2</v>
      </c>
      <c r="I268">
        <v>62</v>
      </c>
      <c r="J268">
        <v>1</v>
      </c>
      <c r="K268">
        <f>Fato_Producao[[#This Row],[embalagens_danificadas]]+Fato_Producao[[#This Row],[peso_errado]]+Fato_Producao[[#This Row],[impressao]]</f>
        <v>65</v>
      </c>
      <c r="L268" s="1" t="d">
        <v>2024-03-08</v>
      </c>
      <c r="M268">
        <v>10</v>
      </c>
      <c r="N268" s="7">
        <v>2.1800000000000002</v>
      </c>
      <c r="O268" s="4" t="str">
        <f t="shared" si="12"/>
        <v>março</v>
      </c>
      <c r="P268" s="4">
        <f t="shared" si="13"/>
        <v>2024</v>
      </c>
      <c r="Q268" s="4" t="str">
        <f t="shared" si="14"/>
        <v/>
      </c>
      <c r="R268" t="s">
        <v>24</v>
      </c>
    </row>
    <row r="269" spans="1:18" x14ac:dyDescent="0.3">
      <c r="A269" s="1" t="d">
        <v>2024-03-18</v>
      </c>
      <c r="B269">
        <v>45502</v>
      </c>
      <c r="C269" t="str">
        <f>VLOOKUP(Fato_Producao[[#This Row],[referencia]], Dim_Produtos!A:B,2,FALSE)</f>
        <v>carapau pelim</v>
      </c>
      <c r="D269">
        <v>3760</v>
      </c>
      <c r="E269">
        <v>3518</v>
      </c>
      <c r="F269" s="5">
        <v>6.4399999999999999E-2</v>
      </c>
      <c r="G269" s="6">
        <v>72.599999999999994</v>
      </c>
      <c r="H269">
        <v>66</v>
      </c>
      <c r="I269">
        <v>173</v>
      </c>
      <c r="J269">
        <v>3</v>
      </c>
      <c r="K269">
        <f>Fato_Producao[[#This Row],[embalagens_danificadas]]+Fato_Producao[[#This Row],[peso_errado]]+Fato_Producao[[#This Row],[impressao]]</f>
        <v>242</v>
      </c>
      <c r="L269" s="1" t="d">
        <v>2024-03-08</v>
      </c>
      <c r="M269">
        <v>10</v>
      </c>
      <c r="N269" s="7">
        <v>9.44</v>
      </c>
      <c r="O269" s="4" t="str">
        <f t="shared" si="12"/>
        <v>março</v>
      </c>
      <c r="P269" s="4">
        <f t="shared" si="13"/>
        <v>2024</v>
      </c>
      <c r="Q269" s="4" t="str">
        <f t="shared" si="14"/>
        <v/>
      </c>
      <c r="R269" t="s">
        <v>24</v>
      </c>
    </row>
    <row r="270" spans="1:18" x14ac:dyDescent="0.3">
      <c r="A270" s="1" t="d">
        <v>2024-03-19</v>
      </c>
      <c r="B270">
        <v>45503</v>
      </c>
      <c r="C270" t="str">
        <f>VLOOKUP(Fato_Producao[[#This Row],[referencia]], Dim_Produtos!A:B,2,FALSE)</f>
        <v>sardinha pequena</v>
      </c>
      <c r="D270">
        <v>2336</v>
      </c>
      <c r="E270">
        <v>2193</v>
      </c>
      <c r="F270" s="5">
        <v>6.1199999999999997E-2</v>
      </c>
      <c r="G270" s="6">
        <v>37.18</v>
      </c>
      <c r="H270">
        <v>9</v>
      </c>
      <c r="I270">
        <v>131</v>
      </c>
      <c r="J270">
        <v>3</v>
      </c>
      <c r="K270">
        <f>Fato_Producao[[#This Row],[embalagens_danificadas]]+Fato_Producao[[#This Row],[peso_errado]]+Fato_Producao[[#This Row],[impressao]]</f>
        <v>143</v>
      </c>
      <c r="L270" s="1" t="d">
        <v>2024-03-08</v>
      </c>
      <c r="M270">
        <v>11</v>
      </c>
      <c r="N270" s="7">
        <v>4.09</v>
      </c>
      <c r="O270" s="4" t="str">
        <f t="shared" si="12"/>
        <v>março</v>
      </c>
      <c r="P270" s="4">
        <f t="shared" si="13"/>
        <v>2024</v>
      </c>
      <c r="Q270" s="4" t="str">
        <f t="shared" si="14"/>
        <v/>
      </c>
      <c r="R270" t="s">
        <v>24</v>
      </c>
    </row>
    <row r="271" spans="1:18" x14ac:dyDescent="0.3">
      <c r="A271" s="1" t="d">
        <v>2024-03-19</v>
      </c>
      <c r="B271">
        <v>45514</v>
      </c>
      <c r="C271" t="str">
        <f>VLOOKUP(Fato_Producao[[#This Row],[referencia]], Dim_Produtos!A:B,2,FALSE)</f>
        <v>sardinha pequena</v>
      </c>
      <c r="D271">
        <v>2645</v>
      </c>
      <c r="E271">
        <v>2464</v>
      </c>
      <c r="F271" s="5">
        <v>6.8400000000000002E-2</v>
      </c>
      <c r="G271" s="6">
        <v>54.3</v>
      </c>
      <c r="H271">
        <v>9</v>
      </c>
      <c r="I271">
        <v>167</v>
      </c>
      <c r="J271">
        <v>5</v>
      </c>
      <c r="K271">
        <f>Fato_Producao[[#This Row],[embalagens_danificadas]]+Fato_Producao[[#This Row],[peso_errado]]+Fato_Producao[[#This Row],[impressao]]</f>
        <v>181</v>
      </c>
      <c r="L271" s="1" t="d">
        <v>2024-03-08</v>
      </c>
      <c r="M271">
        <v>11</v>
      </c>
      <c r="N271" s="7">
        <v>6.52</v>
      </c>
      <c r="O271" s="4" t="str">
        <f t="shared" si="12"/>
        <v>março</v>
      </c>
      <c r="P271" s="4">
        <f t="shared" si="13"/>
        <v>2024</v>
      </c>
      <c r="Q271" s="4" t="str">
        <f t="shared" si="14"/>
        <v/>
      </c>
      <c r="R271" t="s">
        <v>24</v>
      </c>
    </row>
    <row r="272" spans="1:18" x14ac:dyDescent="0.3">
      <c r="A272" s="1" t="d">
        <v>2024-03-20</v>
      </c>
      <c r="B272">
        <v>45510</v>
      </c>
      <c r="C272" t="str">
        <f>VLOOKUP(Fato_Producao[[#This Row],[referencia]], Dim_Produtos!A:B,2,FALSE)</f>
        <v>tiras pota</v>
      </c>
      <c r="D272">
        <v>2053</v>
      </c>
      <c r="E272">
        <v>1933</v>
      </c>
      <c r="F272" s="5">
        <v>5.8500000000000003E-2</v>
      </c>
      <c r="G272" s="6">
        <v>38.4</v>
      </c>
      <c r="H272">
        <v>14</v>
      </c>
      <c r="I272">
        <v>104</v>
      </c>
      <c r="J272">
        <v>2</v>
      </c>
      <c r="K272">
        <f>Fato_Producao[[#This Row],[embalagens_danificadas]]+Fato_Producao[[#This Row],[peso_errado]]+Fato_Producao[[#This Row],[impressao]]</f>
        <v>120</v>
      </c>
      <c r="L272" s="1" t="d">
        <v>2024-03-08</v>
      </c>
      <c r="M272">
        <v>12</v>
      </c>
      <c r="N272" s="7">
        <v>5.38</v>
      </c>
      <c r="O272" s="4" t="str">
        <f t="shared" si="12"/>
        <v>março</v>
      </c>
      <c r="P272" s="4">
        <f t="shared" si="13"/>
        <v>2024</v>
      </c>
      <c r="Q272" s="4" t="str">
        <f t="shared" si="14"/>
        <v/>
      </c>
      <c r="R272" t="s">
        <v>24</v>
      </c>
    </row>
    <row r="273" spans="1:18" x14ac:dyDescent="0.3">
      <c r="A273" s="1" t="d">
        <v>2024-03-21</v>
      </c>
      <c r="B273">
        <v>45513</v>
      </c>
      <c r="C273" t="str">
        <f>VLOOKUP(Fato_Producao[[#This Row],[referencia]], Dim_Produtos!A:B,2,FALSE)</f>
        <v>filete pescada</v>
      </c>
      <c r="D273">
        <v>2489</v>
      </c>
      <c r="E273">
        <v>2326</v>
      </c>
      <c r="F273" s="5">
        <v>6.5500000000000003E-2</v>
      </c>
      <c r="G273" s="6">
        <v>52.16</v>
      </c>
      <c r="H273">
        <v>4</v>
      </c>
      <c r="I273">
        <v>154</v>
      </c>
      <c r="J273">
        <v>5</v>
      </c>
      <c r="K273">
        <f>Fato_Producao[[#This Row],[embalagens_danificadas]]+Fato_Producao[[#This Row],[peso_errado]]+Fato_Producao[[#This Row],[impressao]]</f>
        <v>163</v>
      </c>
      <c r="L273" s="1" t="d">
        <v>2024-03-08</v>
      </c>
      <c r="M273">
        <v>13</v>
      </c>
      <c r="N273" s="7">
        <v>6.78</v>
      </c>
      <c r="O273" s="4" t="str">
        <f t="shared" si="12"/>
        <v>março</v>
      </c>
      <c r="P273" s="4">
        <f t="shared" si="13"/>
        <v>2024</v>
      </c>
      <c r="Q273" s="4" t="str">
        <f t="shared" si="14"/>
        <v/>
      </c>
      <c r="R273" t="s">
        <v>24</v>
      </c>
    </row>
    <row r="274" spans="1:18" x14ac:dyDescent="0.3">
      <c r="A274" s="1" t="d">
        <v>2024-03-22</v>
      </c>
      <c r="B274">
        <v>45502</v>
      </c>
      <c r="C274" t="str">
        <f>VLOOKUP(Fato_Producao[[#This Row],[referencia]], Dim_Produtos!A:B,2,FALSE)</f>
        <v>carapau pelim</v>
      </c>
      <c r="D274">
        <v>1948</v>
      </c>
      <c r="E274">
        <v>1829</v>
      </c>
      <c r="F274" s="5">
        <v>6.1100000000000002E-2</v>
      </c>
      <c r="G274" s="6">
        <v>35.700000000000003</v>
      </c>
      <c r="H274">
        <v>33</v>
      </c>
      <c r="I274">
        <v>85</v>
      </c>
      <c r="J274">
        <v>1</v>
      </c>
      <c r="K274">
        <f>Fato_Producao[[#This Row],[embalagens_danificadas]]+Fato_Producao[[#This Row],[peso_errado]]+Fato_Producao[[#This Row],[impressao]]</f>
        <v>119</v>
      </c>
      <c r="L274" s="1" t="d">
        <v>2024-03-08</v>
      </c>
      <c r="M274">
        <v>14</v>
      </c>
      <c r="N274" s="7">
        <v>4.6399999999999997</v>
      </c>
      <c r="O274" s="4" t="str">
        <f t="shared" si="12"/>
        <v>março</v>
      </c>
      <c r="P274" s="4">
        <f t="shared" si="13"/>
        <v>2024</v>
      </c>
      <c r="Q274" s="4" t="str">
        <f t="shared" si="14"/>
        <v/>
      </c>
      <c r="R274" t="s">
        <v>24</v>
      </c>
    </row>
    <row r="275" spans="1:18" x14ac:dyDescent="0.3">
      <c r="A275" s="1" t="d">
        <v>2024-03-23</v>
      </c>
      <c r="B275">
        <v>45506</v>
      </c>
      <c r="C275" t="str">
        <f>VLOOKUP(Fato_Producao[[#This Row],[referencia]], Dim_Produtos!A:B,2,FALSE)</f>
        <v>perca posta</v>
      </c>
      <c r="D275">
        <v>3375</v>
      </c>
      <c r="E275">
        <v>3215</v>
      </c>
      <c r="F275" s="5">
        <v>4.7399999999999998E-2</v>
      </c>
      <c r="G275" s="6">
        <v>56</v>
      </c>
      <c r="H275">
        <v>6</v>
      </c>
      <c r="I275">
        <v>151</v>
      </c>
      <c r="J275">
        <v>3</v>
      </c>
      <c r="K275">
        <f>Fato_Producao[[#This Row],[embalagens_danificadas]]+Fato_Producao[[#This Row],[peso_errado]]+Fato_Producao[[#This Row],[impressao]]</f>
        <v>160</v>
      </c>
      <c r="L275" s="1" t="d">
        <v>2024-03-08</v>
      </c>
      <c r="M275">
        <v>15</v>
      </c>
      <c r="N275" s="7">
        <v>8.4</v>
      </c>
      <c r="O275" s="4" t="str">
        <f t="shared" si="12"/>
        <v>março</v>
      </c>
      <c r="P275" s="4">
        <f t="shared" si="13"/>
        <v>2024</v>
      </c>
      <c r="Q275" s="4" t="str">
        <f t="shared" si="14"/>
        <v/>
      </c>
      <c r="R275" t="s">
        <v>24</v>
      </c>
    </row>
    <row r="276" spans="1:18" x14ac:dyDescent="0.3">
      <c r="A276" s="1" t="d">
        <v>2024-03-23</v>
      </c>
      <c r="B276">
        <v>45503</v>
      </c>
      <c r="C276" t="str">
        <f>VLOOKUP(Fato_Producao[[#This Row],[referencia]], Dim_Produtos!A:B,2,FALSE)</f>
        <v>sardinha pequena</v>
      </c>
      <c r="D276">
        <v>2219</v>
      </c>
      <c r="E276">
        <v>2130</v>
      </c>
      <c r="F276" s="5">
        <v>4.0099999999999997E-2</v>
      </c>
      <c r="G276" s="6">
        <v>23.14</v>
      </c>
      <c r="H276">
        <v>2</v>
      </c>
      <c r="I276">
        <v>85</v>
      </c>
      <c r="J276">
        <v>2</v>
      </c>
      <c r="K276">
        <f>Fato_Producao[[#This Row],[embalagens_danificadas]]+Fato_Producao[[#This Row],[peso_errado]]+Fato_Producao[[#This Row],[impressao]]</f>
        <v>89</v>
      </c>
      <c r="L276" s="1" t="d">
        <v>2024-03-08</v>
      </c>
      <c r="M276">
        <v>15</v>
      </c>
      <c r="N276" s="7">
        <v>2.5499999999999998</v>
      </c>
      <c r="O276" s="4" t="str">
        <f t="shared" si="12"/>
        <v>março</v>
      </c>
      <c r="P276" s="4">
        <f t="shared" si="13"/>
        <v>2024</v>
      </c>
      <c r="Q276" s="4" t="str">
        <f t="shared" si="14"/>
        <v/>
      </c>
      <c r="R276" t="s">
        <v>24</v>
      </c>
    </row>
    <row r="277" spans="1:18" x14ac:dyDescent="0.3">
      <c r="A277" s="1" t="d">
        <v>2024-03-24</v>
      </c>
      <c r="B277">
        <v>45506</v>
      </c>
      <c r="C277" t="str">
        <f>VLOOKUP(Fato_Producao[[#This Row],[referencia]], Dim_Produtos!A:B,2,FALSE)</f>
        <v>perca posta</v>
      </c>
      <c r="D277">
        <v>4002</v>
      </c>
      <c r="E277">
        <v>3743</v>
      </c>
      <c r="F277" s="5">
        <v>6.4699999999999994E-2</v>
      </c>
      <c r="G277" s="6">
        <v>90.65</v>
      </c>
      <c r="H277">
        <v>7</v>
      </c>
      <c r="I277">
        <v>246</v>
      </c>
      <c r="J277">
        <v>6</v>
      </c>
      <c r="K277">
        <f>Fato_Producao[[#This Row],[embalagens_danificadas]]+Fato_Producao[[#This Row],[peso_errado]]+Fato_Producao[[#This Row],[impressao]]</f>
        <v>259</v>
      </c>
      <c r="L277" s="1" t="d">
        <v>2024-03-08</v>
      </c>
      <c r="M277">
        <v>16</v>
      </c>
      <c r="N277" s="7">
        <v>13.6</v>
      </c>
      <c r="O277" s="4" t="str">
        <f t="shared" si="12"/>
        <v>março</v>
      </c>
      <c r="P277" s="4">
        <f t="shared" si="13"/>
        <v>2024</v>
      </c>
      <c r="Q277" s="4" t="str">
        <f t="shared" si="14"/>
        <v/>
      </c>
      <c r="R277" t="s">
        <v>24</v>
      </c>
    </row>
    <row r="278" spans="1:18" x14ac:dyDescent="0.3">
      <c r="A278" s="1" t="d">
        <v>2024-03-25</v>
      </c>
      <c r="B278">
        <v>45513</v>
      </c>
      <c r="C278" t="str">
        <f>VLOOKUP(Fato_Producao[[#This Row],[referencia]], Dim_Produtos!A:B,2,FALSE)</f>
        <v>filete pescada</v>
      </c>
      <c r="D278">
        <v>3006</v>
      </c>
      <c r="E278">
        <v>2854</v>
      </c>
      <c r="F278" s="5">
        <v>5.0599999999999999E-2</v>
      </c>
      <c r="G278" s="6">
        <v>48.64</v>
      </c>
      <c r="H278">
        <v>61</v>
      </c>
      <c r="I278">
        <v>28</v>
      </c>
      <c r="J278">
        <v>63</v>
      </c>
      <c r="K278">
        <f>Fato_Producao[[#This Row],[embalagens_danificadas]]+Fato_Producao[[#This Row],[peso_errado]]+Fato_Producao[[#This Row],[impressao]]</f>
        <v>152</v>
      </c>
      <c r="L278" s="1" t="d">
        <v>2024-03-08</v>
      </c>
      <c r="M278">
        <v>17</v>
      </c>
      <c r="N278" s="7">
        <v>6.32</v>
      </c>
      <c r="O278" s="4" t="str">
        <f t="shared" si="12"/>
        <v>março</v>
      </c>
      <c r="P278" s="4">
        <f t="shared" si="13"/>
        <v>2024</v>
      </c>
      <c r="Q278" s="4" t="str">
        <f t="shared" si="14"/>
        <v/>
      </c>
      <c r="R278" t="s">
        <v>50</v>
      </c>
    </row>
    <row r="279" spans="1:18" x14ac:dyDescent="0.3">
      <c r="A279" s="1" t="d">
        <v>2024-03-25</v>
      </c>
      <c r="B279">
        <v>45509</v>
      </c>
      <c r="C279" t="str">
        <f>VLOOKUP(Fato_Producao[[#This Row],[referencia]], Dim_Produtos!A:B,2,FALSE)</f>
        <v>lascas bacalhau</v>
      </c>
      <c r="D279">
        <v>3711</v>
      </c>
      <c r="E279">
        <v>3558</v>
      </c>
      <c r="F279" s="5">
        <v>4.1200000000000001E-2</v>
      </c>
      <c r="G279" s="6">
        <v>42.84</v>
      </c>
      <c r="H279">
        <v>10</v>
      </c>
      <c r="I279">
        <v>141</v>
      </c>
      <c r="J279">
        <v>2</v>
      </c>
      <c r="K279">
        <f>Fato_Producao[[#This Row],[embalagens_danificadas]]+Fato_Producao[[#This Row],[peso_errado]]+Fato_Producao[[#This Row],[impressao]]</f>
        <v>153</v>
      </c>
      <c r="L279" s="1" t="d">
        <v>2024-03-08</v>
      </c>
      <c r="M279">
        <v>17</v>
      </c>
      <c r="N279" s="7">
        <v>5.57</v>
      </c>
      <c r="O279" s="4" t="str">
        <f t="shared" si="12"/>
        <v>março</v>
      </c>
      <c r="P279" s="4">
        <f t="shared" si="13"/>
        <v>2024</v>
      </c>
      <c r="Q279" s="4" t="str">
        <f t="shared" si="14"/>
        <v/>
      </c>
      <c r="R279" t="s">
        <v>24</v>
      </c>
    </row>
    <row r="280" spans="1:18" x14ac:dyDescent="0.3">
      <c r="A280" s="1" t="d">
        <v>2024-03-26</v>
      </c>
      <c r="B280">
        <v>45504</v>
      </c>
      <c r="C280" t="str">
        <f>VLOOKUP(Fato_Producao[[#This Row],[referencia]], Dim_Produtos!A:B,2,FALSE)</f>
        <v>pescada posta fritar</v>
      </c>
      <c r="D280">
        <v>4185</v>
      </c>
      <c r="E280">
        <v>3971</v>
      </c>
      <c r="F280" s="5">
        <v>5.11E-2</v>
      </c>
      <c r="G280" s="6">
        <v>68.48</v>
      </c>
      <c r="H280">
        <v>11</v>
      </c>
      <c r="I280">
        <v>200</v>
      </c>
      <c r="J280">
        <v>3</v>
      </c>
      <c r="K280">
        <f>Fato_Producao[[#This Row],[embalagens_danificadas]]+Fato_Producao[[#This Row],[peso_errado]]+Fato_Producao[[#This Row],[impressao]]</f>
        <v>214</v>
      </c>
      <c r="L280" s="1" t="d">
        <v>2024-03-08</v>
      </c>
      <c r="M280">
        <v>18</v>
      </c>
      <c r="N280" s="7">
        <v>9.59</v>
      </c>
      <c r="O280" s="4" t="str">
        <f t="shared" si="12"/>
        <v>março</v>
      </c>
      <c r="P280" s="4">
        <f t="shared" si="13"/>
        <v>2024</v>
      </c>
      <c r="Q280" s="4" t="str">
        <f t="shared" si="14"/>
        <v/>
      </c>
      <c r="R280" t="s">
        <v>24</v>
      </c>
    </row>
    <row r="281" spans="1:18" x14ac:dyDescent="0.3">
      <c r="A281" s="1" t="d">
        <v>2024-03-27</v>
      </c>
      <c r="B281">
        <v>45513</v>
      </c>
      <c r="C281" t="str">
        <f>VLOOKUP(Fato_Producao[[#This Row],[referencia]], Dim_Produtos!A:B,2,FALSE)</f>
        <v>filete pescada</v>
      </c>
      <c r="D281">
        <v>3531</v>
      </c>
      <c r="E281">
        <v>3354</v>
      </c>
      <c r="F281" s="5">
        <v>5.0099999999999999E-2</v>
      </c>
      <c r="G281" s="6">
        <v>56.64</v>
      </c>
      <c r="H281">
        <v>10</v>
      </c>
      <c r="I281">
        <v>163</v>
      </c>
      <c r="J281">
        <v>4</v>
      </c>
      <c r="K281">
        <f>Fato_Producao[[#This Row],[embalagens_danificadas]]+Fato_Producao[[#This Row],[peso_errado]]+Fato_Producao[[#This Row],[impressao]]</f>
        <v>177</v>
      </c>
      <c r="L281" s="1" t="d">
        <v>2024-03-08</v>
      </c>
      <c r="M281">
        <v>19</v>
      </c>
      <c r="N281" s="7">
        <v>7.36</v>
      </c>
      <c r="O281" s="4" t="str">
        <f t="shared" si="12"/>
        <v>março</v>
      </c>
      <c r="P281" s="4">
        <f t="shared" si="13"/>
        <v>2024</v>
      </c>
      <c r="Q281" s="4" t="str">
        <f t="shared" si="14"/>
        <v/>
      </c>
      <c r="R281" t="s">
        <v>24</v>
      </c>
    </row>
    <row r="282" spans="1:18" x14ac:dyDescent="0.3">
      <c r="A282" s="1" t="d">
        <v>2024-03-28</v>
      </c>
      <c r="B282">
        <v>45512</v>
      </c>
      <c r="C282" t="str">
        <f>VLOOKUP(Fato_Producao[[#This Row],[referencia]], Dim_Produtos!A:B,2,FALSE)</f>
        <v>red-fish posta</v>
      </c>
      <c r="D282">
        <v>3259</v>
      </c>
      <c r="E282">
        <v>3078</v>
      </c>
      <c r="F282" s="5">
        <v>5.5500000000000001E-2</v>
      </c>
      <c r="G282" s="6">
        <v>61.54</v>
      </c>
      <c r="H282">
        <v>13</v>
      </c>
      <c r="I282">
        <v>166</v>
      </c>
      <c r="J282">
        <v>2</v>
      </c>
      <c r="K282">
        <f>Fato_Producao[[#This Row],[embalagens_danificadas]]+Fato_Producao[[#This Row],[peso_errado]]+Fato_Producao[[#This Row],[impressao]]</f>
        <v>181</v>
      </c>
      <c r="L282" s="1" t="d">
        <v>2024-03-08</v>
      </c>
      <c r="M282">
        <v>20</v>
      </c>
      <c r="N282" s="7">
        <v>8.6199999999999992</v>
      </c>
      <c r="O282" s="4" t="str">
        <f t="shared" si="12"/>
        <v>março</v>
      </c>
      <c r="P282" s="4">
        <f t="shared" si="13"/>
        <v>2024</v>
      </c>
      <c r="Q282" s="4" t="str">
        <f t="shared" si="14"/>
        <v/>
      </c>
      <c r="R282" t="s">
        <v>24</v>
      </c>
    </row>
    <row r="283" spans="1:18" x14ac:dyDescent="0.3">
      <c r="A283" s="1" t="d">
        <v>2024-03-28</v>
      </c>
      <c r="B283">
        <v>45507</v>
      </c>
      <c r="C283" t="str">
        <f>VLOOKUP(Fato_Producao[[#This Row],[referencia]], Dim_Produtos!A:B,2,FALSE)</f>
        <v>salmao posta</v>
      </c>
      <c r="D283">
        <v>2192</v>
      </c>
      <c r="E283">
        <v>2041</v>
      </c>
      <c r="F283" s="5">
        <v>6.8900000000000003E-2</v>
      </c>
      <c r="G283" s="6">
        <v>52.85</v>
      </c>
      <c r="H283">
        <v>5</v>
      </c>
      <c r="I283">
        <v>144</v>
      </c>
      <c r="J283">
        <v>2</v>
      </c>
      <c r="K283">
        <f>Fato_Producao[[#This Row],[embalagens_danificadas]]+Fato_Producao[[#This Row],[peso_errado]]+Fato_Producao[[#This Row],[impressao]]</f>
        <v>151</v>
      </c>
      <c r="L283" s="1" t="d">
        <v>2024-03-08</v>
      </c>
      <c r="M283">
        <v>20</v>
      </c>
      <c r="N283" s="7">
        <v>8.4600000000000009</v>
      </c>
      <c r="O283" s="4" t="str">
        <f t="shared" si="12"/>
        <v>março</v>
      </c>
      <c r="P283" s="4">
        <f t="shared" si="13"/>
        <v>2024</v>
      </c>
      <c r="Q283" s="4" t="str">
        <f t="shared" si="14"/>
        <v/>
      </c>
      <c r="R283" t="s">
        <v>24</v>
      </c>
    </row>
    <row r="284" spans="1:18" x14ac:dyDescent="0.3">
      <c r="A284" s="1" t="d">
        <v>2024-03-29</v>
      </c>
      <c r="B284">
        <v>45501</v>
      </c>
      <c r="C284" t="str">
        <f>VLOOKUP(Fato_Producao[[#This Row],[referencia]], Dim_Produtos!A:B,2,FALSE)</f>
        <v>pescada posta cozer</v>
      </c>
      <c r="D284">
        <v>4079</v>
      </c>
      <c r="E284">
        <v>3716</v>
      </c>
      <c r="F284" s="5">
        <v>8.8999999999999996E-2</v>
      </c>
      <c r="G284" s="6">
        <v>116.16</v>
      </c>
      <c r="H284">
        <v>8</v>
      </c>
      <c r="I284">
        <v>347</v>
      </c>
      <c r="J284">
        <v>8</v>
      </c>
      <c r="K284">
        <f>Fato_Producao[[#This Row],[embalagens_danificadas]]+Fato_Producao[[#This Row],[peso_errado]]+Fato_Producao[[#This Row],[impressao]]</f>
        <v>363</v>
      </c>
      <c r="L284" s="1" t="d">
        <v>2024-03-08</v>
      </c>
      <c r="M284">
        <v>21</v>
      </c>
      <c r="N284" s="7">
        <v>16.260000000000002</v>
      </c>
      <c r="O284" s="4" t="str">
        <f t="shared" si="12"/>
        <v>março</v>
      </c>
      <c r="P284" s="4">
        <f t="shared" si="13"/>
        <v>2024</v>
      </c>
      <c r="Q284" s="4" t="str">
        <f t="shared" si="14"/>
        <v/>
      </c>
      <c r="R284" t="s">
        <v>24</v>
      </c>
    </row>
    <row r="285" spans="1:18" x14ac:dyDescent="0.3">
      <c r="A285" s="1" t="d">
        <v>2024-03-30</v>
      </c>
      <c r="B285">
        <v>45511</v>
      </c>
      <c r="C285" t="str">
        <f>VLOOKUP(Fato_Producao[[#This Row],[referencia]], Dim_Produtos!A:B,2,FALSE)</f>
        <v>lula limpa</v>
      </c>
      <c r="D285">
        <v>2655</v>
      </c>
      <c r="E285">
        <v>2450</v>
      </c>
      <c r="F285" s="5">
        <v>7.7200000000000005E-2</v>
      </c>
      <c r="G285" s="6">
        <v>65.599999999999994</v>
      </c>
      <c r="H285">
        <v>18</v>
      </c>
      <c r="I285">
        <v>181</v>
      </c>
      <c r="J285">
        <v>6</v>
      </c>
      <c r="K285">
        <f>Fato_Producao[[#This Row],[embalagens_danificadas]]+Fato_Producao[[#This Row],[peso_errado]]+Fato_Producao[[#This Row],[impressao]]</f>
        <v>205</v>
      </c>
      <c r="L285" s="1" t="d">
        <v>2024-03-08</v>
      </c>
      <c r="M285">
        <v>22</v>
      </c>
      <c r="N285" s="7">
        <v>9.18</v>
      </c>
      <c r="O285" s="4" t="str">
        <f t="shared" si="12"/>
        <v>março</v>
      </c>
      <c r="P285" s="4">
        <f t="shared" si="13"/>
        <v>2024</v>
      </c>
      <c r="Q285" s="4" t="str">
        <f t="shared" si="14"/>
        <v/>
      </c>
      <c r="R285" t="s">
        <v>24</v>
      </c>
    </row>
    <row r="286" spans="1:18" x14ac:dyDescent="0.3">
      <c r="A286" s="1" t="d">
        <v>2024-03-30</v>
      </c>
      <c r="B286">
        <v>45506</v>
      </c>
      <c r="C286" t="str">
        <f>VLOOKUP(Fato_Producao[[#This Row],[referencia]], Dim_Produtos!A:B,2,FALSE)</f>
        <v>perca posta</v>
      </c>
      <c r="D286">
        <v>3948</v>
      </c>
      <c r="E286">
        <v>3678</v>
      </c>
      <c r="F286" s="5">
        <v>6.8400000000000002E-2</v>
      </c>
      <c r="G286" s="6">
        <v>94.5</v>
      </c>
      <c r="H286">
        <v>20</v>
      </c>
      <c r="I286">
        <v>247</v>
      </c>
      <c r="J286">
        <v>3</v>
      </c>
      <c r="K286">
        <f>Fato_Producao[[#This Row],[embalagens_danificadas]]+Fato_Producao[[#This Row],[peso_errado]]+Fato_Producao[[#This Row],[impressao]]</f>
        <v>270</v>
      </c>
      <c r="L286" s="1" t="d">
        <v>2024-03-08</v>
      </c>
      <c r="M286">
        <v>22</v>
      </c>
      <c r="N286" s="7">
        <v>14.17</v>
      </c>
      <c r="O286" s="4" t="str">
        <f t="shared" si="12"/>
        <v>março</v>
      </c>
      <c r="P286" s="4">
        <f t="shared" si="13"/>
        <v>2024</v>
      </c>
      <c r="Q286" s="4" t="str">
        <f t="shared" si="14"/>
        <v/>
      </c>
      <c r="R286" t="s">
        <v>24</v>
      </c>
    </row>
    <row r="287" spans="1:18" x14ac:dyDescent="0.3">
      <c r="A287" s="1" t="d">
        <v>2024-03-31</v>
      </c>
      <c r="B287">
        <v>45507</v>
      </c>
      <c r="C287" t="str">
        <f>VLOOKUP(Fato_Producao[[#This Row],[referencia]], Dim_Produtos!A:B,2,FALSE)</f>
        <v>salmao posta</v>
      </c>
      <c r="D287">
        <v>3750</v>
      </c>
      <c r="E287">
        <v>3475</v>
      </c>
      <c r="F287" s="5">
        <v>7.3300000000000004E-2</v>
      </c>
      <c r="G287" s="6">
        <v>96.25</v>
      </c>
      <c r="H287">
        <v>13</v>
      </c>
      <c r="I287">
        <v>255</v>
      </c>
      <c r="J287">
        <v>7</v>
      </c>
      <c r="K287">
        <f>Fato_Producao[[#This Row],[embalagens_danificadas]]+Fato_Producao[[#This Row],[peso_errado]]+Fato_Producao[[#This Row],[impressao]]</f>
        <v>275</v>
      </c>
      <c r="L287" s="1" t="d">
        <v>2024-03-08</v>
      </c>
      <c r="M287">
        <v>23</v>
      </c>
      <c r="N287" s="7">
        <v>15.4</v>
      </c>
      <c r="O287" s="4" t="str">
        <f t="shared" si="12"/>
        <v>março</v>
      </c>
      <c r="P287" s="4">
        <f t="shared" si="13"/>
        <v>2024</v>
      </c>
      <c r="Q287" s="4" t="str">
        <f t="shared" si="14"/>
        <v/>
      </c>
      <c r="R287" t="s">
        <v>24</v>
      </c>
    </row>
    <row r="288" spans="1:18" x14ac:dyDescent="0.3">
      <c r="A288" s="1" t="d">
        <v>2024-03-31</v>
      </c>
      <c r="B288">
        <v>45506</v>
      </c>
      <c r="C288" t="str">
        <f>VLOOKUP(Fato_Producao[[#This Row],[referencia]], Dim_Produtos!A:B,2,FALSE)</f>
        <v>perca posta</v>
      </c>
      <c r="D288">
        <v>2362</v>
      </c>
      <c r="E288">
        <v>2190</v>
      </c>
      <c r="F288" s="5">
        <v>7.2800000000000004E-2</v>
      </c>
      <c r="G288" s="6">
        <v>60.2</v>
      </c>
      <c r="H288">
        <v>13</v>
      </c>
      <c r="I288">
        <v>157</v>
      </c>
      <c r="J288">
        <v>2</v>
      </c>
      <c r="K288">
        <f>Fato_Producao[[#This Row],[embalagens_danificadas]]+Fato_Producao[[#This Row],[peso_errado]]+Fato_Producao[[#This Row],[impressao]]</f>
        <v>172</v>
      </c>
      <c r="L288" s="1" t="d">
        <v>2024-03-08</v>
      </c>
      <c r="M288">
        <v>23</v>
      </c>
      <c r="N288" s="7">
        <v>9.0299999999999994</v>
      </c>
      <c r="O288" s="4" t="str">
        <f t="shared" si="12"/>
        <v>março</v>
      </c>
      <c r="P288" s="4">
        <f t="shared" si="13"/>
        <v>2024</v>
      </c>
      <c r="Q288" s="4" t="str">
        <f t="shared" si="14"/>
        <v/>
      </c>
      <c r="R288" t="s">
        <v>24</v>
      </c>
    </row>
    <row r="289" spans="1:18" x14ac:dyDescent="0.3">
      <c r="A289" s="1" t="d">
        <v>2024-04-01</v>
      </c>
      <c r="B289">
        <v>45514</v>
      </c>
      <c r="C289" t="str">
        <f>VLOOKUP(Fato_Producao[[#This Row],[referencia]], Dim_Produtos!A:B,2,FALSE)</f>
        <v>sardinha pequena</v>
      </c>
      <c r="D289">
        <v>2159</v>
      </c>
      <c r="E289">
        <v>1971</v>
      </c>
      <c r="F289" s="5">
        <v>8.7099999999999997E-2</v>
      </c>
      <c r="G289" s="6">
        <v>56.4</v>
      </c>
      <c r="H289">
        <v>10</v>
      </c>
      <c r="I289">
        <v>175</v>
      </c>
      <c r="J289">
        <v>3</v>
      </c>
      <c r="K289">
        <f>Fato_Producao[[#This Row],[embalagens_danificadas]]+Fato_Producao[[#This Row],[peso_errado]]+Fato_Producao[[#This Row],[impressao]]</f>
        <v>188</v>
      </c>
      <c r="L289" s="1" t="d">
        <v>2024-03-08</v>
      </c>
      <c r="M289">
        <v>24</v>
      </c>
      <c r="N289" s="7">
        <v>6.77</v>
      </c>
      <c r="O289" s="4" t="str">
        <f t="shared" si="12"/>
        <v>abril</v>
      </c>
      <c r="P289" s="4">
        <f t="shared" si="13"/>
        <v>2024</v>
      </c>
      <c r="Q289" s="4" t="str">
        <f t="shared" si="14"/>
        <v/>
      </c>
      <c r="R289" t="s">
        <v>24</v>
      </c>
    </row>
    <row r="290" spans="1:18" x14ac:dyDescent="0.3">
      <c r="A290" s="1" t="d">
        <v>2024-04-01</v>
      </c>
      <c r="B290">
        <v>45500</v>
      </c>
      <c r="C290" t="str">
        <f>VLOOKUP(Fato_Producao[[#This Row],[referencia]], Dim_Produtos!A:B,2,FALSE)</f>
        <v>filete pescada</v>
      </c>
      <c r="D290">
        <v>3627</v>
      </c>
      <c r="E290">
        <v>3379</v>
      </c>
      <c r="F290" s="5">
        <v>6.8400000000000002E-2</v>
      </c>
      <c r="G290" s="6">
        <v>69.44</v>
      </c>
      <c r="H290">
        <v>13</v>
      </c>
      <c r="I290">
        <v>232</v>
      </c>
      <c r="J290">
        <v>3</v>
      </c>
      <c r="K290">
        <f>Fato_Producao[[#This Row],[embalagens_danificadas]]+Fato_Producao[[#This Row],[peso_errado]]+Fato_Producao[[#This Row],[impressao]]</f>
        <v>248</v>
      </c>
      <c r="L290" s="1" t="d">
        <v>2024-03-08</v>
      </c>
      <c r="M290">
        <v>24</v>
      </c>
      <c r="N290" s="7">
        <v>8.33</v>
      </c>
      <c r="O290" s="4" t="str">
        <f t="shared" si="12"/>
        <v>abril</v>
      </c>
      <c r="P290" s="4">
        <f t="shared" si="13"/>
        <v>2024</v>
      </c>
      <c r="Q290" s="4" t="str">
        <f t="shared" si="14"/>
        <v/>
      </c>
      <c r="R290" t="s">
        <v>24</v>
      </c>
    </row>
    <row r="291" spans="1:18" x14ac:dyDescent="0.3">
      <c r="A291" s="1" t="d">
        <v>2024-04-02</v>
      </c>
      <c r="B291">
        <v>45504</v>
      </c>
      <c r="C291" t="str">
        <f>VLOOKUP(Fato_Producao[[#This Row],[referencia]], Dim_Produtos!A:B,2,FALSE)</f>
        <v>pescada posta fritar</v>
      </c>
      <c r="D291">
        <v>2451</v>
      </c>
      <c r="E291">
        <v>2264</v>
      </c>
      <c r="F291" s="5">
        <v>7.6300000000000007E-2</v>
      </c>
      <c r="G291" s="6">
        <v>59.84</v>
      </c>
      <c r="H291">
        <v>12</v>
      </c>
      <c r="I291">
        <v>171</v>
      </c>
      <c r="J291">
        <v>4</v>
      </c>
      <c r="K291">
        <f>Fato_Producao[[#This Row],[embalagens_danificadas]]+Fato_Producao[[#This Row],[peso_errado]]+Fato_Producao[[#This Row],[impressao]]</f>
        <v>187</v>
      </c>
      <c r="L291" s="1" t="d">
        <v>2024-03-08</v>
      </c>
      <c r="M291">
        <v>25</v>
      </c>
      <c r="N291" s="7">
        <v>8.3800000000000008</v>
      </c>
      <c r="O291" s="4" t="str">
        <f t="shared" si="12"/>
        <v>abril</v>
      </c>
      <c r="P291" s="4">
        <f t="shared" si="13"/>
        <v>2024</v>
      </c>
      <c r="Q291" s="4" t="str">
        <f t="shared" si="14"/>
        <v/>
      </c>
      <c r="R291" t="s">
        <v>24</v>
      </c>
    </row>
    <row r="292" spans="1:18" x14ac:dyDescent="0.3">
      <c r="A292" s="1" t="d">
        <v>2024-04-02</v>
      </c>
      <c r="B292">
        <v>45514</v>
      </c>
      <c r="C292" t="str">
        <f>VLOOKUP(Fato_Producao[[#This Row],[referencia]], Dim_Produtos!A:B,2,FALSE)</f>
        <v>sardinha pequena</v>
      </c>
      <c r="D292">
        <v>3111</v>
      </c>
      <c r="E292">
        <v>2893</v>
      </c>
      <c r="F292" s="5">
        <v>7.0099999999999996E-2</v>
      </c>
      <c r="G292" s="6">
        <v>65.400000000000006</v>
      </c>
      <c r="H292">
        <v>13</v>
      </c>
      <c r="I292">
        <v>200</v>
      </c>
      <c r="J292">
        <v>5</v>
      </c>
      <c r="K292">
        <f>Fato_Producao[[#This Row],[embalagens_danificadas]]+Fato_Producao[[#This Row],[peso_errado]]+Fato_Producao[[#This Row],[impressao]]</f>
        <v>218</v>
      </c>
      <c r="L292" s="1" t="d">
        <v>2024-03-08</v>
      </c>
      <c r="M292">
        <v>25</v>
      </c>
      <c r="N292" s="7">
        <v>7.85</v>
      </c>
      <c r="O292" s="4" t="str">
        <f t="shared" si="12"/>
        <v>abril</v>
      </c>
      <c r="P292" s="4">
        <f t="shared" si="13"/>
        <v>2024</v>
      </c>
      <c r="Q292" s="4" t="str">
        <f t="shared" si="14"/>
        <v/>
      </c>
      <c r="R292" t="s">
        <v>24</v>
      </c>
    </row>
    <row r="293" spans="1:18" x14ac:dyDescent="0.3">
      <c r="A293" s="1" t="d">
        <v>2024-04-03</v>
      </c>
      <c r="B293">
        <v>45507</v>
      </c>
      <c r="C293" t="str">
        <f>VLOOKUP(Fato_Producao[[#This Row],[referencia]], Dim_Produtos!A:B,2,FALSE)</f>
        <v>salmao posta</v>
      </c>
      <c r="D293">
        <v>3650</v>
      </c>
      <c r="E293">
        <v>3404</v>
      </c>
      <c r="F293" s="5">
        <v>6.7400000000000002E-2</v>
      </c>
      <c r="G293" s="6">
        <v>86.1</v>
      </c>
      <c r="H293">
        <v>14</v>
      </c>
      <c r="I293">
        <v>229</v>
      </c>
      <c r="J293">
        <v>3</v>
      </c>
      <c r="K293">
        <f>Fato_Producao[[#This Row],[embalagens_danificadas]]+Fato_Producao[[#This Row],[peso_errado]]+Fato_Producao[[#This Row],[impressao]]</f>
        <v>246</v>
      </c>
      <c r="L293" s="1" t="d">
        <v>2024-03-08</v>
      </c>
      <c r="M293">
        <v>26</v>
      </c>
      <c r="N293" s="7">
        <v>13.78</v>
      </c>
      <c r="O293" s="4" t="str">
        <f t="shared" si="12"/>
        <v>abril</v>
      </c>
      <c r="P293" s="4">
        <f t="shared" si="13"/>
        <v>2024</v>
      </c>
      <c r="Q293" s="4" t="str">
        <f t="shared" si="14"/>
        <v/>
      </c>
      <c r="R293" t="s">
        <v>24</v>
      </c>
    </row>
    <row r="294" spans="1:18" x14ac:dyDescent="0.3">
      <c r="A294" s="1" t="d">
        <v>2024-04-04</v>
      </c>
      <c r="B294">
        <v>45503</v>
      </c>
      <c r="C294" t="str">
        <f>VLOOKUP(Fato_Producao[[#This Row],[referencia]], Dim_Produtos!A:B,2,FALSE)</f>
        <v>sardinha pequena</v>
      </c>
      <c r="D294">
        <v>3548</v>
      </c>
      <c r="E294">
        <v>3282</v>
      </c>
      <c r="F294" s="5">
        <v>7.4999999999999997E-2</v>
      </c>
      <c r="G294" s="6">
        <v>69.16</v>
      </c>
      <c r="H294">
        <v>102</v>
      </c>
      <c r="I294">
        <v>5</v>
      </c>
      <c r="J294">
        <v>159</v>
      </c>
      <c r="K294">
        <f>Fato_Producao[[#This Row],[embalagens_danificadas]]+Fato_Producao[[#This Row],[peso_errado]]+Fato_Producao[[#This Row],[impressao]]</f>
        <v>266</v>
      </c>
      <c r="L294" s="1" t="d">
        <v>2024-03-08</v>
      </c>
      <c r="M294">
        <v>27</v>
      </c>
      <c r="N294" s="7">
        <v>7.61</v>
      </c>
      <c r="O294" s="4" t="str">
        <f t="shared" si="12"/>
        <v>abril</v>
      </c>
      <c r="P294" s="4">
        <f t="shared" si="13"/>
        <v>2024</v>
      </c>
      <c r="Q294" s="4" t="str">
        <f t="shared" si="14"/>
        <v/>
      </c>
      <c r="R294" t="s">
        <v>50</v>
      </c>
    </row>
    <row r="295" spans="1:18" x14ac:dyDescent="0.3">
      <c r="A295" s="1" t="d">
        <v>2024-04-05</v>
      </c>
      <c r="B295">
        <v>45506</v>
      </c>
      <c r="C295" t="str">
        <f>VLOOKUP(Fato_Producao[[#This Row],[referencia]], Dim_Produtos!A:B,2,FALSE)</f>
        <v>perca posta</v>
      </c>
      <c r="D295">
        <v>2579</v>
      </c>
      <c r="E295">
        <v>2358</v>
      </c>
      <c r="F295" s="5">
        <v>8.5699999999999998E-2</v>
      </c>
      <c r="G295" s="6">
        <v>77.349999999999994</v>
      </c>
      <c r="H295">
        <v>11</v>
      </c>
      <c r="I295">
        <v>204</v>
      </c>
      <c r="J295">
        <v>6</v>
      </c>
      <c r="K295">
        <f>Fato_Producao[[#This Row],[embalagens_danificadas]]+Fato_Producao[[#This Row],[peso_errado]]+Fato_Producao[[#This Row],[impressao]]</f>
        <v>221</v>
      </c>
      <c r="L295" s="1" t="d">
        <v>2024-03-08</v>
      </c>
      <c r="M295">
        <v>28</v>
      </c>
      <c r="N295" s="7">
        <v>11.6</v>
      </c>
      <c r="O295" s="4" t="str">
        <f t="shared" si="12"/>
        <v>abril</v>
      </c>
      <c r="P295" s="4">
        <f t="shared" si="13"/>
        <v>2024</v>
      </c>
      <c r="Q295" s="4" t="str">
        <f t="shared" si="14"/>
        <v/>
      </c>
      <c r="R295" t="s">
        <v>24</v>
      </c>
    </row>
    <row r="296" spans="1:18" x14ac:dyDescent="0.3">
      <c r="A296" s="1" t="d">
        <v>2024-04-06</v>
      </c>
      <c r="B296">
        <v>45507</v>
      </c>
      <c r="C296" t="str">
        <f>VLOOKUP(Fato_Producao[[#This Row],[referencia]], Dim_Produtos!A:B,2,FALSE)</f>
        <v>salmao posta</v>
      </c>
      <c r="D296">
        <v>2101</v>
      </c>
      <c r="E296">
        <v>1943</v>
      </c>
      <c r="F296" s="5">
        <v>7.5200000000000003E-2</v>
      </c>
      <c r="G296" s="6">
        <v>55.3</v>
      </c>
      <c r="H296">
        <v>10</v>
      </c>
      <c r="I296">
        <v>145</v>
      </c>
      <c r="J296">
        <v>3</v>
      </c>
      <c r="K296">
        <f>Fato_Producao[[#This Row],[embalagens_danificadas]]+Fato_Producao[[#This Row],[peso_errado]]+Fato_Producao[[#This Row],[impressao]]</f>
        <v>158</v>
      </c>
      <c r="L296" s="1" t="d">
        <v>2024-03-08</v>
      </c>
      <c r="M296">
        <v>29</v>
      </c>
      <c r="N296" s="7">
        <v>8.85</v>
      </c>
      <c r="O296" s="4" t="str">
        <f t="shared" si="12"/>
        <v>abril</v>
      </c>
      <c r="P296" s="4">
        <f t="shared" si="13"/>
        <v>2024</v>
      </c>
      <c r="Q296" s="4" t="str">
        <f t="shared" si="14"/>
        <v/>
      </c>
      <c r="R296" t="s">
        <v>24</v>
      </c>
    </row>
    <row r="297" spans="1:18" x14ac:dyDescent="0.3">
      <c r="A297" s="1" t="d">
        <v>2024-04-06</v>
      </c>
      <c r="B297">
        <v>45510</v>
      </c>
      <c r="C297" t="str">
        <f>VLOOKUP(Fato_Producao[[#This Row],[referencia]], Dim_Produtos!A:B,2,FALSE)</f>
        <v>tiras pota</v>
      </c>
      <c r="D297">
        <v>3168</v>
      </c>
      <c r="E297">
        <v>2862</v>
      </c>
      <c r="F297" s="5">
        <v>9.6600000000000005E-2</v>
      </c>
      <c r="G297" s="6">
        <v>97.92</v>
      </c>
      <c r="H297">
        <v>25</v>
      </c>
      <c r="I297">
        <v>277</v>
      </c>
      <c r="J297">
        <v>4</v>
      </c>
      <c r="K297">
        <f>Fato_Producao[[#This Row],[embalagens_danificadas]]+Fato_Producao[[#This Row],[peso_errado]]+Fato_Producao[[#This Row],[impressao]]</f>
        <v>306</v>
      </c>
      <c r="L297" s="1" t="d">
        <v>2024-03-08</v>
      </c>
      <c r="M297">
        <v>29</v>
      </c>
      <c r="N297" s="7">
        <v>13.71</v>
      </c>
      <c r="O297" s="4" t="str">
        <f t="shared" si="12"/>
        <v>abril</v>
      </c>
      <c r="P297" s="4">
        <f t="shared" si="13"/>
        <v>2024</v>
      </c>
      <c r="Q297" s="4" t="str">
        <f t="shared" si="14"/>
        <v/>
      </c>
      <c r="R297" t="s">
        <v>24</v>
      </c>
    </row>
    <row r="298" spans="1:18" x14ac:dyDescent="0.3">
      <c r="A298" s="1" t="d">
        <v>2024-04-07</v>
      </c>
      <c r="B298">
        <v>45514</v>
      </c>
      <c r="C298" t="str">
        <f>VLOOKUP(Fato_Producao[[#This Row],[referencia]], Dim_Produtos!A:B,2,FALSE)</f>
        <v>sardinha pequena</v>
      </c>
      <c r="D298">
        <v>2082</v>
      </c>
      <c r="E298">
        <v>1905</v>
      </c>
      <c r="F298" s="5">
        <v>8.5000000000000006E-2</v>
      </c>
      <c r="G298" s="6">
        <v>53.1</v>
      </c>
      <c r="H298">
        <v>10</v>
      </c>
      <c r="I298">
        <v>164</v>
      </c>
      <c r="J298">
        <v>3</v>
      </c>
      <c r="K298">
        <f>Fato_Producao[[#This Row],[embalagens_danificadas]]+Fato_Producao[[#This Row],[peso_errado]]+Fato_Producao[[#This Row],[impressao]]</f>
        <v>177</v>
      </c>
      <c r="L298" s="1" t="d">
        <v>2024-03-08</v>
      </c>
      <c r="M298">
        <v>30</v>
      </c>
      <c r="N298" s="7">
        <v>6.37</v>
      </c>
      <c r="O298" s="4" t="str">
        <f t="shared" si="12"/>
        <v>abril</v>
      </c>
      <c r="P298" s="4">
        <f t="shared" si="13"/>
        <v>2024</v>
      </c>
      <c r="Q298" s="4" t="str">
        <f t="shared" si="14"/>
        <v/>
      </c>
      <c r="R298" t="s">
        <v>24</v>
      </c>
    </row>
    <row r="299" spans="1:18" x14ac:dyDescent="0.3">
      <c r="A299" s="1" t="d">
        <v>2024-04-08</v>
      </c>
      <c r="B299">
        <v>45500</v>
      </c>
      <c r="C299" t="str">
        <f>VLOOKUP(Fato_Producao[[#This Row],[referencia]], Dim_Produtos!A:B,2,FALSE)</f>
        <v>filete pescada</v>
      </c>
      <c r="D299">
        <v>2314</v>
      </c>
      <c r="E299">
        <v>2161</v>
      </c>
      <c r="F299" s="5">
        <v>6.6100000000000006E-2</v>
      </c>
      <c r="G299" s="6">
        <v>42.84</v>
      </c>
      <c r="H299">
        <v>5</v>
      </c>
      <c r="I299">
        <v>144</v>
      </c>
      <c r="J299">
        <v>4</v>
      </c>
      <c r="K299">
        <f>Fato_Producao[[#This Row],[embalagens_danificadas]]+Fato_Producao[[#This Row],[peso_errado]]+Fato_Producao[[#This Row],[impressao]]</f>
        <v>153</v>
      </c>
      <c r="L299" s="1" t="d">
        <v>2024-03-08</v>
      </c>
      <c r="M299">
        <v>31</v>
      </c>
      <c r="N299" s="7">
        <v>5.14</v>
      </c>
      <c r="O299" s="4" t="str">
        <f t="shared" si="12"/>
        <v>abril</v>
      </c>
      <c r="P299" s="4">
        <f t="shared" si="13"/>
        <v>2024</v>
      </c>
      <c r="Q299" s="4" t="str">
        <f t="shared" si="14"/>
        <v/>
      </c>
      <c r="R299" t="s">
        <v>24</v>
      </c>
    </row>
    <row r="300" spans="1:18" x14ac:dyDescent="0.3">
      <c r="A300" s="1" t="d">
        <v>2024-04-08</v>
      </c>
      <c r="B300">
        <v>45506</v>
      </c>
      <c r="C300" t="str">
        <f>VLOOKUP(Fato_Producao[[#This Row],[referencia]], Dim_Produtos!A:B,2,FALSE)</f>
        <v>perca posta</v>
      </c>
      <c r="D300">
        <v>3955</v>
      </c>
      <c r="E300">
        <v>3636</v>
      </c>
      <c r="F300" s="5">
        <v>8.0699999999999994E-2</v>
      </c>
      <c r="G300" s="6">
        <v>111.65</v>
      </c>
      <c r="H300">
        <v>18</v>
      </c>
      <c r="I300">
        <v>298</v>
      </c>
      <c r="J300">
        <v>3</v>
      </c>
      <c r="K300">
        <f>Fato_Producao[[#This Row],[embalagens_danificadas]]+Fato_Producao[[#This Row],[peso_errado]]+Fato_Producao[[#This Row],[impressao]]</f>
        <v>319</v>
      </c>
      <c r="L300" s="1" t="d">
        <v>2024-03-08</v>
      </c>
      <c r="M300">
        <v>31</v>
      </c>
      <c r="N300" s="7">
        <v>16.75</v>
      </c>
      <c r="O300" s="4" t="str">
        <f t="shared" si="12"/>
        <v>abril</v>
      </c>
      <c r="P300" s="4">
        <f t="shared" si="13"/>
        <v>2024</v>
      </c>
      <c r="Q300" s="4" t="str">
        <f t="shared" si="14"/>
        <v/>
      </c>
      <c r="R300" t="s">
        <v>24</v>
      </c>
    </row>
    <row r="301" spans="1:18" x14ac:dyDescent="0.3">
      <c r="A301" s="1" t="d">
        <v>2024-04-09</v>
      </c>
      <c r="B301">
        <v>45504</v>
      </c>
      <c r="C301" t="str">
        <f>VLOOKUP(Fato_Producao[[#This Row],[referencia]], Dim_Produtos!A:B,2,FALSE)</f>
        <v>pescada posta fritar</v>
      </c>
      <c r="D301">
        <v>2314</v>
      </c>
      <c r="E301">
        <v>2121</v>
      </c>
      <c r="F301" s="5">
        <v>8.3400000000000002E-2</v>
      </c>
      <c r="G301" s="6">
        <v>61.76</v>
      </c>
      <c r="H301">
        <v>13</v>
      </c>
      <c r="I301">
        <v>177</v>
      </c>
      <c r="J301">
        <v>3</v>
      </c>
      <c r="K301">
        <f>Fato_Producao[[#This Row],[embalagens_danificadas]]+Fato_Producao[[#This Row],[peso_errado]]+Fato_Producao[[#This Row],[impressao]]</f>
        <v>193</v>
      </c>
      <c r="L301" s="1" t="d">
        <v>2024-03-08</v>
      </c>
      <c r="M301">
        <v>32</v>
      </c>
      <c r="N301" s="7">
        <v>8.65</v>
      </c>
      <c r="O301" s="4" t="str">
        <f t="shared" si="12"/>
        <v>abril</v>
      </c>
      <c r="P301" s="4">
        <f t="shared" si="13"/>
        <v>2024</v>
      </c>
      <c r="Q301" s="4" t="str">
        <f t="shared" si="14"/>
        <v/>
      </c>
      <c r="R301" t="s">
        <v>24</v>
      </c>
    </row>
    <row r="302" spans="1:18" x14ac:dyDescent="0.3">
      <c r="A302" s="1" t="d">
        <v>2024-04-10</v>
      </c>
      <c r="B302">
        <v>45510</v>
      </c>
      <c r="C302" t="str">
        <f>VLOOKUP(Fato_Producao[[#This Row],[referencia]], Dim_Produtos!A:B,2,FALSE)</f>
        <v>tiras pota</v>
      </c>
      <c r="D302">
        <v>3228</v>
      </c>
      <c r="E302">
        <v>2906</v>
      </c>
      <c r="F302" s="5">
        <v>9.98E-2</v>
      </c>
      <c r="G302" s="6">
        <v>103.04</v>
      </c>
      <c r="H302">
        <v>34</v>
      </c>
      <c r="I302">
        <v>280</v>
      </c>
      <c r="J302">
        <v>8</v>
      </c>
      <c r="K302">
        <f>Fato_Producao[[#This Row],[embalagens_danificadas]]+Fato_Producao[[#This Row],[peso_errado]]+Fato_Producao[[#This Row],[impressao]]</f>
        <v>322</v>
      </c>
      <c r="L302" s="1" t="d">
        <v>2024-03-08</v>
      </c>
      <c r="M302">
        <v>33</v>
      </c>
      <c r="N302" s="7">
        <v>14.43</v>
      </c>
      <c r="O302" s="4" t="str">
        <f t="shared" si="12"/>
        <v>abril</v>
      </c>
      <c r="P302" s="4">
        <f t="shared" si="13"/>
        <v>2024</v>
      </c>
      <c r="Q302" s="4" t="str">
        <f t="shared" si="14"/>
        <v/>
      </c>
      <c r="R302" t="s">
        <v>24</v>
      </c>
    </row>
    <row r="303" spans="1:18" x14ac:dyDescent="0.3">
      <c r="A303" s="1" t="d">
        <v>2024-04-10</v>
      </c>
      <c r="B303">
        <v>45503</v>
      </c>
      <c r="C303" t="str">
        <f>VLOOKUP(Fato_Producao[[#This Row],[referencia]], Dim_Produtos!A:B,2,FALSE)</f>
        <v>sardinha pequena</v>
      </c>
      <c r="D303">
        <v>4081</v>
      </c>
      <c r="E303">
        <v>3693</v>
      </c>
      <c r="F303" s="5">
        <v>9.5100000000000004E-2</v>
      </c>
      <c r="G303" s="6">
        <v>100.88</v>
      </c>
      <c r="H303">
        <v>24</v>
      </c>
      <c r="I303">
        <v>354</v>
      </c>
      <c r="J303">
        <v>10</v>
      </c>
      <c r="K303">
        <f>Fato_Producao[[#This Row],[embalagens_danificadas]]+Fato_Producao[[#This Row],[peso_errado]]+Fato_Producao[[#This Row],[impressao]]</f>
        <v>388</v>
      </c>
      <c r="L303" s="1" t="d">
        <v>2024-03-08</v>
      </c>
      <c r="M303">
        <v>33</v>
      </c>
      <c r="N303" s="7">
        <v>11.1</v>
      </c>
      <c r="O303" s="4" t="str">
        <f t="shared" si="12"/>
        <v>abril</v>
      </c>
      <c r="P303" s="4">
        <f t="shared" si="13"/>
        <v>2024</v>
      </c>
      <c r="Q303" s="4" t="str">
        <f t="shared" si="14"/>
        <v/>
      </c>
      <c r="R303" t="s">
        <v>24</v>
      </c>
    </row>
    <row r="304" spans="1:18" x14ac:dyDescent="0.3">
      <c r="A304" s="1" t="d">
        <v>2024-04-11</v>
      </c>
      <c r="B304">
        <v>45501</v>
      </c>
      <c r="C304" t="str">
        <f>VLOOKUP(Fato_Producao[[#This Row],[referencia]], Dim_Produtos!A:B,2,FALSE)</f>
        <v>pescada posta cozer</v>
      </c>
      <c r="D304">
        <v>3578</v>
      </c>
      <c r="E304">
        <v>3302</v>
      </c>
      <c r="F304" s="5">
        <v>7.7100000000000002E-2</v>
      </c>
      <c r="G304" s="6">
        <v>88.32</v>
      </c>
      <c r="H304">
        <v>18</v>
      </c>
      <c r="I304">
        <v>253</v>
      </c>
      <c r="J304">
        <v>5</v>
      </c>
      <c r="K304">
        <f>Fato_Producao[[#This Row],[embalagens_danificadas]]+Fato_Producao[[#This Row],[peso_errado]]+Fato_Producao[[#This Row],[impressao]]</f>
        <v>276</v>
      </c>
      <c r="L304" s="1" t="d">
        <v>2024-03-08</v>
      </c>
      <c r="M304">
        <v>34</v>
      </c>
      <c r="N304" s="7">
        <v>12.36</v>
      </c>
      <c r="O304" s="4" t="str">
        <f t="shared" si="12"/>
        <v>abril</v>
      </c>
      <c r="P304" s="4">
        <f t="shared" si="13"/>
        <v>2024</v>
      </c>
      <c r="Q304" s="4" t="str">
        <f t="shared" si="14"/>
        <v/>
      </c>
      <c r="R304" t="s">
        <v>24</v>
      </c>
    </row>
    <row r="305" spans="1:18" x14ac:dyDescent="0.3">
      <c r="A305" s="1" t="d">
        <v>2024-04-12</v>
      </c>
      <c r="B305">
        <v>45509</v>
      </c>
      <c r="C305" t="str">
        <f>VLOOKUP(Fato_Producao[[#This Row],[referencia]], Dim_Produtos!A:B,2,FALSE)</f>
        <v>lascas bacalhau</v>
      </c>
      <c r="D305">
        <v>2813</v>
      </c>
      <c r="E305">
        <v>2547</v>
      </c>
      <c r="F305" s="5">
        <v>9.4600000000000004E-2</v>
      </c>
      <c r="G305" s="6">
        <v>74.48</v>
      </c>
      <c r="H305">
        <v>14</v>
      </c>
      <c r="I305">
        <v>247</v>
      </c>
      <c r="J305">
        <v>5</v>
      </c>
      <c r="K305">
        <f>Fato_Producao[[#This Row],[embalagens_danificadas]]+Fato_Producao[[#This Row],[peso_errado]]+Fato_Producao[[#This Row],[impressao]]</f>
        <v>266</v>
      </c>
      <c r="L305" s="1" t="d">
        <v>2024-03-08</v>
      </c>
      <c r="M305">
        <v>35</v>
      </c>
      <c r="N305" s="7">
        <v>9.68</v>
      </c>
      <c r="O305" s="4" t="str">
        <f t="shared" si="12"/>
        <v>abril</v>
      </c>
      <c r="P305" s="4">
        <f t="shared" si="13"/>
        <v>2024</v>
      </c>
      <c r="Q305" s="4" t="str">
        <f t="shared" si="14"/>
        <v/>
      </c>
      <c r="R305" t="s">
        <v>24</v>
      </c>
    </row>
    <row r="306" spans="1:18" x14ac:dyDescent="0.3">
      <c r="A306" s="1" t="d">
        <v>2024-04-12</v>
      </c>
      <c r="B306">
        <v>45507</v>
      </c>
      <c r="C306" t="str">
        <f>VLOOKUP(Fato_Producao[[#This Row],[referencia]], Dim_Produtos!A:B,2,FALSE)</f>
        <v>salmao posta</v>
      </c>
      <c r="D306">
        <v>2670</v>
      </c>
      <c r="E306">
        <v>2449</v>
      </c>
      <c r="F306" s="5">
        <v>8.2799999999999999E-2</v>
      </c>
      <c r="G306" s="6">
        <v>77.349999999999994</v>
      </c>
      <c r="H306">
        <v>9</v>
      </c>
      <c r="I306">
        <v>208</v>
      </c>
      <c r="J306">
        <v>4</v>
      </c>
      <c r="K306">
        <f>Fato_Producao[[#This Row],[embalagens_danificadas]]+Fato_Producao[[#This Row],[peso_errado]]+Fato_Producao[[#This Row],[impressao]]</f>
        <v>221</v>
      </c>
      <c r="L306" s="1" t="d">
        <v>2024-03-08</v>
      </c>
      <c r="M306">
        <v>35</v>
      </c>
      <c r="N306" s="7">
        <v>12.38</v>
      </c>
      <c r="O306" s="4" t="str">
        <f t="shared" si="12"/>
        <v>abril</v>
      </c>
      <c r="P306" s="4">
        <f t="shared" si="13"/>
        <v>2024</v>
      </c>
      <c r="Q306" s="4" t="str">
        <f t="shared" si="14"/>
        <v/>
      </c>
      <c r="R306" t="s">
        <v>24</v>
      </c>
    </row>
    <row r="307" spans="1:18" x14ac:dyDescent="0.3">
      <c r="A307" s="1" t="d">
        <v>2024-04-13</v>
      </c>
      <c r="B307">
        <v>45507</v>
      </c>
      <c r="C307" t="str">
        <f>VLOOKUP(Fato_Producao[[#This Row],[referencia]], Dim_Produtos!A:B,2,FALSE)</f>
        <v>salmao posta</v>
      </c>
      <c r="D307">
        <v>2135</v>
      </c>
      <c r="E307">
        <v>1994</v>
      </c>
      <c r="F307" s="5">
        <v>6.6000000000000003E-2</v>
      </c>
      <c r="G307" s="6">
        <v>49.35</v>
      </c>
      <c r="H307">
        <v>6</v>
      </c>
      <c r="I307">
        <v>133</v>
      </c>
      <c r="J307">
        <v>2</v>
      </c>
      <c r="K307">
        <f>Fato_Producao[[#This Row],[embalagens_danificadas]]+Fato_Producao[[#This Row],[peso_errado]]+Fato_Producao[[#This Row],[impressao]]</f>
        <v>141</v>
      </c>
      <c r="L307" s="1" t="d">
        <v>2024-03-08</v>
      </c>
      <c r="M307">
        <v>36</v>
      </c>
      <c r="N307" s="7">
        <v>7.9</v>
      </c>
      <c r="O307" s="4" t="str">
        <f t="shared" si="12"/>
        <v>abril</v>
      </c>
      <c r="P307" s="4">
        <f t="shared" si="13"/>
        <v>2024</v>
      </c>
      <c r="Q307" s="4" t="str">
        <f t="shared" si="14"/>
        <v/>
      </c>
      <c r="R307" t="s">
        <v>24</v>
      </c>
    </row>
    <row r="308" spans="1:18" x14ac:dyDescent="0.3">
      <c r="A308" s="1" t="d">
        <v>2024-04-13</v>
      </c>
      <c r="B308">
        <v>45507</v>
      </c>
      <c r="C308" t="str">
        <f>VLOOKUP(Fato_Producao[[#This Row],[referencia]], Dim_Produtos!A:B,2,FALSE)</f>
        <v>salmao posta</v>
      </c>
      <c r="D308">
        <v>1961</v>
      </c>
      <c r="E308">
        <v>1788</v>
      </c>
      <c r="F308" s="5">
        <v>8.8200000000000001E-2</v>
      </c>
      <c r="G308" s="6">
        <v>60.55</v>
      </c>
      <c r="H308">
        <v>66</v>
      </c>
      <c r="I308">
        <v>33</v>
      </c>
      <c r="J308">
        <v>74</v>
      </c>
      <c r="K308">
        <f>Fato_Producao[[#This Row],[embalagens_danificadas]]+Fato_Producao[[#This Row],[peso_errado]]+Fato_Producao[[#This Row],[impressao]]</f>
        <v>173</v>
      </c>
      <c r="L308" s="1" t="d">
        <v>2024-03-08</v>
      </c>
      <c r="M308">
        <v>36</v>
      </c>
      <c r="N308" s="7">
        <v>9.69</v>
      </c>
      <c r="O308" s="4" t="str">
        <f t="shared" si="12"/>
        <v>abril</v>
      </c>
      <c r="P308" s="4">
        <f t="shared" si="13"/>
        <v>2024</v>
      </c>
      <c r="Q308" s="4" t="str">
        <f t="shared" si="14"/>
        <v/>
      </c>
      <c r="R308" t="s">
        <v>50</v>
      </c>
    </row>
    <row r="309" spans="1:18" x14ac:dyDescent="0.3">
      <c r="A309" s="1" t="d">
        <v>2024-04-14</v>
      </c>
      <c r="B309">
        <v>45507</v>
      </c>
      <c r="C309" t="str">
        <f>VLOOKUP(Fato_Producao[[#This Row],[referencia]], Dim_Produtos!A:B,2,FALSE)</f>
        <v>salmao posta</v>
      </c>
      <c r="D309">
        <v>2932</v>
      </c>
      <c r="E309">
        <v>2673</v>
      </c>
      <c r="F309" s="5">
        <v>8.8300000000000003E-2</v>
      </c>
      <c r="G309" s="6">
        <v>90.65</v>
      </c>
      <c r="H309">
        <v>7</v>
      </c>
      <c r="I309">
        <v>248</v>
      </c>
      <c r="J309">
        <v>4</v>
      </c>
      <c r="K309">
        <f>Fato_Producao[[#This Row],[embalagens_danificadas]]+Fato_Producao[[#This Row],[peso_errado]]+Fato_Producao[[#This Row],[impressao]]</f>
        <v>259</v>
      </c>
      <c r="L309" s="1" t="d">
        <v>2024-03-08</v>
      </c>
      <c r="M309">
        <v>37</v>
      </c>
      <c r="N309" s="7">
        <v>14.5</v>
      </c>
      <c r="O309" s="4" t="str">
        <f t="shared" si="12"/>
        <v>abril</v>
      </c>
      <c r="P309" s="4">
        <f t="shared" si="13"/>
        <v>2024</v>
      </c>
      <c r="Q309" s="4" t="str">
        <f t="shared" si="14"/>
        <v/>
      </c>
      <c r="R309" t="s">
        <v>24</v>
      </c>
    </row>
    <row r="310" spans="1:18" x14ac:dyDescent="0.3">
      <c r="A310" s="1" t="d">
        <v>2024-04-15</v>
      </c>
      <c r="B310">
        <v>45502</v>
      </c>
      <c r="C310" t="str">
        <f>VLOOKUP(Fato_Producao[[#This Row],[referencia]], Dim_Produtos!A:B,2,FALSE)</f>
        <v>carapau pelim</v>
      </c>
      <c r="D310">
        <v>2231</v>
      </c>
      <c r="E310">
        <v>2062</v>
      </c>
      <c r="F310" s="5">
        <v>7.5800000000000006E-2</v>
      </c>
      <c r="G310" s="6">
        <v>50.7</v>
      </c>
      <c r="H310">
        <v>36</v>
      </c>
      <c r="I310">
        <v>129</v>
      </c>
      <c r="J310">
        <v>4</v>
      </c>
      <c r="K310">
        <f>Fato_Producao[[#This Row],[embalagens_danificadas]]+Fato_Producao[[#This Row],[peso_errado]]+Fato_Producao[[#This Row],[impressao]]</f>
        <v>169</v>
      </c>
      <c r="L310" s="1" t="d">
        <v>2024-03-08</v>
      </c>
      <c r="M310">
        <v>38</v>
      </c>
      <c r="N310" s="7">
        <v>6.59</v>
      </c>
      <c r="O310" s="4" t="str">
        <f t="shared" si="12"/>
        <v>abril</v>
      </c>
      <c r="P310" s="4">
        <f t="shared" si="13"/>
        <v>2024</v>
      </c>
      <c r="Q310" s="4" t="str">
        <f t="shared" si="14"/>
        <v/>
      </c>
      <c r="R310" t="s">
        <v>24</v>
      </c>
    </row>
    <row r="311" spans="1:18" x14ac:dyDescent="0.3">
      <c r="A311" s="1" t="d">
        <v>2024-04-15</v>
      </c>
      <c r="B311">
        <v>45500</v>
      </c>
      <c r="C311" t="str">
        <f>VLOOKUP(Fato_Producao[[#This Row],[referencia]], Dim_Produtos!A:B,2,FALSE)</f>
        <v>filete pescada</v>
      </c>
      <c r="D311">
        <v>2275</v>
      </c>
      <c r="E311">
        <v>2130</v>
      </c>
      <c r="F311" s="5">
        <v>6.3700000000000007E-2</v>
      </c>
      <c r="G311" s="6">
        <v>40.6</v>
      </c>
      <c r="H311">
        <v>2</v>
      </c>
      <c r="I311">
        <v>139</v>
      </c>
      <c r="J311">
        <v>4</v>
      </c>
      <c r="K311">
        <f>Fato_Producao[[#This Row],[embalagens_danificadas]]+Fato_Producao[[#This Row],[peso_errado]]+Fato_Producao[[#This Row],[impressao]]</f>
        <v>145</v>
      </c>
      <c r="L311" s="1" t="d">
        <v>2024-03-08</v>
      </c>
      <c r="M311">
        <v>38</v>
      </c>
      <c r="N311" s="7">
        <v>4.87</v>
      </c>
      <c r="O311" s="4" t="str">
        <f t="shared" si="12"/>
        <v>abril</v>
      </c>
      <c r="P311" s="4">
        <f t="shared" si="13"/>
        <v>2024</v>
      </c>
      <c r="Q311" s="4" t="str">
        <f t="shared" si="14"/>
        <v/>
      </c>
      <c r="R311" t="s">
        <v>24</v>
      </c>
    </row>
    <row r="312" spans="1:18" x14ac:dyDescent="0.3">
      <c r="A312" s="1" t="d">
        <v>2024-04-16</v>
      </c>
      <c r="B312">
        <v>45500</v>
      </c>
      <c r="C312" t="str">
        <f>VLOOKUP(Fato_Producao[[#This Row],[referencia]], Dim_Produtos!A:B,2,FALSE)</f>
        <v>filete pescada</v>
      </c>
      <c r="D312">
        <v>1997</v>
      </c>
      <c r="E312">
        <v>1838</v>
      </c>
      <c r="F312" s="5">
        <v>7.9600000000000004E-2</v>
      </c>
      <c r="G312" s="6">
        <v>44.52</v>
      </c>
      <c r="H312">
        <v>7</v>
      </c>
      <c r="I312">
        <v>148</v>
      </c>
      <c r="J312">
        <v>4</v>
      </c>
      <c r="K312">
        <f>Fato_Producao[[#This Row],[embalagens_danificadas]]+Fato_Producao[[#This Row],[peso_errado]]+Fato_Producao[[#This Row],[impressao]]</f>
        <v>159</v>
      </c>
      <c r="L312" s="1" t="d">
        <v>2024-03-08</v>
      </c>
      <c r="M312">
        <v>39</v>
      </c>
      <c r="N312" s="7">
        <v>5.34</v>
      </c>
      <c r="O312" s="4" t="str">
        <f t="shared" si="12"/>
        <v>abril</v>
      </c>
      <c r="P312" s="4">
        <f t="shared" si="13"/>
        <v>2024</v>
      </c>
      <c r="Q312" s="4" t="str">
        <f t="shared" si="14"/>
        <v/>
      </c>
      <c r="R312" t="s">
        <v>24</v>
      </c>
    </row>
    <row r="313" spans="1:18" x14ac:dyDescent="0.3">
      <c r="A313" s="1" t="d">
        <v>2024-04-16</v>
      </c>
      <c r="B313">
        <v>45510</v>
      </c>
      <c r="C313" t="str">
        <f>VLOOKUP(Fato_Producao[[#This Row],[referencia]], Dim_Produtos!A:B,2,FALSE)</f>
        <v>tiras pota</v>
      </c>
      <c r="D313">
        <v>3984</v>
      </c>
      <c r="E313">
        <v>3572</v>
      </c>
      <c r="F313" s="5">
        <v>0.10340000000000001</v>
      </c>
      <c r="G313" s="6">
        <v>131.84</v>
      </c>
      <c r="H313">
        <v>39</v>
      </c>
      <c r="I313">
        <v>364</v>
      </c>
      <c r="J313">
        <v>9</v>
      </c>
      <c r="K313">
        <f>Fato_Producao[[#This Row],[embalagens_danificadas]]+Fato_Producao[[#This Row],[peso_errado]]+Fato_Producao[[#This Row],[impressao]]</f>
        <v>412</v>
      </c>
      <c r="L313" s="1" t="d">
        <v>2024-03-08</v>
      </c>
      <c r="M313">
        <v>39</v>
      </c>
      <c r="N313" s="7">
        <v>18.46</v>
      </c>
      <c r="O313" s="4" t="str">
        <f t="shared" si="12"/>
        <v>abril</v>
      </c>
      <c r="P313" s="4">
        <f t="shared" si="13"/>
        <v>2024</v>
      </c>
      <c r="Q313" s="4" t="str">
        <f t="shared" si="14"/>
        <v/>
      </c>
      <c r="R313" t="s">
        <v>24</v>
      </c>
    </row>
    <row r="314" spans="1:18" x14ac:dyDescent="0.3">
      <c r="A314" s="1" t="d">
        <v>2024-04-17</v>
      </c>
      <c r="B314">
        <v>45502</v>
      </c>
      <c r="C314" t="str">
        <f>VLOOKUP(Fato_Producao[[#This Row],[referencia]], Dim_Produtos!A:B,2,FALSE)</f>
        <v>carapau pelim</v>
      </c>
      <c r="D314">
        <v>2772</v>
      </c>
      <c r="E314">
        <v>2513</v>
      </c>
      <c r="F314" s="5">
        <v>9.3399999999999997E-2</v>
      </c>
      <c r="G314" s="6">
        <v>77.7</v>
      </c>
      <c r="H314">
        <v>72</v>
      </c>
      <c r="I314">
        <v>177</v>
      </c>
      <c r="J314">
        <v>10</v>
      </c>
      <c r="K314">
        <f>Fato_Producao[[#This Row],[embalagens_danificadas]]+Fato_Producao[[#This Row],[peso_errado]]+Fato_Producao[[#This Row],[impressao]]</f>
        <v>259</v>
      </c>
      <c r="L314" s="1" t="d">
        <v>2024-03-08</v>
      </c>
      <c r="M314">
        <v>40</v>
      </c>
      <c r="N314" s="7">
        <v>10.1</v>
      </c>
      <c r="O314" s="4" t="str">
        <f t="shared" si="12"/>
        <v>abril</v>
      </c>
      <c r="P314" s="4">
        <f t="shared" si="13"/>
        <v>2024</v>
      </c>
      <c r="Q314" s="4" t="str">
        <f t="shared" si="14"/>
        <v/>
      </c>
      <c r="R314" t="s">
        <v>24</v>
      </c>
    </row>
    <row r="315" spans="1:18" x14ac:dyDescent="0.3">
      <c r="A315" s="1" t="d">
        <v>2024-04-17</v>
      </c>
      <c r="B315">
        <v>45502</v>
      </c>
      <c r="C315" t="str">
        <f>VLOOKUP(Fato_Producao[[#This Row],[referencia]], Dim_Produtos!A:B,2,FALSE)</f>
        <v>carapau pelim</v>
      </c>
      <c r="D315">
        <v>3249</v>
      </c>
      <c r="E315">
        <v>2914</v>
      </c>
      <c r="F315" s="5">
        <v>0.1031</v>
      </c>
      <c r="G315" s="6">
        <v>100.5</v>
      </c>
      <c r="H315">
        <v>71</v>
      </c>
      <c r="I315">
        <v>257</v>
      </c>
      <c r="J315">
        <v>7</v>
      </c>
      <c r="K315">
        <f>Fato_Producao[[#This Row],[embalagens_danificadas]]+Fato_Producao[[#This Row],[peso_errado]]+Fato_Producao[[#This Row],[impressao]]</f>
        <v>335</v>
      </c>
      <c r="L315" s="1" t="d">
        <v>2024-03-08</v>
      </c>
      <c r="M315">
        <v>40</v>
      </c>
      <c r="N315" s="7">
        <v>13.07</v>
      </c>
      <c r="O315" s="4" t="str">
        <f t="shared" si="12"/>
        <v>abril</v>
      </c>
      <c r="P315" s="4">
        <f t="shared" si="13"/>
        <v>2024</v>
      </c>
      <c r="Q315" s="4" t="str">
        <f t="shared" si="14"/>
        <v/>
      </c>
      <c r="R315" t="s">
        <v>24</v>
      </c>
    </row>
    <row r="316" spans="1:18" x14ac:dyDescent="0.3">
      <c r="A316" s="1" t="d">
        <v>2024-04-18</v>
      </c>
      <c r="B316">
        <v>45503</v>
      </c>
      <c r="C316" t="str">
        <f>VLOOKUP(Fato_Producao[[#This Row],[referencia]], Dim_Produtos!A:B,2,FALSE)</f>
        <v>sardinha pequena</v>
      </c>
      <c r="D316">
        <v>3896</v>
      </c>
      <c r="E316">
        <v>3529</v>
      </c>
      <c r="F316" s="5">
        <v>9.4200000000000006E-2</v>
      </c>
      <c r="G316" s="6">
        <v>95.42</v>
      </c>
      <c r="H316">
        <v>17</v>
      </c>
      <c r="I316">
        <v>346</v>
      </c>
      <c r="J316">
        <v>4</v>
      </c>
      <c r="K316">
        <f>Fato_Producao[[#This Row],[embalagens_danificadas]]+Fato_Producao[[#This Row],[peso_errado]]+Fato_Producao[[#This Row],[impressao]]</f>
        <v>367</v>
      </c>
      <c r="L316" s="1" t="d">
        <v>2024-03-08</v>
      </c>
      <c r="M316">
        <v>41</v>
      </c>
      <c r="N316" s="7">
        <v>10.5</v>
      </c>
      <c r="O316" s="4" t="str">
        <f t="shared" si="12"/>
        <v>abril</v>
      </c>
      <c r="P316" s="4">
        <f t="shared" si="13"/>
        <v>2024</v>
      </c>
      <c r="Q316" s="4" t="str">
        <f t="shared" si="14"/>
        <v/>
      </c>
      <c r="R316" t="s">
        <v>24</v>
      </c>
    </row>
    <row r="317" spans="1:18" x14ac:dyDescent="0.3">
      <c r="A317" s="1" t="d">
        <v>2024-04-18</v>
      </c>
      <c r="B317">
        <v>45506</v>
      </c>
      <c r="C317" t="str">
        <f>VLOOKUP(Fato_Producao[[#This Row],[referencia]], Dim_Produtos!A:B,2,FALSE)</f>
        <v>perca posta</v>
      </c>
      <c r="D317">
        <v>2809</v>
      </c>
      <c r="E317">
        <v>2598</v>
      </c>
      <c r="F317" s="5">
        <v>7.51E-2</v>
      </c>
      <c r="G317" s="6">
        <v>73.849999999999994</v>
      </c>
      <c r="H317">
        <v>9</v>
      </c>
      <c r="I317">
        <v>200</v>
      </c>
      <c r="J317">
        <v>2</v>
      </c>
      <c r="K317">
        <f>Fato_Producao[[#This Row],[embalagens_danificadas]]+Fato_Producao[[#This Row],[peso_errado]]+Fato_Producao[[#This Row],[impressao]]</f>
        <v>211</v>
      </c>
      <c r="L317" s="1" t="d">
        <v>2024-03-08</v>
      </c>
      <c r="M317">
        <v>41</v>
      </c>
      <c r="N317" s="7">
        <v>11.08</v>
      </c>
      <c r="O317" s="4" t="str">
        <f t="shared" si="12"/>
        <v>abril</v>
      </c>
      <c r="P317" s="4">
        <f t="shared" si="13"/>
        <v>2024</v>
      </c>
      <c r="Q317" s="4" t="str">
        <f t="shared" si="14"/>
        <v/>
      </c>
      <c r="R317" t="s">
        <v>24</v>
      </c>
    </row>
    <row r="318" spans="1:18" x14ac:dyDescent="0.3">
      <c r="A318" s="1" t="d">
        <v>2024-04-19</v>
      </c>
      <c r="B318">
        <v>45513</v>
      </c>
      <c r="C318" t="str">
        <f>VLOOKUP(Fato_Producao[[#This Row],[referencia]], Dim_Produtos!A:B,2,FALSE)</f>
        <v>filete pescada</v>
      </c>
      <c r="D318">
        <v>3651</v>
      </c>
      <c r="E318">
        <v>3380</v>
      </c>
      <c r="F318" s="5">
        <v>7.4200000000000002E-2</v>
      </c>
      <c r="G318" s="6">
        <v>86.72</v>
      </c>
      <c r="H318">
        <v>15</v>
      </c>
      <c r="I318">
        <v>253</v>
      </c>
      <c r="J318">
        <v>3</v>
      </c>
      <c r="K318">
        <f>Fato_Producao[[#This Row],[embalagens_danificadas]]+Fato_Producao[[#This Row],[peso_errado]]+Fato_Producao[[#This Row],[impressao]]</f>
        <v>271</v>
      </c>
      <c r="L318" s="1" t="d">
        <v>2024-03-08</v>
      </c>
      <c r="M318">
        <v>42</v>
      </c>
      <c r="N318" s="7">
        <v>11.27</v>
      </c>
      <c r="O318" s="4" t="str">
        <f t="shared" si="12"/>
        <v>abril</v>
      </c>
      <c r="P318" s="4">
        <f t="shared" si="13"/>
        <v>2024</v>
      </c>
      <c r="Q318" s="4" t="str">
        <f t="shared" si="14"/>
        <v/>
      </c>
      <c r="R318" t="s">
        <v>24</v>
      </c>
    </row>
    <row r="319" spans="1:18" x14ac:dyDescent="0.3">
      <c r="A319" s="1" t="d">
        <v>2024-04-20</v>
      </c>
      <c r="B319">
        <v>45509</v>
      </c>
      <c r="C319" t="str">
        <f>VLOOKUP(Fato_Producao[[#This Row],[referencia]], Dim_Produtos!A:B,2,FALSE)</f>
        <v>lascas bacalhau</v>
      </c>
      <c r="D319">
        <v>3165</v>
      </c>
      <c r="E319">
        <v>2915</v>
      </c>
      <c r="F319" s="5">
        <v>7.9000000000000001E-2</v>
      </c>
      <c r="G319" s="6">
        <v>70</v>
      </c>
      <c r="H319">
        <v>12</v>
      </c>
      <c r="I319">
        <v>231</v>
      </c>
      <c r="J319">
        <v>7</v>
      </c>
      <c r="K319">
        <f>Fato_Producao[[#This Row],[embalagens_danificadas]]+Fato_Producao[[#This Row],[peso_errado]]+Fato_Producao[[#This Row],[impressao]]</f>
        <v>250</v>
      </c>
      <c r="L319" s="1" t="d">
        <v>2024-03-08</v>
      </c>
      <c r="M319">
        <v>43</v>
      </c>
      <c r="N319" s="7">
        <v>9.1</v>
      </c>
      <c r="O319" s="4" t="str">
        <f t="shared" si="12"/>
        <v>abril</v>
      </c>
      <c r="P319" s="4">
        <f t="shared" si="13"/>
        <v>2024</v>
      </c>
      <c r="Q319" s="4" t="str">
        <f t="shared" si="14"/>
        <v/>
      </c>
      <c r="R319" t="s">
        <v>24</v>
      </c>
    </row>
    <row r="320" spans="1:18" x14ac:dyDescent="0.3">
      <c r="A320" s="1" t="d">
        <v>2024-04-21</v>
      </c>
      <c r="B320">
        <v>45505</v>
      </c>
      <c r="C320" t="str">
        <f>VLOOKUP(Fato_Producao[[#This Row],[referencia]], Dim_Produtos!A:B,2,FALSE)</f>
        <v>camarao</v>
      </c>
      <c r="D320">
        <v>3814</v>
      </c>
      <c r="E320">
        <v>3415</v>
      </c>
      <c r="F320" s="5">
        <v>0.1046</v>
      </c>
      <c r="G320" s="6">
        <v>119.7</v>
      </c>
      <c r="H320">
        <v>99</v>
      </c>
      <c r="I320">
        <v>296</v>
      </c>
      <c r="J320">
        <v>4</v>
      </c>
      <c r="K320">
        <f>Fato_Producao[[#This Row],[embalagens_danificadas]]+Fato_Producao[[#This Row],[peso_errado]]+Fato_Producao[[#This Row],[impressao]]</f>
        <v>399</v>
      </c>
      <c r="L320" s="1" t="d">
        <v>2024-03-08</v>
      </c>
      <c r="M320">
        <v>44</v>
      </c>
      <c r="N320" s="7">
        <v>17.95</v>
      </c>
      <c r="O320" s="4" t="str">
        <f t="shared" si="12"/>
        <v>abril</v>
      </c>
      <c r="P320" s="4">
        <f t="shared" si="13"/>
        <v>2024</v>
      </c>
      <c r="Q320" s="4" t="str">
        <f t="shared" si="14"/>
        <v/>
      </c>
      <c r="R320" t="s">
        <v>24</v>
      </c>
    </row>
    <row r="321" spans="1:18" x14ac:dyDescent="0.3">
      <c r="A321" s="1" t="d">
        <v>2024-04-22</v>
      </c>
      <c r="B321">
        <v>45509</v>
      </c>
      <c r="C321" t="str">
        <f>VLOOKUP(Fato_Producao[[#This Row],[referencia]], Dim_Produtos!A:B,2,FALSE)</f>
        <v>lascas bacalhau</v>
      </c>
      <c r="D321">
        <v>2674</v>
      </c>
      <c r="E321">
        <v>2439</v>
      </c>
      <c r="F321" s="5">
        <v>8.7900000000000006E-2</v>
      </c>
      <c r="G321" s="6">
        <v>65.8</v>
      </c>
      <c r="H321">
        <v>11</v>
      </c>
      <c r="I321">
        <v>220</v>
      </c>
      <c r="J321">
        <v>4</v>
      </c>
      <c r="K321">
        <f>Fato_Producao[[#This Row],[embalagens_danificadas]]+Fato_Producao[[#This Row],[peso_errado]]+Fato_Producao[[#This Row],[impressao]]</f>
        <v>235</v>
      </c>
      <c r="L321" s="1" t="d">
        <v>2024-03-08</v>
      </c>
      <c r="M321">
        <v>45</v>
      </c>
      <c r="N321" s="7">
        <v>8.5500000000000007</v>
      </c>
      <c r="O321" s="4" t="str">
        <f t="shared" si="12"/>
        <v>abril</v>
      </c>
      <c r="P321" s="4">
        <f t="shared" si="13"/>
        <v>2024</v>
      </c>
      <c r="Q321" s="4" t="str">
        <f t="shared" si="14"/>
        <v/>
      </c>
      <c r="R321" t="s">
        <v>24</v>
      </c>
    </row>
    <row r="322" spans="1:18" x14ac:dyDescent="0.3">
      <c r="A322" s="1" t="d">
        <v>2024-04-23</v>
      </c>
      <c r="B322">
        <v>45514</v>
      </c>
      <c r="C322" t="str">
        <f>VLOOKUP(Fato_Producao[[#This Row],[referencia]], Dim_Produtos!A:B,2,FALSE)</f>
        <v>sardinha pequena</v>
      </c>
      <c r="D322">
        <v>3222</v>
      </c>
      <c r="E322">
        <v>2903</v>
      </c>
      <c r="F322" s="5">
        <v>9.9000000000000005E-2</v>
      </c>
      <c r="G322" s="6">
        <v>95.7</v>
      </c>
      <c r="H322">
        <v>22</v>
      </c>
      <c r="I322">
        <v>291</v>
      </c>
      <c r="J322">
        <v>6</v>
      </c>
      <c r="K322">
        <f>Fato_Producao[[#This Row],[embalagens_danificadas]]+Fato_Producao[[#This Row],[peso_errado]]+Fato_Producao[[#This Row],[impressao]]</f>
        <v>319</v>
      </c>
      <c r="L322" s="1" t="d">
        <v>2024-03-08</v>
      </c>
      <c r="M322">
        <v>46</v>
      </c>
      <c r="N322" s="7">
        <v>11.48</v>
      </c>
      <c r="O322" s="4" t="str">
        <f t="shared" ref="O322:O385" si="15">TEXT(A322, "mmmm")</f>
        <v>abril</v>
      </c>
      <c r="P322" s="4">
        <f t="shared" ref="P322:P385" si="16">YEAR(A322)</f>
        <v>2024</v>
      </c>
      <c r="Q322" s="4" t="str">
        <f t="shared" ref="Q322:Q385" si="17">IF(M323 &gt;= M322, "", M322)</f>
        <v/>
      </c>
      <c r="R322" t="s">
        <v>24</v>
      </c>
    </row>
    <row r="323" spans="1:18" x14ac:dyDescent="0.3">
      <c r="A323" s="1" t="d">
        <v>2024-04-24</v>
      </c>
      <c r="B323">
        <v>45508</v>
      </c>
      <c r="C323" t="str">
        <f>VLOOKUP(Fato_Producao[[#This Row],[referencia]], Dim_Produtos!A:B,2,FALSE)</f>
        <v>lula suja</v>
      </c>
      <c r="D323">
        <v>1964</v>
      </c>
      <c r="E323">
        <v>1730</v>
      </c>
      <c r="F323" s="5">
        <v>0.1191</v>
      </c>
      <c r="G323" s="6">
        <v>74.88</v>
      </c>
      <c r="H323">
        <v>23</v>
      </c>
      <c r="I323">
        <v>206</v>
      </c>
      <c r="J323">
        <v>5</v>
      </c>
      <c r="K323">
        <f>Fato_Producao[[#This Row],[embalagens_danificadas]]+Fato_Producao[[#This Row],[peso_errado]]+Fato_Producao[[#This Row],[impressao]]</f>
        <v>234</v>
      </c>
      <c r="L323" s="1" t="d">
        <v>2024-03-08</v>
      </c>
      <c r="M323">
        <v>47</v>
      </c>
      <c r="N323" s="7">
        <v>10.48</v>
      </c>
      <c r="O323" s="4" t="str">
        <f t="shared" si="15"/>
        <v>abril</v>
      </c>
      <c r="P323" s="4">
        <f t="shared" si="16"/>
        <v>2024</v>
      </c>
      <c r="Q323" s="4" t="str">
        <f t="shared" si="17"/>
        <v/>
      </c>
      <c r="R323" t="s">
        <v>24</v>
      </c>
    </row>
    <row r="324" spans="1:18" x14ac:dyDescent="0.3">
      <c r="A324" s="1" t="d">
        <v>2024-04-25</v>
      </c>
      <c r="B324">
        <v>45507</v>
      </c>
      <c r="C324" t="str">
        <f>VLOOKUP(Fato_Producao[[#This Row],[referencia]], Dim_Produtos!A:B,2,FALSE)</f>
        <v>salmao posta</v>
      </c>
      <c r="D324">
        <v>4152</v>
      </c>
      <c r="E324">
        <v>3792</v>
      </c>
      <c r="F324" s="5">
        <v>8.6699999999999999E-2</v>
      </c>
      <c r="G324" s="6">
        <v>126</v>
      </c>
      <c r="H324">
        <v>22</v>
      </c>
      <c r="I324">
        <v>334</v>
      </c>
      <c r="J324">
        <v>4</v>
      </c>
      <c r="K324">
        <f>Fato_Producao[[#This Row],[embalagens_danificadas]]+Fato_Producao[[#This Row],[peso_errado]]+Fato_Producao[[#This Row],[impressao]]</f>
        <v>360</v>
      </c>
      <c r="L324" s="1" t="d">
        <v>2024-03-08</v>
      </c>
      <c r="M324">
        <v>48</v>
      </c>
      <c r="N324" s="7">
        <v>20.16</v>
      </c>
      <c r="O324" s="4" t="str">
        <f t="shared" si="15"/>
        <v>abril</v>
      </c>
      <c r="P324" s="4">
        <f t="shared" si="16"/>
        <v>2024</v>
      </c>
      <c r="Q324" s="4" t="str">
        <f t="shared" si="17"/>
        <v/>
      </c>
      <c r="R324" t="s">
        <v>24</v>
      </c>
    </row>
    <row r="325" spans="1:18" x14ac:dyDescent="0.3">
      <c r="A325" s="1" t="d">
        <v>2024-04-26</v>
      </c>
      <c r="B325">
        <v>45503</v>
      </c>
      <c r="C325" t="str">
        <f>VLOOKUP(Fato_Producao[[#This Row],[referencia]], Dim_Produtos!A:B,2,FALSE)</f>
        <v>sardinha pequena</v>
      </c>
      <c r="D325">
        <v>2694</v>
      </c>
      <c r="E325">
        <v>2442</v>
      </c>
      <c r="F325" s="5">
        <v>9.35E-2</v>
      </c>
      <c r="G325" s="6">
        <v>65.52</v>
      </c>
      <c r="H325">
        <v>7</v>
      </c>
      <c r="I325">
        <v>240</v>
      </c>
      <c r="J325">
        <v>5</v>
      </c>
      <c r="K325">
        <f>Fato_Producao[[#This Row],[embalagens_danificadas]]+Fato_Producao[[#This Row],[peso_errado]]+Fato_Producao[[#This Row],[impressao]]</f>
        <v>252</v>
      </c>
      <c r="L325" s="1" t="d">
        <v>2024-03-08</v>
      </c>
      <c r="M325">
        <v>49</v>
      </c>
      <c r="N325" s="7">
        <v>7.21</v>
      </c>
      <c r="O325" s="4" t="str">
        <f t="shared" si="15"/>
        <v>abril</v>
      </c>
      <c r="P325" s="4">
        <f t="shared" si="16"/>
        <v>2024</v>
      </c>
      <c r="Q325" s="4" t="str">
        <f t="shared" si="17"/>
        <v/>
      </c>
      <c r="R325" t="s">
        <v>24</v>
      </c>
    </row>
    <row r="326" spans="1:18" x14ac:dyDescent="0.3">
      <c r="A326" s="1" t="d">
        <v>2024-04-27</v>
      </c>
      <c r="B326">
        <v>45512</v>
      </c>
      <c r="C326" t="str">
        <f>VLOOKUP(Fato_Producao[[#This Row],[referencia]], Dim_Produtos!A:B,2,FALSE)</f>
        <v>red-fish posta</v>
      </c>
      <c r="D326">
        <v>2372</v>
      </c>
      <c r="E326">
        <v>2163</v>
      </c>
      <c r="F326" s="5">
        <v>8.8099999999999998E-2</v>
      </c>
      <c r="G326" s="6">
        <v>71.06</v>
      </c>
      <c r="H326">
        <v>7</v>
      </c>
      <c r="I326">
        <v>198</v>
      </c>
      <c r="J326">
        <v>4</v>
      </c>
      <c r="K326">
        <f>Fato_Producao[[#This Row],[embalagens_danificadas]]+Fato_Producao[[#This Row],[peso_errado]]+Fato_Producao[[#This Row],[impressao]]</f>
        <v>209</v>
      </c>
      <c r="L326" s="1" t="d">
        <v>2024-03-08</v>
      </c>
      <c r="M326">
        <v>50</v>
      </c>
      <c r="N326" s="7">
        <v>9.9499999999999993</v>
      </c>
      <c r="O326" s="4" t="str">
        <f t="shared" si="15"/>
        <v>abril</v>
      </c>
      <c r="P326" s="4">
        <f t="shared" si="16"/>
        <v>2024</v>
      </c>
      <c r="Q326" s="4" t="str">
        <f t="shared" si="17"/>
        <v/>
      </c>
      <c r="R326" t="s">
        <v>24</v>
      </c>
    </row>
    <row r="327" spans="1:18" x14ac:dyDescent="0.3">
      <c r="A327" s="1" t="d">
        <v>2024-04-27</v>
      </c>
      <c r="B327">
        <v>45505</v>
      </c>
      <c r="C327" t="str">
        <f>VLOOKUP(Fato_Producao[[#This Row],[referencia]], Dim_Produtos!A:B,2,FALSE)</f>
        <v>camarao</v>
      </c>
      <c r="D327">
        <v>3317</v>
      </c>
      <c r="E327">
        <v>2980</v>
      </c>
      <c r="F327" s="5">
        <v>0.1016</v>
      </c>
      <c r="G327" s="6">
        <v>101.1</v>
      </c>
      <c r="H327">
        <v>84</v>
      </c>
      <c r="I327">
        <v>248</v>
      </c>
      <c r="J327">
        <v>5</v>
      </c>
      <c r="K327">
        <f>Fato_Producao[[#This Row],[embalagens_danificadas]]+Fato_Producao[[#This Row],[peso_errado]]+Fato_Producao[[#This Row],[impressao]]</f>
        <v>337</v>
      </c>
      <c r="L327" s="1" t="d">
        <v>2024-03-08</v>
      </c>
      <c r="M327">
        <v>50</v>
      </c>
      <c r="N327" s="7">
        <v>15.16</v>
      </c>
      <c r="O327" s="4" t="str">
        <f t="shared" si="15"/>
        <v>abril</v>
      </c>
      <c r="P327" s="4">
        <f t="shared" si="16"/>
        <v>2024</v>
      </c>
      <c r="Q327" s="4" t="str">
        <f t="shared" si="17"/>
        <v/>
      </c>
      <c r="R327" t="s">
        <v>24</v>
      </c>
    </row>
    <row r="328" spans="1:18" x14ac:dyDescent="0.3">
      <c r="A328" s="1" t="d">
        <v>2024-04-28</v>
      </c>
      <c r="B328">
        <v>45508</v>
      </c>
      <c r="C328" t="str">
        <f>VLOOKUP(Fato_Producao[[#This Row],[referencia]], Dim_Produtos!A:B,2,FALSE)</f>
        <v>lula suja</v>
      </c>
      <c r="D328">
        <v>1897</v>
      </c>
      <c r="E328">
        <v>1676</v>
      </c>
      <c r="F328" s="5">
        <v>0.11650000000000001</v>
      </c>
      <c r="G328" s="6">
        <v>70.72</v>
      </c>
      <c r="H328">
        <v>22</v>
      </c>
      <c r="I328">
        <v>193</v>
      </c>
      <c r="J328">
        <v>6</v>
      </c>
      <c r="K328">
        <f>Fato_Producao[[#This Row],[embalagens_danificadas]]+Fato_Producao[[#This Row],[peso_errado]]+Fato_Producao[[#This Row],[impressao]]</f>
        <v>221</v>
      </c>
      <c r="L328" s="1" t="d">
        <v>2024-03-08</v>
      </c>
      <c r="M328">
        <v>51</v>
      </c>
      <c r="N328" s="7">
        <v>9.9</v>
      </c>
      <c r="O328" s="4" t="str">
        <f t="shared" si="15"/>
        <v>abril</v>
      </c>
      <c r="P328" s="4">
        <f t="shared" si="16"/>
        <v>2024</v>
      </c>
      <c r="Q328" s="4" t="str">
        <f t="shared" si="17"/>
        <v/>
      </c>
      <c r="R328" t="s">
        <v>24</v>
      </c>
    </row>
    <row r="329" spans="1:18" x14ac:dyDescent="0.3">
      <c r="A329" s="1" t="d">
        <v>2024-04-28</v>
      </c>
      <c r="B329">
        <v>45505</v>
      </c>
      <c r="C329" t="str">
        <f>VLOOKUP(Fato_Producao[[#This Row],[referencia]], Dim_Produtos!A:B,2,FALSE)</f>
        <v>camarao</v>
      </c>
      <c r="D329">
        <v>3779</v>
      </c>
      <c r="E329">
        <v>3376</v>
      </c>
      <c r="F329" s="5">
        <v>0.1066</v>
      </c>
      <c r="G329" s="6">
        <v>120.9</v>
      </c>
      <c r="H329">
        <v>127</v>
      </c>
      <c r="I329">
        <v>262</v>
      </c>
      <c r="J329">
        <v>14</v>
      </c>
      <c r="K329">
        <f>Fato_Producao[[#This Row],[embalagens_danificadas]]+Fato_Producao[[#This Row],[peso_errado]]+Fato_Producao[[#This Row],[impressao]]</f>
        <v>403</v>
      </c>
      <c r="L329" s="1" t="d">
        <v>2024-03-08</v>
      </c>
      <c r="M329">
        <v>51</v>
      </c>
      <c r="N329" s="7">
        <v>18.14</v>
      </c>
      <c r="O329" s="4" t="str">
        <f t="shared" si="15"/>
        <v>abril</v>
      </c>
      <c r="P329" s="4">
        <f t="shared" si="16"/>
        <v>2024</v>
      </c>
      <c r="Q329" s="4" t="str">
        <f t="shared" si="17"/>
        <v/>
      </c>
      <c r="R329" t="s">
        <v>24</v>
      </c>
    </row>
    <row r="330" spans="1:18" x14ac:dyDescent="0.3">
      <c r="A330" s="1" t="d">
        <v>2024-04-29</v>
      </c>
      <c r="B330">
        <v>45506</v>
      </c>
      <c r="C330" t="str">
        <f>VLOOKUP(Fato_Producao[[#This Row],[referencia]], Dim_Produtos!A:B,2,FALSE)</f>
        <v>perca posta</v>
      </c>
      <c r="D330">
        <v>4124</v>
      </c>
      <c r="E330">
        <v>3792</v>
      </c>
      <c r="F330" s="5">
        <v>8.0500000000000002E-2</v>
      </c>
      <c r="G330" s="6">
        <v>116.2</v>
      </c>
      <c r="H330">
        <v>16</v>
      </c>
      <c r="I330">
        <v>311</v>
      </c>
      <c r="J330">
        <v>5</v>
      </c>
      <c r="K330">
        <f>Fato_Producao[[#This Row],[embalagens_danificadas]]+Fato_Producao[[#This Row],[peso_errado]]+Fato_Producao[[#This Row],[impressao]]</f>
        <v>332</v>
      </c>
      <c r="L330" s="1" t="d">
        <v>2024-03-08</v>
      </c>
      <c r="M330">
        <v>52</v>
      </c>
      <c r="N330" s="7">
        <v>17.43</v>
      </c>
      <c r="O330" s="4" t="str">
        <f t="shared" si="15"/>
        <v>abril</v>
      </c>
      <c r="P330" s="4">
        <f t="shared" si="16"/>
        <v>2024</v>
      </c>
      <c r="Q330" s="4" t="str">
        <f t="shared" si="17"/>
        <v/>
      </c>
      <c r="R330" t="s">
        <v>24</v>
      </c>
    </row>
    <row r="331" spans="1:18" x14ac:dyDescent="0.3">
      <c r="A331" s="1" t="d">
        <v>2024-04-29</v>
      </c>
      <c r="B331">
        <v>45504</v>
      </c>
      <c r="C331" t="str">
        <f>VLOOKUP(Fato_Producao[[#This Row],[referencia]], Dim_Produtos!A:B,2,FALSE)</f>
        <v>pescada posta fritar</v>
      </c>
      <c r="D331">
        <v>3926</v>
      </c>
      <c r="E331">
        <v>3597</v>
      </c>
      <c r="F331" s="5">
        <v>8.3799999999999999E-2</v>
      </c>
      <c r="G331" s="6">
        <v>105.28</v>
      </c>
      <c r="H331">
        <v>10</v>
      </c>
      <c r="I331">
        <v>314</v>
      </c>
      <c r="J331">
        <v>5</v>
      </c>
      <c r="K331">
        <f>Fato_Producao[[#This Row],[embalagens_danificadas]]+Fato_Producao[[#This Row],[peso_errado]]+Fato_Producao[[#This Row],[impressao]]</f>
        <v>329</v>
      </c>
      <c r="L331" s="1" t="d">
        <v>2024-03-08</v>
      </c>
      <c r="M331">
        <v>52</v>
      </c>
      <c r="N331" s="7">
        <v>14.74</v>
      </c>
      <c r="O331" s="4" t="str">
        <f t="shared" si="15"/>
        <v>abril</v>
      </c>
      <c r="P331" s="4">
        <f t="shared" si="16"/>
        <v>2024</v>
      </c>
      <c r="Q331" s="4" t="str">
        <f t="shared" si="17"/>
        <v/>
      </c>
      <c r="R331" t="s">
        <v>24</v>
      </c>
    </row>
    <row r="332" spans="1:18" x14ac:dyDescent="0.3">
      <c r="A332" s="1" t="d">
        <v>2024-04-30</v>
      </c>
      <c r="B332">
        <v>45509</v>
      </c>
      <c r="C332" t="str">
        <f>VLOOKUP(Fato_Producao[[#This Row],[referencia]], Dim_Produtos!A:B,2,FALSE)</f>
        <v>lascas bacalhau</v>
      </c>
      <c r="D332">
        <v>2680</v>
      </c>
      <c r="E332">
        <v>2396</v>
      </c>
      <c r="F332" s="5">
        <v>0.106</v>
      </c>
      <c r="G332" s="6">
        <v>79.52</v>
      </c>
      <c r="H332">
        <v>15</v>
      </c>
      <c r="I332">
        <v>266</v>
      </c>
      <c r="J332">
        <v>3</v>
      </c>
      <c r="K332">
        <f>Fato_Producao[[#This Row],[embalagens_danificadas]]+Fato_Producao[[#This Row],[peso_errado]]+Fato_Producao[[#This Row],[impressao]]</f>
        <v>284</v>
      </c>
      <c r="L332" s="1" t="d">
        <v>2024-03-08</v>
      </c>
      <c r="M332">
        <v>53</v>
      </c>
      <c r="N332" s="7">
        <v>10.34</v>
      </c>
      <c r="O332" s="4" t="str">
        <f t="shared" si="15"/>
        <v>abril</v>
      </c>
      <c r="P332" s="4">
        <f t="shared" si="16"/>
        <v>2024</v>
      </c>
      <c r="Q332" s="4" t="str">
        <f t="shared" si="17"/>
        <v/>
      </c>
      <c r="R332" t="s">
        <v>24</v>
      </c>
    </row>
    <row r="333" spans="1:18" x14ac:dyDescent="0.3">
      <c r="A333" s="1" t="d">
        <v>2024-04-30</v>
      </c>
      <c r="B333">
        <v>45503</v>
      </c>
      <c r="C333" t="str">
        <f>VLOOKUP(Fato_Producao[[#This Row],[referencia]], Dim_Produtos!A:B,2,FALSE)</f>
        <v>sardinha pequena</v>
      </c>
      <c r="D333">
        <v>3614</v>
      </c>
      <c r="E333">
        <v>3266</v>
      </c>
      <c r="F333" s="5">
        <v>9.6299999999999997E-2</v>
      </c>
      <c r="G333" s="6">
        <v>90.48</v>
      </c>
      <c r="H333">
        <v>16</v>
      </c>
      <c r="I333">
        <v>323</v>
      </c>
      <c r="J333">
        <v>9</v>
      </c>
      <c r="K333">
        <f>Fato_Producao[[#This Row],[embalagens_danificadas]]+Fato_Producao[[#This Row],[peso_errado]]+Fato_Producao[[#This Row],[impressao]]</f>
        <v>348</v>
      </c>
      <c r="L333" s="1" t="d">
        <v>2024-03-08</v>
      </c>
      <c r="M333">
        <v>53</v>
      </c>
      <c r="N333" s="7">
        <v>9.9499999999999993</v>
      </c>
      <c r="O333" s="4" t="str">
        <f t="shared" si="15"/>
        <v>abril</v>
      </c>
      <c r="P333" s="4">
        <f t="shared" si="16"/>
        <v>2024</v>
      </c>
      <c r="Q333" s="4" t="str">
        <f t="shared" si="17"/>
        <v/>
      </c>
      <c r="R333" t="s">
        <v>24</v>
      </c>
    </row>
    <row r="334" spans="1:18" x14ac:dyDescent="0.3">
      <c r="A334" s="1" t="d">
        <v>2024-05-01</v>
      </c>
      <c r="B334">
        <v>45507</v>
      </c>
      <c r="C334" t="str">
        <f>VLOOKUP(Fato_Producao[[#This Row],[referencia]], Dim_Produtos!A:B,2,FALSE)</f>
        <v>salmao posta</v>
      </c>
      <c r="D334">
        <v>4115</v>
      </c>
      <c r="E334">
        <v>3832</v>
      </c>
      <c r="F334" s="5">
        <v>6.88E-2</v>
      </c>
      <c r="G334" s="6">
        <v>99.05</v>
      </c>
      <c r="H334">
        <v>11</v>
      </c>
      <c r="I334">
        <v>266</v>
      </c>
      <c r="J334">
        <v>6</v>
      </c>
      <c r="K334">
        <f>Fato_Producao[[#This Row],[embalagens_danificadas]]+Fato_Producao[[#This Row],[peso_errado]]+Fato_Producao[[#This Row],[impressao]]</f>
        <v>283</v>
      </c>
      <c r="L334" s="1" t="d">
        <v>2024-03-08</v>
      </c>
      <c r="M334">
        <v>54</v>
      </c>
      <c r="N334" s="7">
        <v>15.85</v>
      </c>
      <c r="O334" s="4" t="str">
        <f t="shared" si="15"/>
        <v>maio</v>
      </c>
      <c r="P334" s="4">
        <f t="shared" si="16"/>
        <v>2024</v>
      </c>
      <c r="Q334" s="4" t="str">
        <f t="shared" si="17"/>
        <v/>
      </c>
      <c r="R334" t="s">
        <v>24</v>
      </c>
    </row>
    <row r="335" spans="1:18" x14ac:dyDescent="0.3">
      <c r="A335" s="1" t="d">
        <v>2024-05-01</v>
      </c>
      <c r="B335">
        <v>45506</v>
      </c>
      <c r="C335" t="str">
        <f>VLOOKUP(Fato_Producao[[#This Row],[referencia]], Dim_Produtos!A:B,2,FALSE)</f>
        <v>perca posta</v>
      </c>
      <c r="D335">
        <v>2704</v>
      </c>
      <c r="E335">
        <v>2463</v>
      </c>
      <c r="F335" s="5">
        <v>8.9099999999999999E-2</v>
      </c>
      <c r="G335" s="6">
        <v>84.35</v>
      </c>
      <c r="H335">
        <v>6</v>
      </c>
      <c r="I335">
        <v>230</v>
      </c>
      <c r="J335">
        <v>5</v>
      </c>
      <c r="K335">
        <f>Fato_Producao[[#This Row],[embalagens_danificadas]]+Fato_Producao[[#This Row],[peso_errado]]+Fato_Producao[[#This Row],[impressao]]</f>
        <v>241</v>
      </c>
      <c r="L335" s="1" t="d">
        <v>2024-03-08</v>
      </c>
      <c r="M335">
        <v>54</v>
      </c>
      <c r="N335" s="7">
        <v>12.65</v>
      </c>
      <c r="O335" s="4" t="str">
        <f t="shared" si="15"/>
        <v>maio</v>
      </c>
      <c r="P335" s="4">
        <f t="shared" si="16"/>
        <v>2024</v>
      </c>
      <c r="Q335" s="4">
        <f t="shared" si="17"/>
        <v>54</v>
      </c>
      <c r="R335" t="s">
        <v>24</v>
      </c>
    </row>
    <row r="336" spans="1:18" x14ac:dyDescent="0.3">
      <c r="A336" s="1" t="d">
        <v>2024-05-02</v>
      </c>
      <c r="B336">
        <v>45503</v>
      </c>
      <c r="C336" t="str">
        <f>VLOOKUP(Fato_Producao[[#This Row],[referencia]], Dim_Produtos!A:B,2,FALSE)</f>
        <v>sardinha pequena</v>
      </c>
      <c r="D336">
        <v>2647</v>
      </c>
      <c r="E336">
        <v>2516</v>
      </c>
      <c r="F336" s="5">
        <v>4.9500000000000002E-2</v>
      </c>
      <c r="G336" s="6">
        <v>34.06</v>
      </c>
      <c r="H336">
        <v>3</v>
      </c>
      <c r="I336">
        <v>125</v>
      </c>
      <c r="J336">
        <v>3</v>
      </c>
      <c r="K336">
        <f>Fato_Producao[[#This Row],[embalagens_danificadas]]+Fato_Producao[[#This Row],[peso_errado]]+Fato_Producao[[#This Row],[impressao]]</f>
        <v>131</v>
      </c>
      <c r="L336" s="1" t="d">
        <v>2024-05-02</v>
      </c>
      <c r="M336">
        <v>0</v>
      </c>
      <c r="N336" s="7">
        <v>3.75</v>
      </c>
      <c r="O336" s="4" t="str">
        <f t="shared" si="15"/>
        <v>maio</v>
      </c>
      <c r="P336" s="4">
        <f t="shared" si="16"/>
        <v>2024</v>
      </c>
      <c r="Q336" s="4" t="str">
        <f t="shared" si="17"/>
        <v/>
      </c>
      <c r="R336" t="s">
        <v>24</v>
      </c>
    </row>
    <row r="337" spans="1:18" x14ac:dyDescent="0.3">
      <c r="A337" s="1" t="d">
        <v>2024-05-03</v>
      </c>
      <c r="B337">
        <v>45503</v>
      </c>
      <c r="C337" t="str">
        <f>VLOOKUP(Fato_Producao[[#This Row],[referencia]], Dim_Produtos!A:B,2,FALSE)</f>
        <v>sardinha pequena</v>
      </c>
      <c r="D337">
        <v>3581</v>
      </c>
      <c r="E337">
        <v>3403</v>
      </c>
      <c r="F337" s="5">
        <v>4.9700000000000001E-2</v>
      </c>
      <c r="G337" s="6">
        <v>46.28</v>
      </c>
      <c r="H337">
        <v>11</v>
      </c>
      <c r="I337">
        <v>163</v>
      </c>
      <c r="J337">
        <v>4</v>
      </c>
      <c r="K337">
        <f>Fato_Producao[[#This Row],[embalagens_danificadas]]+Fato_Producao[[#This Row],[peso_errado]]+Fato_Producao[[#This Row],[impressao]]</f>
        <v>178</v>
      </c>
      <c r="L337" s="1" t="d">
        <v>2024-05-02</v>
      </c>
      <c r="M337">
        <v>1</v>
      </c>
      <c r="N337" s="7">
        <v>5.09</v>
      </c>
      <c r="O337" s="4" t="str">
        <f t="shared" si="15"/>
        <v>maio</v>
      </c>
      <c r="P337" s="4">
        <f t="shared" si="16"/>
        <v>2024</v>
      </c>
      <c r="Q337" s="4" t="str">
        <f t="shared" si="17"/>
        <v/>
      </c>
      <c r="R337" t="s">
        <v>24</v>
      </c>
    </row>
    <row r="338" spans="1:18" x14ac:dyDescent="0.3">
      <c r="A338" s="1" t="d">
        <v>2024-05-04</v>
      </c>
      <c r="B338">
        <v>45500</v>
      </c>
      <c r="C338" t="str">
        <f>VLOOKUP(Fato_Producao[[#This Row],[referencia]], Dim_Produtos!A:B,2,FALSE)</f>
        <v>filete pescada</v>
      </c>
      <c r="D338">
        <v>2374</v>
      </c>
      <c r="E338">
        <v>2312</v>
      </c>
      <c r="F338" s="5">
        <v>2.6100000000000002E-2</v>
      </c>
      <c r="G338" s="6">
        <v>17.36</v>
      </c>
      <c r="H338">
        <v>3</v>
      </c>
      <c r="I338">
        <v>57</v>
      </c>
      <c r="J338">
        <v>2</v>
      </c>
      <c r="K338">
        <f>Fato_Producao[[#This Row],[embalagens_danificadas]]+Fato_Producao[[#This Row],[peso_errado]]+Fato_Producao[[#This Row],[impressao]]</f>
        <v>62</v>
      </c>
      <c r="L338" s="1" t="d">
        <v>2024-05-02</v>
      </c>
      <c r="M338">
        <v>2</v>
      </c>
      <c r="N338" s="7">
        <v>2.08</v>
      </c>
      <c r="O338" s="4" t="str">
        <f t="shared" si="15"/>
        <v>maio</v>
      </c>
      <c r="P338" s="4">
        <f t="shared" si="16"/>
        <v>2024</v>
      </c>
      <c r="Q338" s="4" t="str">
        <f t="shared" si="17"/>
        <v/>
      </c>
      <c r="R338" t="s">
        <v>24</v>
      </c>
    </row>
    <row r="339" spans="1:18" x14ac:dyDescent="0.3">
      <c r="A339" s="1" t="d">
        <v>2024-05-05</v>
      </c>
      <c r="B339">
        <v>45510</v>
      </c>
      <c r="C339" t="str">
        <f>VLOOKUP(Fato_Producao[[#This Row],[referencia]], Dim_Produtos!A:B,2,FALSE)</f>
        <v>tiras pota</v>
      </c>
      <c r="D339">
        <v>2046</v>
      </c>
      <c r="E339">
        <v>1909</v>
      </c>
      <c r="F339" s="5">
        <v>6.7000000000000004E-2</v>
      </c>
      <c r="G339" s="6">
        <v>43.84</v>
      </c>
      <c r="H339">
        <v>17</v>
      </c>
      <c r="I339">
        <v>118</v>
      </c>
      <c r="J339">
        <v>2</v>
      </c>
      <c r="K339">
        <f>Fato_Producao[[#This Row],[embalagens_danificadas]]+Fato_Producao[[#This Row],[peso_errado]]+Fato_Producao[[#This Row],[impressao]]</f>
        <v>137</v>
      </c>
      <c r="L339" s="1" t="d">
        <v>2024-05-02</v>
      </c>
      <c r="M339">
        <v>3</v>
      </c>
      <c r="N339" s="7">
        <v>6.14</v>
      </c>
      <c r="O339" s="4" t="str">
        <f t="shared" si="15"/>
        <v>maio</v>
      </c>
      <c r="P339" s="4">
        <f t="shared" si="16"/>
        <v>2024</v>
      </c>
      <c r="Q339" s="4" t="str">
        <f t="shared" si="17"/>
        <v/>
      </c>
      <c r="R339" t="s">
        <v>24</v>
      </c>
    </row>
    <row r="340" spans="1:18" x14ac:dyDescent="0.3">
      <c r="A340" s="1" t="d">
        <v>2024-05-05</v>
      </c>
      <c r="B340">
        <v>45503</v>
      </c>
      <c r="C340" t="str">
        <f>VLOOKUP(Fato_Producao[[#This Row],[referencia]], Dim_Produtos!A:B,2,FALSE)</f>
        <v>sardinha pequena</v>
      </c>
      <c r="D340">
        <v>3739</v>
      </c>
      <c r="E340">
        <v>3562</v>
      </c>
      <c r="F340" s="5">
        <v>4.7300000000000002E-2</v>
      </c>
      <c r="G340" s="6">
        <v>46.02</v>
      </c>
      <c r="H340">
        <v>5</v>
      </c>
      <c r="I340">
        <v>168</v>
      </c>
      <c r="J340">
        <v>4</v>
      </c>
      <c r="K340">
        <f>Fato_Producao[[#This Row],[embalagens_danificadas]]+Fato_Producao[[#This Row],[peso_errado]]+Fato_Producao[[#This Row],[impressao]]</f>
        <v>177</v>
      </c>
      <c r="L340" s="1" t="d">
        <v>2024-05-02</v>
      </c>
      <c r="M340">
        <v>3</v>
      </c>
      <c r="N340" s="7">
        <v>5.0599999999999996</v>
      </c>
      <c r="O340" s="4" t="str">
        <f t="shared" si="15"/>
        <v>maio</v>
      </c>
      <c r="P340" s="4">
        <f t="shared" si="16"/>
        <v>2024</v>
      </c>
      <c r="Q340" s="4" t="str">
        <f t="shared" si="17"/>
        <v/>
      </c>
      <c r="R340" t="s">
        <v>24</v>
      </c>
    </row>
    <row r="341" spans="1:18" x14ac:dyDescent="0.3">
      <c r="A341" s="1" t="d">
        <v>2024-05-06</v>
      </c>
      <c r="B341">
        <v>45511</v>
      </c>
      <c r="C341" t="str">
        <f>VLOOKUP(Fato_Producao[[#This Row],[referencia]], Dim_Produtos!A:B,2,FALSE)</f>
        <v>lula limpa</v>
      </c>
      <c r="D341">
        <v>3218</v>
      </c>
      <c r="E341">
        <v>2979</v>
      </c>
      <c r="F341" s="5">
        <v>7.4300000000000005E-2</v>
      </c>
      <c r="G341" s="6">
        <v>76.48</v>
      </c>
      <c r="H341">
        <v>30</v>
      </c>
      <c r="I341">
        <v>205</v>
      </c>
      <c r="J341">
        <v>4</v>
      </c>
      <c r="K341">
        <f>Fato_Producao[[#This Row],[embalagens_danificadas]]+Fato_Producao[[#This Row],[peso_errado]]+Fato_Producao[[#This Row],[impressao]]</f>
        <v>239</v>
      </c>
      <c r="L341" s="1" t="d">
        <v>2024-05-02</v>
      </c>
      <c r="M341">
        <v>4</v>
      </c>
      <c r="N341" s="7">
        <v>10.71</v>
      </c>
      <c r="O341" s="4" t="str">
        <f t="shared" si="15"/>
        <v>maio</v>
      </c>
      <c r="P341" s="4">
        <f t="shared" si="16"/>
        <v>2024</v>
      </c>
      <c r="Q341" s="4" t="str">
        <f t="shared" si="17"/>
        <v/>
      </c>
      <c r="R341" t="s">
        <v>24</v>
      </c>
    </row>
    <row r="342" spans="1:18" x14ac:dyDescent="0.3">
      <c r="A342" s="1" t="d">
        <v>2024-05-06</v>
      </c>
      <c r="B342">
        <v>45507</v>
      </c>
      <c r="C342" t="str">
        <f>VLOOKUP(Fato_Producao[[#This Row],[referencia]], Dim_Produtos!A:B,2,FALSE)</f>
        <v>salmao posta</v>
      </c>
      <c r="D342">
        <v>3049</v>
      </c>
      <c r="E342">
        <v>2907</v>
      </c>
      <c r="F342" s="5">
        <v>4.6600000000000003E-2</v>
      </c>
      <c r="G342" s="6">
        <v>49.7</v>
      </c>
      <c r="H342">
        <v>9</v>
      </c>
      <c r="I342">
        <v>131</v>
      </c>
      <c r="J342">
        <v>2</v>
      </c>
      <c r="K342">
        <f>Fato_Producao[[#This Row],[embalagens_danificadas]]+Fato_Producao[[#This Row],[peso_errado]]+Fato_Producao[[#This Row],[impressao]]</f>
        <v>142</v>
      </c>
      <c r="L342" s="1" t="d">
        <v>2024-05-02</v>
      </c>
      <c r="M342">
        <v>4</v>
      </c>
      <c r="N342" s="7">
        <v>7.95</v>
      </c>
      <c r="O342" s="4" t="str">
        <f t="shared" si="15"/>
        <v>maio</v>
      </c>
      <c r="P342" s="4">
        <f t="shared" si="16"/>
        <v>2024</v>
      </c>
      <c r="Q342" s="4" t="str">
        <f t="shared" si="17"/>
        <v/>
      </c>
      <c r="R342" t="s">
        <v>24</v>
      </c>
    </row>
    <row r="343" spans="1:18" x14ac:dyDescent="0.3">
      <c r="A343" s="1" t="d">
        <v>2024-05-07</v>
      </c>
      <c r="B343">
        <v>45500</v>
      </c>
      <c r="C343" t="str">
        <f>VLOOKUP(Fato_Producao[[#This Row],[referencia]], Dim_Produtos!A:B,2,FALSE)</f>
        <v>filete pescada</v>
      </c>
      <c r="D343">
        <v>2780</v>
      </c>
      <c r="E343">
        <v>2668</v>
      </c>
      <c r="F343" s="5">
        <v>4.0300000000000002E-2</v>
      </c>
      <c r="G343" s="6">
        <v>31.36</v>
      </c>
      <c r="H343">
        <v>2</v>
      </c>
      <c r="I343">
        <v>107</v>
      </c>
      <c r="J343">
        <v>3</v>
      </c>
      <c r="K343">
        <f>Fato_Producao[[#This Row],[embalagens_danificadas]]+Fato_Producao[[#This Row],[peso_errado]]+Fato_Producao[[#This Row],[impressao]]</f>
        <v>112</v>
      </c>
      <c r="L343" s="1" t="d">
        <v>2024-05-02</v>
      </c>
      <c r="M343">
        <v>5</v>
      </c>
      <c r="N343" s="7">
        <v>3.76</v>
      </c>
      <c r="O343" s="4" t="str">
        <f t="shared" si="15"/>
        <v>maio</v>
      </c>
      <c r="P343" s="4">
        <f t="shared" si="16"/>
        <v>2024</v>
      </c>
      <c r="Q343" s="4" t="str">
        <f t="shared" si="17"/>
        <v/>
      </c>
      <c r="R343" t="s">
        <v>24</v>
      </c>
    </row>
    <row r="344" spans="1:18" x14ac:dyDescent="0.3">
      <c r="A344" s="1" t="d">
        <v>2024-05-08</v>
      </c>
      <c r="B344">
        <v>45510</v>
      </c>
      <c r="C344" t="str">
        <f>VLOOKUP(Fato_Producao[[#This Row],[referencia]], Dim_Produtos!A:B,2,FALSE)</f>
        <v>tiras pota</v>
      </c>
      <c r="D344">
        <v>4126</v>
      </c>
      <c r="E344">
        <v>3900</v>
      </c>
      <c r="F344" s="5">
        <v>5.4800000000000001E-2</v>
      </c>
      <c r="G344" s="6">
        <v>72.319999999999993</v>
      </c>
      <c r="H344">
        <v>25</v>
      </c>
      <c r="I344">
        <v>194</v>
      </c>
      <c r="J344">
        <v>7</v>
      </c>
      <c r="K344">
        <f>Fato_Producao[[#This Row],[embalagens_danificadas]]+Fato_Producao[[#This Row],[peso_errado]]+Fato_Producao[[#This Row],[impressao]]</f>
        <v>226</v>
      </c>
      <c r="L344" s="1" t="d">
        <v>2024-05-02</v>
      </c>
      <c r="M344">
        <v>6</v>
      </c>
      <c r="N344" s="7">
        <v>10.119999999999999</v>
      </c>
      <c r="O344" s="4" t="str">
        <f t="shared" si="15"/>
        <v>maio</v>
      </c>
      <c r="P344" s="4">
        <f t="shared" si="16"/>
        <v>2024</v>
      </c>
      <c r="Q344" s="4" t="str">
        <f t="shared" si="17"/>
        <v/>
      </c>
      <c r="R344" t="s">
        <v>24</v>
      </c>
    </row>
    <row r="345" spans="1:18" x14ac:dyDescent="0.3">
      <c r="A345" s="1" t="d">
        <v>2024-05-09</v>
      </c>
      <c r="B345">
        <v>45503</v>
      </c>
      <c r="C345" t="str">
        <f>VLOOKUP(Fato_Producao[[#This Row],[referencia]], Dim_Produtos!A:B,2,FALSE)</f>
        <v>sardinha pequena</v>
      </c>
      <c r="D345">
        <v>4119</v>
      </c>
      <c r="E345">
        <v>3825</v>
      </c>
      <c r="F345" s="5">
        <v>7.1400000000000005E-2</v>
      </c>
      <c r="G345" s="6">
        <v>76.44</v>
      </c>
      <c r="H345">
        <v>19</v>
      </c>
      <c r="I345">
        <v>272</v>
      </c>
      <c r="J345">
        <v>3</v>
      </c>
      <c r="K345">
        <f>Fato_Producao[[#This Row],[embalagens_danificadas]]+Fato_Producao[[#This Row],[peso_errado]]+Fato_Producao[[#This Row],[impressao]]</f>
        <v>294</v>
      </c>
      <c r="L345" s="1" t="d">
        <v>2024-05-02</v>
      </c>
      <c r="M345">
        <v>7</v>
      </c>
      <c r="N345" s="7">
        <v>8.41</v>
      </c>
      <c r="O345" s="4" t="str">
        <f t="shared" si="15"/>
        <v>maio</v>
      </c>
      <c r="P345" s="4">
        <f t="shared" si="16"/>
        <v>2024</v>
      </c>
      <c r="Q345" s="4" t="str">
        <f t="shared" si="17"/>
        <v/>
      </c>
      <c r="R345" t="s">
        <v>24</v>
      </c>
    </row>
    <row r="346" spans="1:18" x14ac:dyDescent="0.3">
      <c r="A346" s="1" t="d">
        <v>2024-05-09</v>
      </c>
      <c r="B346">
        <v>45514</v>
      </c>
      <c r="C346" t="str">
        <f>VLOOKUP(Fato_Producao[[#This Row],[referencia]], Dim_Produtos!A:B,2,FALSE)</f>
        <v>sardinha pequena</v>
      </c>
      <c r="D346">
        <v>3758</v>
      </c>
      <c r="E346">
        <v>3493</v>
      </c>
      <c r="F346" s="5">
        <v>7.0499999999999993E-2</v>
      </c>
      <c r="G346" s="6">
        <v>79.5</v>
      </c>
      <c r="H346">
        <v>20</v>
      </c>
      <c r="I346">
        <v>242</v>
      </c>
      <c r="J346">
        <v>3</v>
      </c>
      <c r="K346">
        <f>Fato_Producao[[#This Row],[embalagens_danificadas]]+Fato_Producao[[#This Row],[peso_errado]]+Fato_Producao[[#This Row],[impressao]]</f>
        <v>265</v>
      </c>
      <c r="L346" s="1" t="d">
        <v>2024-05-02</v>
      </c>
      <c r="M346">
        <v>7</v>
      </c>
      <c r="N346" s="7">
        <v>9.5399999999999991</v>
      </c>
      <c r="O346" s="4" t="str">
        <f t="shared" si="15"/>
        <v>maio</v>
      </c>
      <c r="P346" s="4">
        <f t="shared" si="16"/>
        <v>2024</v>
      </c>
      <c r="Q346" s="4" t="str">
        <f t="shared" si="17"/>
        <v/>
      </c>
      <c r="R346" t="s">
        <v>24</v>
      </c>
    </row>
    <row r="347" spans="1:18" x14ac:dyDescent="0.3">
      <c r="A347" s="1" t="d">
        <v>2024-05-10</v>
      </c>
      <c r="B347">
        <v>45509</v>
      </c>
      <c r="C347" t="str">
        <f>VLOOKUP(Fato_Producao[[#This Row],[referencia]], Dim_Produtos!A:B,2,FALSE)</f>
        <v>lascas bacalhau</v>
      </c>
      <c r="D347">
        <v>3744</v>
      </c>
      <c r="E347">
        <v>3558</v>
      </c>
      <c r="F347" s="5">
        <v>4.9700000000000001E-2</v>
      </c>
      <c r="G347" s="6">
        <v>52.08</v>
      </c>
      <c r="H347">
        <v>11</v>
      </c>
      <c r="I347">
        <v>173</v>
      </c>
      <c r="J347">
        <v>2</v>
      </c>
      <c r="K347">
        <f>Fato_Producao[[#This Row],[embalagens_danificadas]]+Fato_Producao[[#This Row],[peso_errado]]+Fato_Producao[[#This Row],[impressao]]</f>
        <v>186</v>
      </c>
      <c r="L347" s="1" t="d">
        <v>2024-05-02</v>
      </c>
      <c r="M347">
        <v>8</v>
      </c>
      <c r="N347" s="7">
        <v>6.77</v>
      </c>
      <c r="O347" s="4" t="str">
        <f t="shared" si="15"/>
        <v>maio</v>
      </c>
      <c r="P347" s="4">
        <f t="shared" si="16"/>
        <v>2024</v>
      </c>
      <c r="Q347" s="4" t="str">
        <f t="shared" si="17"/>
        <v/>
      </c>
      <c r="R347" t="s">
        <v>24</v>
      </c>
    </row>
    <row r="348" spans="1:18" x14ac:dyDescent="0.3">
      <c r="A348" s="1" t="d">
        <v>2024-05-11</v>
      </c>
      <c r="B348">
        <v>45504</v>
      </c>
      <c r="C348" t="str">
        <f>VLOOKUP(Fato_Producao[[#This Row],[referencia]], Dim_Produtos!A:B,2,FALSE)</f>
        <v>pescada posta fritar</v>
      </c>
      <c r="D348">
        <v>3819</v>
      </c>
      <c r="E348">
        <v>3586</v>
      </c>
      <c r="F348" s="5">
        <v>6.0999999999999999E-2</v>
      </c>
      <c r="G348" s="6">
        <v>74.56</v>
      </c>
      <c r="H348">
        <v>9</v>
      </c>
      <c r="I348">
        <v>220</v>
      </c>
      <c r="J348">
        <v>4</v>
      </c>
      <c r="K348">
        <f>Fato_Producao[[#This Row],[embalagens_danificadas]]+Fato_Producao[[#This Row],[peso_errado]]+Fato_Producao[[#This Row],[impressao]]</f>
        <v>233</v>
      </c>
      <c r="L348" s="1" t="d">
        <v>2024-05-02</v>
      </c>
      <c r="M348">
        <v>9</v>
      </c>
      <c r="N348" s="7">
        <v>10.44</v>
      </c>
      <c r="O348" s="4" t="str">
        <f t="shared" si="15"/>
        <v>maio</v>
      </c>
      <c r="P348" s="4">
        <f t="shared" si="16"/>
        <v>2024</v>
      </c>
      <c r="Q348" s="4" t="str">
        <f t="shared" si="17"/>
        <v/>
      </c>
      <c r="R348" t="s">
        <v>24</v>
      </c>
    </row>
    <row r="349" spans="1:18" x14ac:dyDescent="0.3">
      <c r="A349" s="1" t="d">
        <v>2024-05-11</v>
      </c>
      <c r="B349">
        <v>45500</v>
      </c>
      <c r="C349" t="str">
        <f>VLOOKUP(Fato_Producao[[#This Row],[referencia]], Dim_Produtos!A:B,2,FALSE)</f>
        <v>filete pescada</v>
      </c>
      <c r="D349">
        <v>2445</v>
      </c>
      <c r="E349">
        <v>2329</v>
      </c>
      <c r="F349" s="5">
        <v>4.7399999999999998E-2</v>
      </c>
      <c r="G349" s="6">
        <v>32.479999999999997</v>
      </c>
      <c r="H349">
        <v>6</v>
      </c>
      <c r="I349">
        <v>109</v>
      </c>
      <c r="J349">
        <v>1</v>
      </c>
      <c r="K349">
        <f>Fato_Producao[[#This Row],[embalagens_danificadas]]+Fato_Producao[[#This Row],[peso_errado]]+Fato_Producao[[#This Row],[impressao]]</f>
        <v>116</v>
      </c>
      <c r="L349" s="1" t="d">
        <v>2024-05-02</v>
      </c>
      <c r="M349">
        <v>9</v>
      </c>
      <c r="N349" s="7">
        <v>3.9</v>
      </c>
      <c r="O349" s="4" t="str">
        <f t="shared" si="15"/>
        <v>maio</v>
      </c>
      <c r="P349" s="4">
        <f t="shared" si="16"/>
        <v>2024</v>
      </c>
      <c r="Q349" s="4" t="str">
        <f t="shared" si="17"/>
        <v/>
      </c>
      <c r="R349" t="s">
        <v>24</v>
      </c>
    </row>
    <row r="350" spans="1:18" x14ac:dyDescent="0.3">
      <c r="A350" s="1" t="d">
        <v>2024-05-12</v>
      </c>
      <c r="B350">
        <v>45505</v>
      </c>
      <c r="C350" t="str">
        <f>VLOOKUP(Fato_Producao[[#This Row],[referencia]], Dim_Produtos!A:B,2,FALSE)</f>
        <v>camarao</v>
      </c>
      <c r="D350">
        <v>1941</v>
      </c>
      <c r="E350">
        <v>1819</v>
      </c>
      <c r="F350" s="5">
        <v>6.2899999999999998E-2</v>
      </c>
      <c r="G350" s="6">
        <v>36.6</v>
      </c>
      <c r="H350">
        <v>38</v>
      </c>
      <c r="I350">
        <v>82</v>
      </c>
      <c r="J350">
        <v>2</v>
      </c>
      <c r="K350">
        <f>Fato_Producao[[#This Row],[embalagens_danificadas]]+Fato_Producao[[#This Row],[peso_errado]]+Fato_Producao[[#This Row],[impressao]]</f>
        <v>122</v>
      </c>
      <c r="L350" s="1" t="d">
        <v>2024-05-02</v>
      </c>
      <c r="M350">
        <v>10</v>
      </c>
      <c r="N350" s="7">
        <v>5.49</v>
      </c>
      <c r="O350" s="4" t="str">
        <f t="shared" si="15"/>
        <v>maio</v>
      </c>
      <c r="P350" s="4">
        <f t="shared" si="16"/>
        <v>2024</v>
      </c>
      <c r="Q350" s="4" t="str">
        <f t="shared" si="17"/>
        <v/>
      </c>
      <c r="R350" t="s">
        <v>24</v>
      </c>
    </row>
    <row r="351" spans="1:18" x14ac:dyDescent="0.3">
      <c r="A351" s="1" t="d">
        <v>2024-05-12</v>
      </c>
      <c r="B351">
        <v>45503</v>
      </c>
      <c r="C351" t="str">
        <f>VLOOKUP(Fato_Producao[[#This Row],[referencia]], Dim_Produtos!A:B,2,FALSE)</f>
        <v>sardinha pequena</v>
      </c>
      <c r="D351">
        <v>3704</v>
      </c>
      <c r="E351">
        <v>3436</v>
      </c>
      <c r="F351" s="5">
        <v>7.2400000000000006E-2</v>
      </c>
      <c r="G351" s="6">
        <v>69.680000000000007</v>
      </c>
      <c r="H351">
        <v>6</v>
      </c>
      <c r="I351">
        <v>254</v>
      </c>
      <c r="J351">
        <v>8</v>
      </c>
      <c r="K351">
        <f>Fato_Producao[[#This Row],[embalagens_danificadas]]+Fato_Producao[[#This Row],[peso_errado]]+Fato_Producao[[#This Row],[impressao]]</f>
        <v>268</v>
      </c>
      <c r="L351" s="1" t="d">
        <v>2024-05-02</v>
      </c>
      <c r="M351">
        <v>10</v>
      </c>
      <c r="N351" s="7">
        <v>7.66</v>
      </c>
      <c r="O351" s="4" t="str">
        <f t="shared" si="15"/>
        <v>maio</v>
      </c>
      <c r="P351" s="4">
        <f t="shared" si="16"/>
        <v>2024</v>
      </c>
      <c r="Q351" s="4" t="str">
        <f t="shared" si="17"/>
        <v/>
      </c>
      <c r="R351" t="s">
        <v>24</v>
      </c>
    </row>
    <row r="352" spans="1:18" x14ac:dyDescent="0.3">
      <c r="A352" s="1" t="d">
        <v>2024-05-13</v>
      </c>
      <c r="B352">
        <v>45508</v>
      </c>
      <c r="C352" t="str">
        <f>VLOOKUP(Fato_Producao[[#This Row],[referencia]], Dim_Produtos!A:B,2,FALSE)</f>
        <v>lula suja</v>
      </c>
      <c r="D352">
        <v>1882</v>
      </c>
      <c r="E352">
        <v>1708</v>
      </c>
      <c r="F352" s="5">
        <v>9.2499999999999999E-2</v>
      </c>
      <c r="G352" s="6">
        <v>55.68</v>
      </c>
      <c r="H352">
        <v>21</v>
      </c>
      <c r="I352">
        <v>149</v>
      </c>
      <c r="J352">
        <v>4</v>
      </c>
      <c r="K352">
        <f>Fato_Producao[[#This Row],[embalagens_danificadas]]+Fato_Producao[[#This Row],[peso_errado]]+Fato_Producao[[#This Row],[impressao]]</f>
        <v>174</v>
      </c>
      <c r="L352" s="1" t="d">
        <v>2024-05-02</v>
      </c>
      <c r="M352">
        <v>11</v>
      </c>
      <c r="N352" s="7">
        <v>7.8</v>
      </c>
      <c r="O352" s="4" t="str">
        <f t="shared" si="15"/>
        <v>maio</v>
      </c>
      <c r="P352" s="4">
        <f t="shared" si="16"/>
        <v>2024</v>
      </c>
      <c r="Q352" s="4" t="str">
        <f t="shared" si="17"/>
        <v/>
      </c>
      <c r="R352" t="s">
        <v>24</v>
      </c>
    </row>
    <row r="353" spans="1:18" x14ac:dyDescent="0.3">
      <c r="A353" s="1" t="d">
        <v>2024-05-14</v>
      </c>
      <c r="B353">
        <v>45508</v>
      </c>
      <c r="C353" t="str">
        <f>VLOOKUP(Fato_Producao[[#This Row],[referencia]], Dim_Produtos!A:B,2,FALSE)</f>
        <v>lula suja</v>
      </c>
      <c r="D353">
        <v>3331</v>
      </c>
      <c r="E353">
        <v>3031</v>
      </c>
      <c r="F353" s="5">
        <v>9.01E-2</v>
      </c>
      <c r="G353" s="6">
        <v>96</v>
      </c>
      <c r="H353">
        <v>34</v>
      </c>
      <c r="I353">
        <v>262</v>
      </c>
      <c r="J353">
        <v>4</v>
      </c>
      <c r="K353">
        <f>Fato_Producao[[#This Row],[embalagens_danificadas]]+Fato_Producao[[#This Row],[peso_errado]]+Fato_Producao[[#This Row],[impressao]]</f>
        <v>300</v>
      </c>
      <c r="L353" s="1" t="d">
        <v>2024-05-02</v>
      </c>
      <c r="M353">
        <v>12</v>
      </c>
      <c r="N353" s="7">
        <v>13.44</v>
      </c>
      <c r="O353" s="4" t="str">
        <f t="shared" si="15"/>
        <v>maio</v>
      </c>
      <c r="P353" s="4">
        <f t="shared" si="16"/>
        <v>2024</v>
      </c>
      <c r="Q353" s="4" t="str">
        <f t="shared" si="17"/>
        <v/>
      </c>
      <c r="R353" t="s">
        <v>24</v>
      </c>
    </row>
    <row r="354" spans="1:18" x14ac:dyDescent="0.3">
      <c r="A354" s="1" t="d">
        <v>2024-05-14</v>
      </c>
      <c r="B354">
        <v>45504</v>
      </c>
      <c r="C354" t="str">
        <f>VLOOKUP(Fato_Producao[[#This Row],[referencia]], Dim_Produtos!A:B,2,FALSE)</f>
        <v>pescada posta fritar</v>
      </c>
      <c r="D354">
        <v>3652</v>
      </c>
      <c r="E354">
        <v>3437</v>
      </c>
      <c r="F354" s="5">
        <v>5.8900000000000001E-2</v>
      </c>
      <c r="G354" s="6">
        <v>68.8</v>
      </c>
      <c r="H354">
        <v>10</v>
      </c>
      <c r="I354">
        <v>202</v>
      </c>
      <c r="J354">
        <v>3</v>
      </c>
      <c r="K354">
        <f>Fato_Producao[[#This Row],[embalagens_danificadas]]+Fato_Producao[[#This Row],[peso_errado]]+Fato_Producao[[#This Row],[impressao]]</f>
        <v>215</v>
      </c>
      <c r="L354" s="1" t="d">
        <v>2024-05-02</v>
      </c>
      <c r="M354">
        <v>12</v>
      </c>
      <c r="N354" s="7">
        <v>9.6300000000000008</v>
      </c>
      <c r="O354" s="4" t="str">
        <f t="shared" si="15"/>
        <v>maio</v>
      </c>
      <c r="P354" s="4">
        <f t="shared" si="16"/>
        <v>2024</v>
      </c>
      <c r="Q354" s="4" t="str">
        <f t="shared" si="17"/>
        <v/>
      </c>
      <c r="R354" t="s">
        <v>24</v>
      </c>
    </row>
    <row r="355" spans="1:18" x14ac:dyDescent="0.3">
      <c r="A355" s="1" t="d">
        <v>2024-05-15</v>
      </c>
      <c r="B355">
        <v>45504</v>
      </c>
      <c r="C355" t="str">
        <f>VLOOKUP(Fato_Producao[[#This Row],[referencia]], Dim_Produtos!A:B,2,FALSE)</f>
        <v>pescada posta fritar</v>
      </c>
      <c r="D355">
        <v>3562</v>
      </c>
      <c r="E355">
        <v>3353</v>
      </c>
      <c r="F355" s="5">
        <v>5.8700000000000002E-2</v>
      </c>
      <c r="G355" s="6">
        <v>66.88</v>
      </c>
      <c r="H355">
        <v>6</v>
      </c>
      <c r="I355">
        <v>198</v>
      </c>
      <c r="J355">
        <v>5</v>
      </c>
      <c r="K355">
        <f>Fato_Producao[[#This Row],[embalagens_danificadas]]+Fato_Producao[[#This Row],[peso_errado]]+Fato_Producao[[#This Row],[impressao]]</f>
        <v>209</v>
      </c>
      <c r="L355" s="1" t="d">
        <v>2024-05-02</v>
      </c>
      <c r="M355">
        <v>13</v>
      </c>
      <c r="N355" s="7">
        <v>9.36</v>
      </c>
      <c r="O355" s="4" t="str">
        <f t="shared" si="15"/>
        <v>maio</v>
      </c>
      <c r="P355" s="4">
        <f t="shared" si="16"/>
        <v>2024</v>
      </c>
      <c r="Q355" s="4" t="str">
        <f t="shared" si="17"/>
        <v/>
      </c>
      <c r="R355" t="s">
        <v>24</v>
      </c>
    </row>
    <row r="356" spans="1:18" x14ac:dyDescent="0.3">
      <c r="A356" s="1" t="d">
        <v>2024-05-15</v>
      </c>
      <c r="B356">
        <v>45510</v>
      </c>
      <c r="C356" t="str">
        <f>VLOOKUP(Fato_Producao[[#This Row],[referencia]], Dim_Produtos!A:B,2,FALSE)</f>
        <v>tiras pota</v>
      </c>
      <c r="D356">
        <v>1867</v>
      </c>
      <c r="E356">
        <v>1748</v>
      </c>
      <c r="F356" s="5">
        <v>6.3700000000000007E-2</v>
      </c>
      <c r="G356" s="6">
        <v>38.08</v>
      </c>
      <c r="H356">
        <v>15</v>
      </c>
      <c r="I356">
        <v>102</v>
      </c>
      <c r="J356">
        <v>2</v>
      </c>
      <c r="K356">
        <f>Fato_Producao[[#This Row],[embalagens_danificadas]]+Fato_Producao[[#This Row],[peso_errado]]+Fato_Producao[[#This Row],[impressao]]</f>
        <v>119</v>
      </c>
      <c r="L356" s="1" t="d">
        <v>2024-05-02</v>
      </c>
      <c r="M356">
        <v>13</v>
      </c>
      <c r="N356" s="7">
        <v>5.33</v>
      </c>
      <c r="O356" s="4" t="str">
        <f t="shared" si="15"/>
        <v>maio</v>
      </c>
      <c r="P356" s="4">
        <f t="shared" si="16"/>
        <v>2024</v>
      </c>
      <c r="Q356" s="4" t="str">
        <f t="shared" si="17"/>
        <v/>
      </c>
      <c r="R356" t="s">
        <v>24</v>
      </c>
    </row>
    <row r="357" spans="1:18" x14ac:dyDescent="0.3">
      <c r="A357" s="1" t="d">
        <v>2024-05-16</v>
      </c>
      <c r="B357">
        <v>45513</v>
      </c>
      <c r="C357" t="str">
        <f>VLOOKUP(Fato_Producao[[#This Row],[referencia]], Dim_Produtos!A:B,2,FALSE)</f>
        <v>filete pescada</v>
      </c>
      <c r="D357">
        <v>4115</v>
      </c>
      <c r="E357">
        <v>3947</v>
      </c>
      <c r="F357" s="5">
        <v>4.0800000000000003E-2</v>
      </c>
      <c r="G357" s="6">
        <v>53.76</v>
      </c>
      <c r="H357">
        <v>2</v>
      </c>
      <c r="I357">
        <v>161</v>
      </c>
      <c r="J357">
        <v>5</v>
      </c>
      <c r="K357">
        <f>Fato_Producao[[#This Row],[embalagens_danificadas]]+Fato_Producao[[#This Row],[peso_errado]]+Fato_Producao[[#This Row],[impressao]]</f>
        <v>168</v>
      </c>
      <c r="L357" s="1" t="d">
        <v>2024-05-02</v>
      </c>
      <c r="M357">
        <v>14</v>
      </c>
      <c r="N357" s="7">
        <v>6.99</v>
      </c>
      <c r="O357" s="4" t="str">
        <f t="shared" si="15"/>
        <v>maio</v>
      </c>
      <c r="P357" s="4">
        <f t="shared" si="16"/>
        <v>2024</v>
      </c>
      <c r="Q357" s="4" t="str">
        <f t="shared" si="17"/>
        <v/>
      </c>
      <c r="R357" t="s">
        <v>24</v>
      </c>
    </row>
    <row r="358" spans="1:18" x14ac:dyDescent="0.3">
      <c r="A358" s="1" t="d">
        <v>2024-05-16</v>
      </c>
      <c r="B358">
        <v>45514</v>
      </c>
      <c r="C358" t="str">
        <f>VLOOKUP(Fato_Producao[[#This Row],[referencia]], Dim_Produtos!A:B,2,FALSE)</f>
        <v>sardinha pequena</v>
      </c>
      <c r="D358">
        <v>2460</v>
      </c>
      <c r="E358">
        <v>2307</v>
      </c>
      <c r="F358" s="5">
        <v>6.2199999999999998E-2</v>
      </c>
      <c r="G358" s="6">
        <v>45.9</v>
      </c>
      <c r="H358">
        <v>3</v>
      </c>
      <c r="I358">
        <v>146</v>
      </c>
      <c r="J358">
        <v>4</v>
      </c>
      <c r="K358">
        <f>Fato_Producao[[#This Row],[embalagens_danificadas]]+Fato_Producao[[#This Row],[peso_errado]]+Fato_Producao[[#This Row],[impressao]]</f>
        <v>153</v>
      </c>
      <c r="L358" s="1" t="d">
        <v>2024-05-02</v>
      </c>
      <c r="M358">
        <v>14</v>
      </c>
      <c r="N358" s="7">
        <v>5.51</v>
      </c>
      <c r="O358" s="4" t="str">
        <f t="shared" si="15"/>
        <v>maio</v>
      </c>
      <c r="P358" s="4">
        <f t="shared" si="16"/>
        <v>2024</v>
      </c>
      <c r="Q358" s="4" t="str">
        <f t="shared" si="17"/>
        <v/>
      </c>
      <c r="R358" t="s">
        <v>24</v>
      </c>
    </row>
    <row r="359" spans="1:18" x14ac:dyDescent="0.3">
      <c r="A359" s="1" t="d">
        <v>2024-05-17</v>
      </c>
      <c r="B359">
        <v>45507</v>
      </c>
      <c r="C359" t="str">
        <f>VLOOKUP(Fato_Producao[[#This Row],[referencia]], Dim_Produtos!A:B,2,FALSE)</f>
        <v>salmao posta</v>
      </c>
      <c r="D359">
        <v>2831</v>
      </c>
      <c r="E359">
        <v>2670</v>
      </c>
      <c r="F359" s="5">
        <v>5.6899999999999999E-2</v>
      </c>
      <c r="G359" s="6">
        <v>56.35</v>
      </c>
      <c r="H359">
        <v>8</v>
      </c>
      <c r="I359">
        <v>150</v>
      </c>
      <c r="J359">
        <v>3</v>
      </c>
      <c r="K359">
        <f>Fato_Producao[[#This Row],[embalagens_danificadas]]+Fato_Producao[[#This Row],[peso_errado]]+Fato_Producao[[#This Row],[impressao]]</f>
        <v>161</v>
      </c>
      <c r="L359" s="1" t="d">
        <v>2024-05-02</v>
      </c>
      <c r="M359">
        <v>15</v>
      </c>
      <c r="N359" s="7">
        <v>9.02</v>
      </c>
      <c r="O359" s="4" t="str">
        <f t="shared" si="15"/>
        <v>maio</v>
      </c>
      <c r="P359" s="4">
        <f t="shared" si="16"/>
        <v>2024</v>
      </c>
      <c r="Q359" s="4" t="str">
        <f t="shared" si="17"/>
        <v/>
      </c>
      <c r="R359" t="s">
        <v>24</v>
      </c>
    </row>
    <row r="360" spans="1:18" x14ac:dyDescent="0.3">
      <c r="A360" s="1" t="d">
        <v>2024-05-17</v>
      </c>
      <c r="B360">
        <v>45511</v>
      </c>
      <c r="C360" t="str">
        <f>VLOOKUP(Fato_Producao[[#This Row],[referencia]], Dim_Produtos!A:B,2,FALSE)</f>
        <v>lula limpa</v>
      </c>
      <c r="D360">
        <v>4021</v>
      </c>
      <c r="E360">
        <v>3689</v>
      </c>
      <c r="F360" s="5">
        <v>8.2600000000000007E-2</v>
      </c>
      <c r="G360" s="6">
        <v>106.24</v>
      </c>
      <c r="H360">
        <v>37</v>
      </c>
      <c r="I360">
        <v>288</v>
      </c>
      <c r="J360">
        <v>7</v>
      </c>
      <c r="K360">
        <f>Fato_Producao[[#This Row],[embalagens_danificadas]]+Fato_Producao[[#This Row],[peso_errado]]+Fato_Producao[[#This Row],[impressao]]</f>
        <v>332</v>
      </c>
      <c r="L360" s="1" t="d">
        <v>2024-05-02</v>
      </c>
      <c r="M360">
        <v>15</v>
      </c>
      <c r="N360" s="7">
        <v>14.87</v>
      </c>
      <c r="O360" s="4" t="str">
        <f t="shared" si="15"/>
        <v>maio</v>
      </c>
      <c r="P360" s="4">
        <f t="shared" si="16"/>
        <v>2024</v>
      </c>
      <c r="Q360" s="4" t="str">
        <f t="shared" si="17"/>
        <v/>
      </c>
      <c r="R360" t="s">
        <v>24</v>
      </c>
    </row>
    <row r="361" spans="1:18" x14ac:dyDescent="0.3">
      <c r="A361" s="1" t="d">
        <v>2024-05-18</v>
      </c>
      <c r="B361">
        <v>45503</v>
      </c>
      <c r="C361" t="str">
        <f>VLOOKUP(Fato_Producao[[#This Row],[referencia]], Dim_Produtos!A:B,2,FALSE)</f>
        <v>sardinha pequena</v>
      </c>
      <c r="D361">
        <v>2304</v>
      </c>
      <c r="E361">
        <v>2120</v>
      </c>
      <c r="F361" s="5">
        <v>7.9899999999999999E-2</v>
      </c>
      <c r="G361" s="6">
        <v>47.84</v>
      </c>
      <c r="H361">
        <v>10</v>
      </c>
      <c r="I361">
        <v>170</v>
      </c>
      <c r="J361">
        <v>4</v>
      </c>
      <c r="K361">
        <f>Fato_Producao[[#This Row],[embalagens_danificadas]]+Fato_Producao[[#This Row],[peso_errado]]+Fato_Producao[[#This Row],[impressao]]</f>
        <v>184</v>
      </c>
      <c r="L361" s="1" t="d">
        <v>2024-05-02</v>
      </c>
      <c r="M361">
        <v>16</v>
      </c>
      <c r="N361" s="7">
        <v>5.26</v>
      </c>
      <c r="O361" s="4" t="str">
        <f t="shared" si="15"/>
        <v>maio</v>
      </c>
      <c r="P361" s="4">
        <f t="shared" si="16"/>
        <v>2024</v>
      </c>
      <c r="Q361" s="4" t="str">
        <f t="shared" si="17"/>
        <v/>
      </c>
      <c r="R361" t="s">
        <v>24</v>
      </c>
    </row>
    <row r="362" spans="1:18" x14ac:dyDescent="0.3">
      <c r="A362" s="1" t="d">
        <v>2024-05-18</v>
      </c>
      <c r="B362">
        <v>45511</v>
      </c>
      <c r="C362" t="str">
        <f>VLOOKUP(Fato_Producao[[#This Row],[referencia]], Dim_Produtos!A:B,2,FALSE)</f>
        <v>lula limpa</v>
      </c>
      <c r="D362">
        <v>2571</v>
      </c>
      <c r="E362">
        <v>2376</v>
      </c>
      <c r="F362" s="5">
        <v>7.5800000000000006E-2</v>
      </c>
      <c r="G362" s="6">
        <v>62.4</v>
      </c>
      <c r="H362">
        <v>29</v>
      </c>
      <c r="I362">
        <v>162</v>
      </c>
      <c r="J362">
        <v>4</v>
      </c>
      <c r="K362">
        <f>Fato_Producao[[#This Row],[embalagens_danificadas]]+Fato_Producao[[#This Row],[peso_errado]]+Fato_Producao[[#This Row],[impressao]]</f>
        <v>195</v>
      </c>
      <c r="L362" s="1" t="d">
        <v>2024-05-02</v>
      </c>
      <c r="M362">
        <v>16</v>
      </c>
      <c r="N362" s="7">
        <v>8.74</v>
      </c>
      <c r="O362" s="4" t="str">
        <f t="shared" si="15"/>
        <v>maio</v>
      </c>
      <c r="P362" s="4">
        <f t="shared" si="16"/>
        <v>2024</v>
      </c>
      <c r="Q362" s="4" t="str">
        <f t="shared" si="17"/>
        <v/>
      </c>
      <c r="R362" t="s">
        <v>24</v>
      </c>
    </row>
    <row r="363" spans="1:18" x14ac:dyDescent="0.3">
      <c r="A363" s="1" t="d">
        <v>2024-05-19</v>
      </c>
      <c r="B363">
        <v>45500</v>
      </c>
      <c r="C363" t="str">
        <f>VLOOKUP(Fato_Producao[[#This Row],[referencia]], Dim_Produtos!A:B,2,FALSE)</f>
        <v>filete pescada</v>
      </c>
      <c r="D363">
        <v>2910</v>
      </c>
      <c r="E363">
        <v>2837</v>
      </c>
      <c r="F363" s="5">
        <v>2.5100000000000001E-2</v>
      </c>
      <c r="G363" s="6">
        <v>20.440000000000001</v>
      </c>
      <c r="H363">
        <v>2</v>
      </c>
      <c r="I363">
        <v>70</v>
      </c>
      <c r="J363">
        <v>1</v>
      </c>
      <c r="K363">
        <f>Fato_Producao[[#This Row],[embalagens_danificadas]]+Fato_Producao[[#This Row],[peso_errado]]+Fato_Producao[[#This Row],[impressao]]</f>
        <v>73</v>
      </c>
      <c r="L363" s="1" t="d">
        <v>2024-05-02</v>
      </c>
      <c r="M363">
        <v>17</v>
      </c>
      <c r="N363" s="7">
        <v>2.4500000000000002</v>
      </c>
      <c r="O363" s="4" t="str">
        <f t="shared" si="15"/>
        <v>maio</v>
      </c>
      <c r="P363" s="4">
        <f t="shared" si="16"/>
        <v>2024</v>
      </c>
      <c r="Q363" s="4" t="str">
        <f t="shared" si="17"/>
        <v/>
      </c>
      <c r="R363" t="s">
        <v>24</v>
      </c>
    </row>
    <row r="364" spans="1:18" x14ac:dyDescent="0.3">
      <c r="A364" s="1" t="d">
        <v>2024-05-19</v>
      </c>
      <c r="B364">
        <v>45512</v>
      </c>
      <c r="C364" t="str">
        <f>VLOOKUP(Fato_Producao[[#This Row],[referencia]], Dim_Produtos!A:B,2,FALSE)</f>
        <v>red-fish posta</v>
      </c>
      <c r="D364">
        <v>2579</v>
      </c>
      <c r="E364">
        <v>2413</v>
      </c>
      <c r="F364" s="5">
        <v>6.4399999999999999E-2</v>
      </c>
      <c r="G364" s="6">
        <v>56.44</v>
      </c>
      <c r="H364">
        <v>8</v>
      </c>
      <c r="I364">
        <v>155</v>
      </c>
      <c r="J364">
        <v>3</v>
      </c>
      <c r="K364">
        <f>Fato_Producao[[#This Row],[embalagens_danificadas]]+Fato_Producao[[#This Row],[peso_errado]]+Fato_Producao[[#This Row],[impressao]]</f>
        <v>166</v>
      </c>
      <c r="L364" s="1" t="d">
        <v>2024-05-02</v>
      </c>
      <c r="M364">
        <v>17</v>
      </c>
      <c r="N364" s="7">
        <v>7.9</v>
      </c>
      <c r="O364" s="4" t="str">
        <f t="shared" si="15"/>
        <v>maio</v>
      </c>
      <c r="P364" s="4">
        <f t="shared" si="16"/>
        <v>2024</v>
      </c>
      <c r="Q364" s="4" t="str">
        <f t="shared" si="17"/>
        <v/>
      </c>
      <c r="R364" t="s">
        <v>24</v>
      </c>
    </row>
    <row r="365" spans="1:18" x14ac:dyDescent="0.3">
      <c r="A365" s="1" t="d">
        <v>2024-05-20</v>
      </c>
      <c r="B365">
        <v>45502</v>
      </c>
      <c r="C365" t="str">
        <f>VLOOKUP(Fato_Producao[[#This Row],[referencia]], Dim_Produtos!A:B,2,FALSE)</f>
        <v>carapau pelim</v>
      </c>
      <c r="D365">
        <v>3247</v>
      </c>
      <c r="E365">
        <v>3020</v>
      </c>
      <c r="F365" s="5">
        <v>6.9900000000000004E-2</v>
      </c>
      <c r="G365" s="6">
        <v>68.099999999999994</v>
      </c>
      <c r="H365">
        <v>56</v>
      </c>
      <c r="I365">
        <v>166</v>
      </c>
      <c r="J365">
        <v>5</v>
      </c>
      <c r="K365">
        <f>Fato_Producao[[#This Row],[embalagens_danificadas]]+Fato_Producao[[#This Row],[peso_errado]]+Fato_Producao[[#This Row],[impressao]]</f>
        <v>227</v>
      </c>
      <c r="L365" s="1" t="d">
        <v>2024-05-02</v>
      </c>
      <c r="M365">
        <v>18</v>
      </c>
      <c r="N365" s="7">
        <v>8.85</v>
      </c>
      <c r="O365" s="4" t="str">
        <f t="shared" si="15"/>
        <v>maio</v>
      </c>
      <c r="P365" s="4">
        <f t="shared" si="16"/>
        <v>2024</v>
      </c>
      <c r="Q365" s="4" t="str">
        <f t="shared" si="17"/>
        <v/>
      </c>
      <c r="R365" t="s">
        <v>24</v>
      </c>
    </row>
    <row r="366" spans="1:18" x14ac:dyDescent="0.3">
      <c r="A366" s="1" t="d">
        <v>2024-05-20</v>
      </c>
      <c r="B366">
        <v>45500</v>
      </c>
      <c r="C366" t="str">
        <f>VLOOKUP(Fato_Producao[[#This Row],[referencia]], Dim_Produtos!A:B,2,FALSE)</f>
        <v>filete pescada</v>
      </c>
      <c r="D366">
        <v>2500</v>
      </c>
      <c r="E366">
        <v>2383</v>
      </c>
      <c r="F366" s="5">
        <v>4.6800000000000001E-2</v>
      </c>
      <c r="G366" s="6">
        <v>32.76</v>
      </c>
      <c r="H366">
        <v>5</v>
      </c>
      <c r="I366">
        <v>110</v>
      </c>
      <c r="J366">
        <v>2</v>
      </c>
      <c r="K366">
        <f>Fato_Producao[[#This Row],[embalagens_danificadas]]+Fato_Producao[[#This Row],[peso_errado]]+Fato_Producao[[#This Row],[impressao]]</f>
        <v>117</v>
      </c>
      <c r="L366" s="1" t="d">
        <v>2024-05-02</v>
      </c>
      <c r="M366">
        <v>18</v>
      </c>
      <c r="N366" s="7">
        <v>3.93</v>
      </c>
      <c r="O366" s="4" t="str">
        <f t="shared" si="15"/>
        <v>maio</v>
      </c>
      <c r="P366" s="4">
        <f t="shared" si="16"/>
        <v>2024</v>
      </c>
      <c r="Q366" s="4" t="str">
        <f t="shared" si="17"/>
        <v/>
      </c>
      <c r="R366" t="s">
        <v>24</v>
      </c>
    </row>
    <row r="367" spans="1:18" x14ac:dyDescent="0.3">
      <c r="A367" s="1" t="d">
        <v>2024-05-21</v>
      </c>
      <c r="B367">
        <v>45513</v>
      </c>
      <c r="C367" t="str">
        <f>VLOOKUP(Fato_Producao[[#This Row],[referencia]], Dim_Produtos!A:B,2,FALSE)</f>
        <v>filete pescada</v>
      </c>
      <c r="D367">
        <v>4080</v>
      </c>
      <c r="E367">
        <v>3875</v>
      </c>
      <c r="F367" s="5">
        <v>5.0200000000000002E-2</v>
      </c>
      <c r="G367" s="6">
        <v>65.599999999999994</v>
      </c>
      <c r="H367">
        <v>13</v>
      </c>
      <c r="I367">
        <v>187</v>
      </c>
      <c r="J367">
        <v>5</v>
      </c>
      <c r="K367">
        <f>Fato_Producao[[#This Row],[embalagens_danificadas]]+Fato_Producao[[#This Row],[peso_errado]]+Fato_Producao[[#This Row],[impressao]]</f>
        <v>205</v>
      </c>
      <c r="L367" s="1" t="d">
        <v>2024-05-02</v>
      </c>
      <c r="M367">
        <v>19</v>
      </c>
      <c r="N367" s="7">
        <v>8.5299999999999994</v>
      </c>
      <c r="O367" s="4" t="str">
        <f t="shared" si="15"/>
        <v>maio</v>
      </c>
      <c r="P367" s="4">
        <f t="shared" si="16"/>
        <v>2024</v>
      </c>
      <c r="Q367" s="4" t="str">
        <f t="shared" si="17"/>
        <v/>
      </c>
      <c r="R367" t="s">
        <v>24</v>
      </c>
    </row>
    <row r="368" spans="1:18" x14ac:dyDescent="0.3">
      <c r="A368" s="1" t="d">
        <v>2024-05-22</v>
      </c>
      <c r="B368">
        <v>45502</v>
      </c>
      <c r="C368" t="str">
        <f>VLOOKUP(Fato_Producao[[#This Row],[referencia]], Dim_Produtos!A:B,2,FALSE)</f>
        <v>carapau pelim</v>
      </c>
      <c r="D368">
        <v>1982</v>
      </c>
      <c r="E368">
        <v>1844</v>
      </c>
      <c r="F368" s="5">
        <v>6.9599999999999995E-2</v>
      </c>
      <c r="G368" s="6">
        <v>41.4</v>
      </c>
      <c r="H368">
        <v>44</v>
      </c>
      <c r="I368">
        <v>92</v>
      </c>
      <c r="J368">
        <v>2</v>
      </c>
      <c r="K368">
        <f>Fato_Producao[[#This Row],[embalagens_danificadas]]+Fato_Producao[[#This Row],[peso_errado]]+Fato_Producao[[#This Row],[impressao]]</f>
        <v>138</v>
      </c>
      <c r="L368" s="1" t="d">
        <v>2024-05-02</v>
      </c>
      <c r="M368">
        <v>20</v>
      </c>
      <c r="N368" s="7">
        <v>5.38</v>
      </c>
      <c r="O368" s="4" t="str">
        <f t="shared" si="15"/>
        <v>maio</v>
      </c>
      <c r="P368" s="4">
        <f t="shared" si="16"/>
        <v>2024</v>
      </c>
      <c r="Q368" s="4" t="str">
        <f t="shared" si="17"/>
        <v/>
      </c>
      <c r="R368" t="s">
        <v>24</v>
      </c>
    </row>
    <row r="369" spans="1:18" x14ac:dyDescent="0.3">
      <c r="A369" s="1" t="d">
        <v>2024-05-23</v>
      </c>
      <c r="B369">
        <v>45500</v>
      </c>
      <c r="C369" t="str">
        <f>VLOOKUP(Fato_Producao[[#This Row],[referencia]], Dim_Produtos!A:B,2,FALSE)</f>
        <v>filete pescada</v>
      </c>
      <c r="D369">
        <v>1818</v>
      </c>
      <c r="E369">
        <v>1703</v>
      </c>
      <c r="F369" s="5">
        <v>6.3299999999999995E-2</v>
      </c>
      <c r="G369" s="6">
        <v>32.200000000000003</v>
      </c>
      <c r="H369">
        <v>2</v>
      </c>
      <c r="I369">
        <v>110</v>
      </c>
      <c r="J369">
        <v>3</v>
      </c>
      <c r="K369">
        <f>Fato_Producao[[#This Row],[embalagens_danificadas]]+Fato_Producao[[#This Row],[peso_errado]]+Fato_Producao[[#This Row],[impressao]]</f>
        <v>115</v>
      </c>
      <c r="L369" s="1" t="d">
        <v>2024-05-02</v>
      </c>
      <c r="M369">
        <v>21</v>
      </c>
      <c r="N369" s="7">
        <v>3.86</v>
      </c>
      <c r="O369" s="4" t="str">
        <f t="shared" si="15"/>
        <v>maio</v>
      </c>
      <c r="P369" s="4">
        <f t="shared" si="16"/>
        <v>2024</v>
      </c>
      <c r="Q369" s="4" t="str">
        <f t="shared" si="17"/>
        <v/>
      </c>
      <c r="R369" t="s">
        <v>24</v>
      </c>
    </row>
    <row r="370" spans="1:18" x14ac:dyDescent="0.3">
      <c r="A370" s="1" t="d">
        <v>2024-05-24</v>
      </c>
      <c r="B370">
        <v>45500</v>
      </c>
      <c r="C370" t="str">
        <f>VLOOKUP(Fato_Producao[[#This Row],[referencia]], Dim_Produtos!A:B,2,FALSE)</f>
        <v>filete pescada</v>
      </c>
      <c r="D370">
        <v>3950</v>
      </c>
      <c r="E370">
        <v>3707</v>
      </c>
      <c r="F370" s="5">
        <v>6.1499999999999999E-2</v>
      </c>
      <c r="G370" s="6">
        <v>68.040000000000006</v>
      </c>
      <c r="H370">
        <v>7</v>
      </c>
      <c r="I370">
        <v>232</v>
      </c>
      <c r="J370">
        <v>4</v>
      </c>
      <c r="K370">
        <f>Fato_Producao[[#This Row],[embalagens_danificadas]]+Fato_Producao[[#This Row],[peso_errado]]+Fato_Producao[[#This Row],[impressao]]</f>
        <v>243</v>
      </c>
      <c r="L370" s="1" t="d">
        <v>2024-05-02</v>
      </c>
      <c r="M370">
        <v>22</v>
      </c>
      <c r="N370" s="7">
        <v>8.16</v>
      </c>
      <c r="O370" s="4" t="str">
        <f t="shared" si="15"/>
        <v>maio</v>
      </c>
      <c r="P370" s="4">
        <f t="shared" si="16"/>
        <v>2024</v>
      </c>
      <c r="Q370" s="4" t="str">
        <f t="shared" si="17"/>
        <v/>
      </c>
      <c r="R370" t="s">
        <v>24</v>
      </c>
    </row>
    <row r="371" spans="1:18" x14ac:dyDescent="0.3">
      <c r="A371" s="1" t="d">
        <v>2024-05-24</v>
      </c>
      <c r="B371">
        <v>45503</v>
      </c>
      <c r="C371" t="str">
        <f>VLOOKUP(Fato_Producao[[#This Row],[referencia]], Dim_Produtos!A:B,2,FALSE)</f>
        <v>sardinha pequena</v>
      </c>
      <c r="D371">
        <v>2789</v>
      </c>
      <c r="E371">
        <v>2575</v>
      </c>
      <c r="F371" s="5">
        <v>7.6700000000000004E-2</v>
      </c>
      <c r="G371" s="6">
        <v>55.64</v>
      </c>
      <c r="H371">
        <v>9</v>
      </c>
      <c r="I371">
        <v>202</v>
      </c>
      <c r="J371">
        <v>3</v>
      </c>
      <c r="K371">
        <f>Fato_Producao[[#This Row],[embalagens_danificadas]]+Fato_Producao[[#This Row],[peso_errado]]+Fato_Producao[[#This Row],[impressao]]</f>
        <v>214</v>
      </c>
      <c r="L371" s="1" t="d">
        <v>2024-05-02</v>
      </c>
      <c r="M371">
        <v>22</v>
      </c>
      <c r="N371" s="7">
        <v>6.12</v>
      </c>
      <c r="O371" s="4" t="str">
        <f t="shared" si="15"/>
        <v>maio</v>
      </c>
      <c r="P371" s="4">
        <f t="shared" si="16"/>
        <v>2024</v>
      </c>
      <c r="Q371" s="4" t="str">
        <f t="shared" si="17"/>
        <v/>
      </c>
      <c r="R371" t="s">
        <v>24</v>
      </c>
    </row>
    <row r="372" spans="1:18" x14ac:dyDescent="0.3">
      <c r="A372" s="1" t="d">
        <v>2024-05-25</v>
      </c>
      <c r="B372">
        <v>45507</v>
      </c>
      <c r="C372" t="str">
        <f>VLOOKUP(Fato_Producao[[#This Row],[referencia]], Dim_Produtos!A:B,2,FALSE)</f>
        <v>salmao posta</v>
      </c>
      <c r="D372">
        <v>2907</v>
      </c>
      <c r="E372">
        <v>2735</v>
      </c>
      <c r="F372" s="5">
        <v>5.9200000000000003E-2</v>
      </c>
      <c r="G372" s="6">
        <v>60.2</v>
      </c>
      <c r="H372">
        <v>6</v>
      </c>
      <c r="I372">
        <v>163</v>
      </c>
      <c r="J372">
        <v>3</v>
      </c>
      <c r="K372">
        <f>Fato_Producao[[#This Row],[embalagens_danificadas]]+Fato_Producao[[#This Row],[peso_errado]]+Fato_Producao[[#This Row],[impressao]]</f>
        <v>172</v>
      </c>
      <c r="L372" s="1" t="d">
        <v>2024-05-02</v>
      </c>
      <c r="M372">
        <v>23</v>
      </c>
      <c r="N372" s="7">
        <v>9.6300000000000008</v>
      </c>
      <c r="O372" s="4" t="str">
        <f t="shared" si="15"/>
        <v>maio</v>
      </c>
      <c r="P372" s="4">
        <f t="shared" si="16"/>
        <v>2024</v>
      </c>
      <c r="Q372" s="4" t="str">
        <f t="shared" si="17"/>
        <v/>
      </c>
      <c r="R372" t="s">
        <v>24</v>
      </c>
    </row>
    <row r="373" spans="1:18" x14ac:dyDescent="0.3">
      <c r="A373" s="1" t="d">
        <v>2024-05-25</v>
      </c>
      <c r="B373">
        <v>45512</v>
      </c>
      <c r="C373" t="str">
        <f>VLOOKUP(Fato_Producao[[#This Row],[referencia]], Dim_Produtos!A:B,2,FALSE)</f>
        <v>red-fish posta</v>
      </c>
      <c r="D373">
        <v>1904</v>
      </c>
      <c r="E373">
        <v>1771</v>
      </c>
      <c r="F373" s="5">
        <v>6.9900000000000004E-2</v>
      </c>
      <c r="G373" s="6">
        <v>45.22</v>
      </c>
      <c r="H373">
        <v>3</v>
      </c>
      <c r="I373">
        <v>127</v>
      </c>
      <c r="J373">
        <v>3</v>
      </c>
      <c r="K373">
        <f>Fato_Producao[[#This Row],[embalagens_danificadas]]+Fato_Producao[[#This Row],[peso_errado]]+Fato_Producao[[#This Row],[impressao]]</f>
        <v>133</v>
      </c>
      <c r="L373" s="1" t="d">
        <v>2024-05-02</v>
      </c>
      <c r="M373">
        <v>23</v>
      </c>
      <c r="N373" s="7">
        <v>6.33</v>
      </c>
      <c r="O373" s="4" t="str">
        <f t="shared" si="15"/>
        <v>maio</v>
      </c>
      <c r="P373" s="4">
        <f t="shared" si="16"/>
        <v>2024</v>
      </c>
      <c r="Q373" s="4" t="str">
        <f t="shared" si="17"/>
        <v/>
      </c>
      <c r="R373" t="s">
        <v>24</v>
      </c>
    </row>
    <row r="374" spans="1:18" x14ac:dyDescent="0.3">
      <c r="A374" s="1" t="d">
        <v>2024-05-26</v>
      </c>
      <c r="B374">
        <v>45502</v>
      </c>
      <c r="C374" t="str">
        <f>VLOOKUP(Fato_Producao[[#This Row],[referencia]], Dim_Produtos!A:B,2,FALSE)</f>
        <v>carapau pelim</v>
      </c>
      <c r="D374">
        <v>3363</v>
      </c>
      <c r="E374">
        <v>3102</v>
      </c>
      <c r="F374" s="5">
        <v>7.7600000000000002E-2</v>
      </c>
      <c r="G374" s="6">
        <v>78.3</v>
      </c>
      <c r="H374">
        <v>66</v>
      </c>
      <c r="I374">
        <v>186</v>
      </c>
      <c r="J374">
        <v>9</v>
      </c>
      <c r="K374">
        <f>Fato_Producao[[#This Row],[embalagens_danificadas]]+Fato_Producao[[#This Row],[peso_errado]]+Fato_Producao[[#This Row],[impressao]]</f>
        <v>261</v>
      </c>
      <c r="L374" s="1" t="d">
        <v>2024-05-02</v>
      </c>
      <c r="M374">
        <v>24</v>
      </c>
      <c r="N374" s="7">
        <v>10.18</v>
      </c>
      <c r="O374" s="4" t="str">
        <f t="shared" si="15"/>
        <v>maio</v>
      </c>
      <c r="P374" s="4">
        <f t="shared" si="16"/>
        <v>2024</v>
      </c>
      <c r="Q374" s="4" t="str">
        <f t="shared" si="17"/>
        <v/>
      </c>
      <c r="R374" t="s">
        <v>24</v>
      </c>
    </row>
    <row r="375" spans="1:18" x14ac:dyDescent="0.3">
      <c r="A375" s="1" t="d">
        <v>2024-05-26</v>
      </c>
      <c r="B375">
        <v>45513</v>
      </c>
      <c r="C375" t="str">
        <f>VLOOKUP(Fato_Producao[[#This Row],[referencia]], Dim_Produtos!A:B,2,FALSE)</f>
        <v>filete pescada</v>
      </c>
      <c r="D375">
        <v>4143</v>
      </c>
      <c r="E375">
        <v>3931</v>
      </c>
      <c r="F375" s="5">
        <v>5.1200000000000002E-2</v>
      </c>
      <c r="G375" s="6">
        <v>67.84</v>
      </c>
      <c r="H375">
        <v>8</v>
      </c>
      <c r="I375">
        <v>200</v>
      </c>
      <c r="J375">
        <v>4</v>
      </c>
      <c r="K375">
        <f>Fato_Producao[[#This Row],[embalagens_danificadas]]+Fato_Producao[[#This Row],[peso_errado]]+Fato_Producao[[#This Row],[impressao]]</f>
        <v>212</v>
      </c>
      <c r="L375" s="1" t="d">
        <v>2024-05-02</v>
      </c>
      <c r="M375">
        <v>24</v>
      </c>
      <c r="N375" s="7">
        <v>8.82</v>
      </c>
      <c r="O375" s="4" t="str">
        <f t="shared" si="15"/>
        <v>maio</v>
      </c>
      <c r="P375" s="4">
        <f t="shared" si="16"/>
        <v>2024</v>
      </c>
      <c r="Q375" s="4" t="str">
        <f t="shared" si="17"/>
        <v/>
      </c>
      <c r="R375" t="s">
        <v>24</v>
      </c>
    </row>
    <row r="376" spans="1:18" x14ac:dyDescent="0.3">
      <c r="A376" s="1" t="d">
        <v>2024-05-27</v>
      </c>
      <c r="B376">
        <v>45506</v>
      </c>
      <c r="C376" t="str">
        <f>VLOOKUP(Fato_Producao[[#This Row],[referencia]], Dim_Produtos!A:B,2,FALSE)</f>
        <v>perca posta</v>
      </c>
      <c r="D376">
        <v>3798</v>
      </c>
      <c r="E376">
        <v>3634</v>
      </c>
      <c r="F376" s="5">
        <v>4.3200000000000002E-2</v>
      </c>
      <c r="G376" s="6">
        <v>57.4</v>
      </c>
      <c r="H376">
        <v>5</v>
      </c>
      <c r="I376">
        <v>155</v>
      </c>
      <c r="J376">
        <v>4</v>
      </c>
      <c r="K376">
        <f>Fato_Producao[[#This Row],[embalagens_danificadas]]+Fato_Producao[[#This Row],[peso_errado]]+Fato_Producao[[#This Row],[impressao]]</f>
        <v>164</v>
      </c>
      <c r="L376" s="1" t="d">
        <v>2024-05-02</v>
      </c>
      <c r="M376">
        <v>25</v>
      </c>
      <c r="N376" s="7">
        <v>8.61</v>
      </c>
      <c r="O376" s="4" t="str">
        <f t="shared" si="15"/>
        <v>maio</v>
      </c>
      <c r="P376" s="4">
        <f t="shared" si="16"/>
        <v>2024</v>
      </c>
      <c r="Q376" s="4" t="str">
        <f t="shared" si="17"/>
        <v/>
      </c>
      <c r="R376" t="s">
        <v>24</v>
      </c>
    </row>
    <row r="377" spans="1:18" x14ac:dyDescent="0.3">
      <c r="A377" s="1" t="d">
        <v>2024-05-27</v>
      </c>
      <c r="B377">
        <v>45505</v>
      </c>
      <c r="C377" t="str">
        <f>VLOOKUP(Fato_Producao[[#This Row],[referencia]], Dim_Produtos!A:B,2,FALSE)</f>
        <v>camarao</v>
      </c>
      <c r="D377">
        <v>2930</v>
      </c>
      <c r="E377">
        <v>2692</v>
      </c>
      <c r="F377" s="5">
        <v>8.1199999999999994E-2</v>
      </c>
      <c r="G377" s="6">
        <v>71.400000000000006</v>
      </c>
      <c r="H377">
        <v>66</v>
      </c>
      <c r="I377">
        <v>168</v>
      </c>
      <c r="J377">
        <v>4</v>
      </c>
      <c r="K377">
        <f>Fato_Producao[[#This Row],[embalagens_danificadas]]+Fato_Producao[[#This Row],[peso_errado]]+Fato_Producao[[#This Row],[impressao]]</f>
        <v>238</v>
      </c>
      <c r="L377" s="1" t="d">
        <v>2024-05-02</v>
      </c>
      <c r="M377">
        <v>25</v>
      </c>
      <c r="N377" s="7">
        <v>10.71</v>
      </c>
      <c r="O377" s="4" t="str">
        <f t="shared" si="15"/>
        <v>maio</v>
      </c>
      <c r="P377" s="4">
        <f t="shared" si="16"/>
        <v>2024</v>
      </c>
      <c r="Q377" s="4" t="str">
        <f t="shared" si="17"/>
        <v/>
      </c>
      <c r="R377" t="s">
        <v>24</v>
      </c>
    </row>
    <row r="378" spans="1:18" x14ac:dyDescent="0.3">
      <c r="A378" s="1" t="d">
        <v>2024-05-28</v>
      </c>
      <c r="B378">
        <v>45509</v>
      </c>
      <c r="C378" t="str">
        <f>VLOOKUP(Fato_Producao[[#This Row],[referencia]], Dim_Produtos!A:B,2,FALSE)</f>
        <v>lascas bacalhau</v>
      </c>
      <c r="D378">
        <v>2853</v>
      </c>
      <c r="E378">
        <v>2600</v>
      </c>
      <c r="F378" s="5">
        <v>8.8700000000000001E-2</v>
      </c>
      <c r="G378" s="6">
        <v>70.84</v>
      </c>
      <c r="H378">
        <v>5</v>
      </c>
      <c r="I378">
        <v>241</v>
      </c>
      <c r="J378">
        <v>7</v>
      </c>
      <c r="K378">
        <f>Fato_Producao[[#This Row],[embalagens_danificadas]]+Fato_Producao[[#This Row],[peso_errado]]+Fato_Producao[[#This Row],[impressao]]</f>
        <v>253</v>
      </c>
      <c r="L378" s="1" t="d">
        <v>2024-05-02</v>
      </c>
      <c r="M378">
        <v>26</v>
      </c>
      <c r="N378" s="7">
        <v>9.2100000000000009</v>
      </c>
      <c r="O378" s="4" t="str">
        <f t="shared" si="15"/>
        <v>maio</v>
      </c>
      <c r="P378" s="4">
        <f t="shared" si="16"/>
        <v>2024</v>
      </c>
      <c r="Q378" s="4" t="str">
        <f t="shared" si="17"/>
        <v/>
      </c>
      <c r="R378" t="s">
        <v>24</v>
      </c>
    </row>
    <row r="379" spans="1:18" x14ac:dyDescent="0.3">
      <c r="A379" s="1" t="d">
        <v>2024-05-29</v>
      </c>
      <c r="B379">
        <v>45507</v>
      </c>
      <c r="C379" t="str">
        <f>VLOOKUP(Fato_Producao[[#This Row],[referencia]], Dim_Produtos!A:B,2,FALSE)</f>
        <v>salmao posta</v>
      </c>
      <c r="D379">
        <v>3841</v>
      </c>
      <c r="E379">
        <v>3603</v>
      </c>
      <c r="F379" s="5">
        <v>6.2E-2</v>
      </c>
      <c r="G379" s="6">
        <v>83.3</v>
      </c>
      <c r="H379">
        <v>17</v>
      </c>
      <c r="I379">
        <v>217</v>
      </c>
      <c r="J379">
        <v>4</v>
      </c>
      <c r="K379">
        <f>Fato_Producao[[#This Row],[embalagens_danificadas]]+Fato_Producao[[#This Row],[peso_errado]]+Fato_Producao[[#This Row],[impressao]]</f>
        <v>238</v>
      </c>
      <c r="L379" s="1" t="d">
        <v>2024-05-02</v>
      </c>
      <c r="M379">
        <v>27</v>
      </c>
      <c r="N379" s="7">
        <v>13.33</v>
      </c>
      <c r="O379" s="4" t="str">
        <f t="shared" si="15"/>
        <v>maio</v>
      </c>
      <c r="P379" s="4">
        <f t="shared" si="16"/>
        <v>2024</v>
      </c>
      <c r="Q379" s="4" t="str">
        <f t="shared" si="17"/>
        <v/>
      </c>
      <c r="R379" t="s">
        <v>24</v>
      </c>
    </row>
    <row r="380" spans="1:18" x14ac:dyDescent="0.3">
      <c r="A380" s="1" t="d">
        <v>2024-05-29</v>
      </c>
      <c r="B380">
        <v>45507</v>
      </c>
      <c r="C380" t="str">
        <f>VLOOKUP(Fato_Producao[[#This Row],[referencia]], Dim_Produtos!A:B,2,FALSE)</f>
        <v>salmao posta</v>
      </c>
      <c r="D380">
        <v>2478</v>
      </c>
      <c r="E380">
        <v>2350</v>
      </c>
      <c r="F380" s="5">
        <v>5.1700000000000003E-2</v>
      </c>
      <c r="G380" s="6">
        <v>44.8</v>
      </c>
      <c r="H380">
        <v>8</v>
      </c>
      <c r="I380">
        <v>117</v>
      </c>
      <c r="J380">
        <v>3</v>
      </c>
      <c r="K380">
        <f>Fato_Producao[[#This Row],[embalagens_danificadas]]+Fato_Producao[[#This Row],[peso_errado]]+Fato_Producao[[#This Row],[impressao]]</f>
        <v>128</v>
      </c>
      <c r="L380" s="1" t="d">
        <v>2024-05-02</v>
      </c>
      <c r="M380">
        <v>27</v>
      </c>
      <c r="N380" s="7">
        <v>7.17</v>
      </c>
      <c r="O380" s="4" t="str">
        <f t="shared" si="15"/>
        <v>maio</v>
      </c>
      <c r="P380" s="4">
        <f t="shared" si="16"/>
        <v>2024</v>
      </c>
      <c r="Q380" s="4" t="str">
        <f t="shared" si="17"/>
        <v/>
      </c>
      <c r="R380" t="s">
        <v>24</v>
      </c>
    </row>
    <row r="381" spans="1:18" x14ac:dyDescent="0.3">
      <c r="A381" s="1" t="d">
        <v>2024-05-30</v>
      </c>
      <c r="B381">
        <v>45502</v>
      </c>
      <c r="C381" t="str">
        <f>VLOOKUP(Fato_Producao[[#This Row],[referencia]], Dim_Produtos!A:B,2,FALSE)</f>
        <v>carapau pelim</v>
      </c>
      <c r="D381">
        <v>2713</v>
      </c>
      <c r="E381">
        <v>2505</v>
      </c>
      <c r="F381" s="5">
        <v>7.6700000000000004E-2</v>
      </c>
      <c r="G381" s="6">
        <v>62.4</v>
      </c>
      <c r="H381">
        <v>47</v>
      </c>
      <c r="I381">
        <v>158</v>
      </c>
      <c r="J381">
        <v>3</v>
      </c>
      <c r="K381">
        <f>Fato_Producao[[#This Row],[embalagens_danificadas]]+Fato_Producao[[#This Row],[peso_errado]]+Fato_Producao[[#This Row],[impressao]]</f>
        <v>208</v>
      </c>
      <c r="L381" s="1" t="d">
        <v>2024-05-02</v>
      </c>
      <c r="M381">
        <v>28</v>
      </c>
      <c r="N381" s="7">
        <v>8.11</v>
      </c>
      <c r="O381" s="4" t="str">
        <f t="shared" si="15"/>
        <v>maio</v>
      </c>
      <c r="P381" s="4">
        <f t="shared" si="16"/>
        <v>2024</v>
      </c>
      <c r="Q381" s="4" t="str">
        <f t="shared" si="17"/>
        <v/>
      </c>
      <c r="R381" t="s">
        <v>24</v>
      </c>
    </row>
    <row r="382" spans="1:18" x14ac:dyDescent="0.3">
      <c r="A382" s="1" t="d">
        <v>2024-05-30</v>
      </c>
      <c r="B382">
        <v>45513</v>
      </c>
      <c r="C382" t="str">
        <f>VLOOKUP(Fato_Producao[[#This Row],[referencia]], Dim_Produtos!A:B,2,FALSE)</f>
        <v>filete pescada</v>
      </c>
      <c r="D382">
        <v>2616</v>
      </c>
      <c r="E382">
        <v>2413</v>
      </c>
      <c r="F382" s="5">
        <v>7.7600000000000002E-2</v>
      </c>
      <c r="G382" s="6">
        <v>64.959999999999994</v>
      </c>
      <c r="H382">
        <v>11</v>
      </c>
      <c r="I382">
        <v>190</v>
      </c>
      <c r="J382">
        <v>2</v>
      </c>
      <c r="K382">
        <f>Fato_Producao[[#This Row],[embalagens_danificadas]]+Fato_Producao[[#This Row],[peso_errado]]+Fato_Producao[[#This Row],[impressao]]</f>
        <v>203</v>
      </c>
      <c r="L382" s="1" t="d">
        <v>2024-05-02</v>
      </c>
      <c r="M382">
        <v>28</v>
      </c>
      <c r="N382" s="7">
        <v>8.44</v>
      </c>
      <c r="O382" s="4" t="str">
        <f t="shared" si="15"/>
        <v>maio</v>
      </c>
      <c r="P382" s="4">
        <f t="shared" si="16"/>
        <v>2024</v>
      </c>
      <c r="Q382" s="4" t="str">
        <f t="shared" si="17"/>
        <v/>
      </c>
      <c r="R382" t="s">
        <v>24</v>
      </c>
    </row>
    <row r="383" spans="1:18" x14ac:dyDescent="0.3">
      <c r="A383" s="1" t="d">
        <v>2024-05-31</v>
      </c>
      <c r="B383">
        <v>45501</v>
      </c>
      <c r="C383" t="str">
        <f>VLOOKUP(Fato_Producao[[#This Row],[referencia]], Dim_Produtos!A:B,2,FALSE)</f>
        <v>pescada posta cozer</v>
      </c>
      <c r="D383">
        <v>3199</v>
      </c>
      <c r="E383">
        <v>2958</v>
      </c>
      <c r="F383" s="5">
        <v>7.5300000000000006E-2</v>
      </c>
      <c r="G383" s="6">
        <v>77.12</v>
      </c>
      <c r="H383">
        <v>12</v>
      </c>
      <c r="I383">
        <v>226</v>
      </c>
      <c r="J383">
        <v>3</v>
      </c>
      <c r="K383">
        <f>Fato_Producao[[#This Row],[embalagens_danificadas]]+Fato_Producao[[#This Row],[peso_errado]]+Fato_Producao[[#This Row],[impressao]]</f>
        <v>241</v>
      </c>
      <c r="L383" s="1" t="d">
        <v>2024-05-02</v>
      </c>
      <c r="M383">
        <v>29</v>
      </c>
      <c r="N383" s="7">
        <v>10.8</v>
      </c>
      <c r="O383" s="4" t="str">
        <f t="shared" si="15"/>
        <v>maio</v>
      </c>
      <c r="P383" s="4">
        <f t="shared" si="16"/>
        <v>2024</v>
      </c>
      <c r="Q383" s="4" t="str">
        <f t="shared" si="17"/>
        <v/>
      </c>
      <c r="R383" t="s">
        <v>24</v>
      </c>
    </row>
    <row r="384" spans="1:18" x14ac:dyDescent="0.3">
      <c r="A384" s="1" t="d">
        <v>2024-06-01</v>
      </c>
      <c r="B384">
        <v>45513</v>
      </c>
      <c r="C384" t="str">
        <f>VLOOKUP(Fato_Producao[[#This Row],[referencia]], Dim_Produtos!A:B,2,FALSE)</f>
        <v>filete pescada</v>
      </c>
      <c r="D384">
        <v>3837</v>
      </c>
      <c r="E384">
        <v>3586</v>
      </c>
      <c r="F384" s="5">
        <v>6.54E-2</v>
      </c>
      <c r="G384" s="6">
        <v>80.319999999999993</v>
      </c>
      <c r="H384">
        <v>16</v>
      </c>
      <c r="I384">
        <v>232</v>
      </c>
      <c r="J384">
        <v>3</v>
      </c>
      <c r="K384">
        <f>Fato_Producao[[#This Row],[embalagens_danificadas]]+Fato_Producao[[#This Row],[peso_errado]]+Fato_Producao[[#This Row],[impressao]]</f>
        <v>251</v>
      </c>
      <c r="L384" s="1" t="d">
        <v>2024-05-02</v>
      </c>
      <c r="M384">
        <v>30</v>
      </c>
      <c r="N384" s="7">
        <v>10.44</v>
      </c>
      <c r="O384" s="4" t="str">
        <f t="shared" si="15"/>
        <v>junho</v>
      </c>
      <c r="P384" s="4">
        <f t="shared" si="16"/>
        <v>2024</v>
      </c>
      <c r="Q384" s="4" t="str">
        <f t="shared" si="17"/>
        <v/>
      </c>
      <c r="R384" t="s">
        <v>24</v>
      </c>
    </row>
    <row r="385" spans="1:18" x14ac:dyDescent="0.3">
      <c r="A385" s="1" t="d">
        <v>2024-06-02</v>
      </c>
      <c r="B385">
        <v>45509</v>
      </c>
      <c r="C385" t="str">
        <f>VLOOKUP(Fato_Producao[[#This Row],[referencia]], Dim_Produtos!A:B,2,FALSE)</f>
        <v>lascas bacalhau</v>
      </c>
      <c r="D385">
        <v>3969</v>
      </c>
      <c r="E385">
        <v>3627</v>
      </c>
      <c r="F385" s="5">
        <v>8.6199999999999999E-2</v>
      </c>
      <c r="G385" s="6">
        <v>95.76</v>
      </c>
      <c r="H385">
        <v>8</v>
      </c>
      <c r="I385">
        <v>328</v>
      </c>
      <c r="J385">
        <v>6</v>
      </c>
      <c r="K385">
        <f>Fato_Producao[[#This Row],[embalagens_danificadas]]+Fato_Producao[[#This Row],[peso_errado]]+Fato_Producao[[#This Row],[impressao]]</f>
        <v>342</v>
      </c>
      <c r="L385" s="1" t="d">
        <v>2024-05-02</v>
      </c>
      <c r="M385">
        <v>31</v>
      </c>
      <c r="N385" s="7">
        <v>12.45</v>
      </c>
      <c r="O385" s="4" t="str">
        <f t="shared" si="15"/>
        <v>junho</v>
      </c>
      <c r="P385" s="4">
        <f t="shared" si="16"/>
        <v>2024</v>
      </c>
      <c r="Q385" s="4" t="str">
        <f t="shared" si="17"/>
        <v/>
      </c>
      <c r="R385" t="s">
        <v>24</v>
      </c>
    </row>
    <row r="386" spans="1:18" x14ac:dyDescent="0.3">
      <c r="A386" s="1" t="d">
        <v>2024-06-02</v>
      </c>
      <c r="B386">
        <v>45506</v>
      </c>
      <c r="C386" t="str">
        <f>VLOOKUP(Fato_Producao[[#This Row],[referencia]], Dim_Produtos!A:B,2,FALSE)</f>
        <v>perca posta</v>
      </c>
      <c r="D386">
        <v>3531</v>
      </c>
      <c r="E386">
        <v>3291</v>
      </c>
      <c r="F386" s="5">
        <v>6.8000000000000005E-2</v>
      </c>
      <c r="G386" s="6">
        <v>84</v>
      </c>
      <c r="H386">
        <v>11</v>
      </c>
      <c r="I386">
        <v>226</v>
      </c>
      <c r="J386">
        <v>3</v>
      </c>
      <c r="K386">
        <f>Fato_Producao[[#This Row],[embalagens_danificadas]]+Fato_Producao[[#This Row],[peso_errado]]+Fato_Producao[[#This Row],[impressao]]</f>
        <v>240</v>
      </c>
      <c r="L386" s="1" t="d">
        <v>2024-05-02</v>
      </c>
      <c r="M386">
        <v>31</v>
      </c>
      <c r="N386" s="7">
        <v>12.6</v>
      </c>
      <c r="O386" s="4" t="str">
        <f t="shared" ref="O386:O449" si="18">TEXT(A386, "mmmm")</f>
        <v>junho</v>
      </c>
      <c r="P386" s="4">
        <f t="shared" ref="P386:P449" si="19">YEAR(A386)</f>
        <v>2024</v>
      </c>
      <c r="Q386" s="4" t="str">
        <f t="shared" ref="Q386:Q449" si="20">IF(M387 &gt;= M386, "", M386)</f>
        <v/>
      </c>
      <c r="R386" t="s">
        <v>24</v>
      </c>
    </row>
    <row r="387" spans="1:18" x14ac:dyDescent="0.3">
      <c r="A387" s="1" t="d">
        <v>2024-06-03</v>
      </c>
      <c r="B387">
        <v>45505</v>
      </c>
      <c r="C387" t="str">
        <f>VLOOKUP(Fato_Producao[[#This Row],[referencia]], Dim_Produtos!A:B,2,FALSE)</f>
        <v>camarao</v>
      </c>
      <c r="D387">
        <v>1867</v>
      </c>
      <c r="E387">
        <v>1715</v>
      </c>
      <c r="F387" s="5">
        <v>8.14E-2</v>
      </c>
      <c r="G387" s="6">
        <v>45.6</v>
      </c>
      <c r="H387">
        <v>37</v>
      </c>
      <c r="I387">
        <v>111</v>
      </c>
      <c r="J387">
        <v>4</v>
      </c>
      <c r="K387">
        <f>Fato_Producao[[#This Row],[embalagens_danificadas]]+Fato_Producao[[#This Row],[peso_errado]]+Fato_Producao[[#This Row],[impressao]]</f>
        <v>152</v>
      </c>
      <c r="L387" s="1" t="d">
        <v>2024-05-02</v>
      </c>
      <c r="M387">
        <v>32</v>
      </c>
      <c r="N387" s="7">
        <v>6.84</v>
      </c>
      <c r="O387" s="4" t="str">
        <f t="shared" si="18"/>
        <v>junho</v>
      </c>
      <c r="P387" s="4">
        <f t="shared" si="19"/>
        <v>2024</v>
      </c>
      <c r="Q387" s="4" t="str">
        <f t="shared" si="20"/>
        <v/>
      </c>
      <c r="R387" t="s">
        <v>24</v>
      </c>
    </row>
    <row r="388" spans="1:18" x14ac:dyDescent="0.3">
      <c r="A388" s="1" t="d">
        <v>2024-06-04</v>
      </c>
      <c r="B388">
        <v>45504</v>
      </c>
      <c r="C388" t="str">
        <f>VLOOKUP(Fato_Producao[[#This Row],[referencia]], Dim_Produtos!A:B,2,FALSE)</f>
        <v>pescada posta fritar</v>
      </c>
      <c r="D388">
        <v>3202</v>
      </c>
      <c r="E388">
        <v>2968</v>
      </c>
      <c r="F388" s="5">
        <v>7.3099999999999998E-2</v>
      </c>
      <c r="G388" s="6">
        <v>74.88</v>
      </c>
      <c r="H388">
        <v>10</v>
      </c>
      <c r="I388">
        <v>221</v>
      </c>
      <c r="J388">
        <v>3</v>
      </c>
      <c r="K388">
        <f>Fato_Producao[[#This Row],[embalagens_danificadas]]+Fato_Producao[[#This Row],[peso_errado]]+Fato_Producao[[#This Row],[impressao]]</f>
        <v>234</v>
      </c>
      <c r="L388" s="1" t="d">
        <v>2024-05-02</v>
      </c>
      <c r="M388">
        <v>33</v>
      </c>
      <c r="N388" s="7">
        <v>10.48</v>
      </c>
      <c r="O388" s="4" t="str">
        <f t="shared" si="18"/>
        <v>junho</v>
      </c>
      <c r="P388" s="4">
        <f t="shared" si="19"/>
        <v>2024</v>
      </c>
      <c r="Q388" s="4" t="str">
        <f t="shared" si="20"/>
        <v/>
      </c>
      <c r="R388" t="s">
        <v>24</v>
      </c>
    </row>
    <row r="389" spans="1:18" x14ac:dyDescent="0.3">
      <c r="A389" s="1" t="d">
        <v>2024-06-05</v>
      </c>
      <c r="B389">
        <v>45514</v>
      </c>
      <c r="C389" t="str">
        <f>VLOOKUP(Fato_Producao[[#This Row],[referencia]], Dim_Produtos!A:B,2,FALSE)</f>
        <v>sardinha pequena</v>
      </c>
      <c r="D389">
        <v>2803</v>
      </c>
      <c r="E389">
        <v>2527</v>
      </c>
      <c r="F389" s="5">
        <v>9.8500000000000004E-2</v>
      </c>
      <c r="G389" s="6">
        <v>82.8</v>
      </c>
      <c r="H389">
        <v>7</v>
      </c>
      <c r="I389">
        <v>263</v>
      </c>
      <c r="J389">
        <v>6</v>
      </c>
      <c r="K389">
        <f>Fato_Producao[[#This Row],[embalagens_danificadas]]+Fato_Producao[[#This Row],[peso_errado]]+Fato_Producao[[#This Row],[impressao]]</f>
        <v>276</v>
      </c>
      <c r="L389" s="1" t="d">
        <v>2024-05-02</v>
      </c>
      <c r="M389">
        <v>34</v>
      </c>
      <c r="N389" s="7">
        <v>9.94</v>
      </c>
      <c r="O389" s="4" t="str">
        <f t="shared" si="18"/>
        <v>junho</v>
      </c>
      <c r="P389" s="4">
        <f t="shared" si="19"/>
        <v>2024</v>
      </c>
      <c r="Q389" s="4" t="str">
        <f t="shared" si="20"/>
        <v/>
      </c>
      <c r="R389" t="s">
        <v>24</v>
      </c>
    </row>
    <row r="390" spans="1:18" x14ac:dyDescent="0.3">
      <c r="A390" s="1" t="d">
        <v>2024-06-05</v>
      </c>
      <c r="B390">
        <v>45500</v>
      </c>
      <c r="C390" t="str">
        <f>VLOOKUP(Fato_Producao[[#This Row],[referencia]], Dim_Produtos!A:B,2,FALSE)</f>
        <v>filete pescada</v>
      </c>
      <c r="D390">
        <v>3427</v>
      </c>
      <c r="E390">
        <v>3199</v>
      </c>
      <c r="F390" s="5">
        <v>6.6500000000000004E-2</v>
      </c>
      <c r="G390" s="6">
        <v>63.84</v>
      </c>
      <c r="H390">
        <v>6</v>
      </c>
      <c r="I390">
        <v>216</v>
      </c>
      <c r="J390">
        <v>6</v>
      </c>
      <c r="K390">
        <f>Fato_Producao[[#This Row],[embalagens_danificadas]]+Fato_Producao[[#This Row],[peso_errado]]+Fato_Producao[[#This Row],[impressao]]</f>
        <v>228</v>
      </c>
      <c r="L390" s="1" t="d">
        <v>2024-05-02</v>
      </c>
      <c r="M390">
        <v>34</v>
      </c>
      <c r="N390" s="7">
        <v>7.66</v>
      </c>
      <c r="O390" s="4" t="str">
        <f t="shared" si="18"/>
        <v>junho</v>
      </c>
      <c r="P390" s="4">
        <f t="shared" si="19"/>
        <v>2024</v>
      </c>
      <c r="Q390" s="4" t="str">
        <f t="shared" si="20"/>
        <v/>
      </c>
      <c r="R390" t="s">
        <v>24</v>
      </c>
    </row>
    <row r="391" spans="1:18" x14ac:dyDescent="0.3">
      <c r="A391" s="1" t="d">
        <v>2024-06-06</v>
      </c>
      <c r="B391">
        <v>45505</v>
      </c>
      <c r="C391" t="str">
        <f>VLOOKUP(Fato_Producao[[#This Row],[referencia]], Dim_Produtos!A:B,2,FALSE)</f>
        <v>camarao</v>
      </c>
      <c r="D391">
        <v>3584</v>
      </c>
      <c r="E391">
        <v>3302</v>
      </c>
      <c r="F391" s="5">
        <v>7.8700000000000006E-2</v>
      </c>
      <c r="G391" s="6">
        <v>84.6</v>
      </c>
      <c r="H391">
        <v>69</v>
      </c>
      <c r="I391">
        <v>204</v>
      </c>
      <c r="J391">
        <v>9</v>
      </c>
      <c r="K391">
        <f>Fato_Producao[[#This Row],[embalagens_danificadas]]+Fato_Producao[[#This Row],[peso_errado]]+Fato_Producao[[#This Row],[impressao]]</f>
        <v>282</v>
      </c>
      <c r="L391" s="1" t="d">
        <v>2024-05-02</v>
      </c>
      <c r="M391">
        <v>35</v>
      </c>
      <c r="N391" s="7">
        <v>12.69</v>
      </c>
      <c r="O391" s="4" t="str">
        <f t="shared" si="18"/>
        <v>junho</v>
      </c>
      <c r="P391" s="4">
        <f t="shared" si="19"/>
        <v>2024</v>
      </c>
      <c r="Q391" s="4" t="str">
        <f t="shared" si="20"/>
        <v/>
      </c>
      <c r="R391" t="s">
        <v>24</v>
      </c>
    </row>
    <row r="392" spans="1:18" x14ac:dyDescent="0.3">
      <c r="A392" s="1" t="d">
        <v>2024-06-07</v>
      </c>
      <c r="B392">
        <v>45504</v>
      </c>
      <c r="C392" t="str">
        <f>VLOOKUP(Fato_Producao[[#This Row],[referencia]], Dim_Produtos!A:B,2,FALSE)</f>
        <v>pescada posta fritar</v>
      </c>
      <c r="D392">
        <v>2456</v>
      </c>
      <c r="E392">
        <v>2247</v>
      </c>
      <c r="F392" s="5">
        <v>8.5099999999999995E-2</v>
      </c>
      <c r="G392" s="6">
        <v>66.88</v>
      </c>
      <c r="H392">
        <v>8</v>
      </c>
      <c r="I392">
        <v>196</v>
      </c>
      <c r="J392">
        <v>5</v>
      </c>
      <c r="K392">
        <f>Fato_Producao[[#This Row],[embalagens_danificadas]]+Fato_Producao[[#This Row],[peso_errado]]+Fato_Producao[[#This Row],[impressao]]</f>
        <v>209</v>
      </c>
      <c r="L392" s="1" t="d">
        <v>2024-05-02</v>
      </c>
      <c r="M392">
        <v>36</v>
      </c>
      <c r="N392" s="7">
        <v>9.36</v>
      </c>
      <c r="O392" s="4" t="str">
        <f t="shared" si="18"/>
        <v>junho</v>
      </c>
      <c r="P392" s="4">
        <f t="shared" si="19"/>
        <v>2024</v>
      </c>
      <c r="Q392" s="4" t="str">
        <f t="shared" si="20"/>
        <v/>
      </c>
      <c r="R392" t="s">
        <v>24</v>
      </c>
    </row>
    <row r="393" spans="1:18" x14ac:dyDescent="0.3">
      <c r="A393" s="1" t="d">
        <v>2024-06-08</v>
      </c>
      <c r="B393">
        <v>45514</v>
      </c>
      <c r="C393" t="str">
        <f>VLOOKUP(Fato_Producao[[#This Row],[referencia]], Dim_Produtos!A:B,2,FALSE)</f>
        <v>sardinha pequena</v>
      </c>
      <c r="D393">
        <v>4093</v>
      </c>
      <c r="E393">
        <v>3710</v>
      </c>
      <c r="F393" s="5">
        <v>9.3600000000000003E-2</v>
      </c>
      <c r="G393" s="6">
        <v>114.9</v>
      </c>
      <c r="H393">
        <v>14</v>
      </c>
      <c r="I393">
        <v>364</v>
      </c>
      <c r="J393">
        <v>5</v>
      </c>
      <c r="K393">
        <f>Fato_Producao[[#This Row],[embalagens_danificadas]]+Fato_Producao[[#This Row],[peso_errado]]+Fato_Producao[[#This Row],[impressao]]</f>
        <v>383</v>
      </c>
      <c r="L393" s="1" t="d">
        <v>2024-05-02</v>
      </c>
      <c r="M393">
        <v>37</v>
      </c>
      <c r="N393" s="7">
        <v>13.79</v>
      </c>
      <c r="O393" s="4" t="str">
        <f t="shared" si="18"/>
        <v>junho</v>
      </c>
      <c r="P393" s="4">
        <f t="shared" si="19"/>
        <v>2024</v>
      </c>
      <c r="Q393" s="4" t="str">
        <f t="shared" si="20"/>
        <v/>
      </c>
      <c r="R393" t="s">
        <v>24</v>
      </c>
    </row>
    <row r="394" spans="1:18" x14ac:dyDescent="0.3">
      <c r="A394" s="1" t="d">
        <v>2024-06-09</v>
      </c>
      <c r="B394">
        <v>45503</v>
      </c>
      <c r="C394" t="str">
        <f>VLOOKUP(Fato_Producao[[#This Row],[referencia]], Dim_Produtos!A:B,2,FALSE)</f>
        <v>sardinha pequena</v>
      </c>
      <c r="D394">
        <v>3760</v>
      </c>
      <c r="E394">
        <v>3446</v>
      </c>
      <c r="F394" s="5">
        <v>8.3500000000000005E-2</v>
      </c>
      <c r="G394" s="6">
        <v>81.64</v>
      </c>
      <c r="H394">
        <v>12</v>
      </c>
      <c r="I394">
        <v>293</v>
      </c>
      <c r="J394">
        <v>9</v>
      </c>
      <c r="K394">
        <f>Fato_Producao[[#This Row],[embalagens_danificadas]]+Fato_Producao[[#This Row],[peso_errado]]+Fato_Producao[[#This Row],[impressao]]</f>
        <v>314</v>
      </c>
      <c r="L394" s="1" t="d">
        <v>2024-05-02</v>
      </c>
      <c r="M394">
        <v>38</v>
      </c>
      <c r="N394" s="7">
        <v>8.98</v>
      </c>
      <c r="O394" s="4" t="str">
        <f t="shared" si="18"/>
        <v>junho</v>
      </c>
      <c r="P394" s="4">
        <f t="shared" si="19"/>
        <v>2024</v>
      </c>
      <c r="Q394" s="4" t="str">
        <f t="shared" si="20"/>
        <v/>
      </c>
      <c r="R394" t="s">
        <v>24</v>
      </c>
    </row>
    <row r="395" spans="1:18" x14ac:dyDescent="0.3">
      <c r="A395" s="1" t="d">
        <v>2024-06-09</v>
      </c>
      <c r="B395">
        <v>45514</v>
      </c>
      <c r="C395" t="str">
        <f>VLOOKUP(Fato_Producao[[#This Row],[referencia]], Dim_Produtos!A:B,2,FALSE)</f>
        <v>sardinha pequena</v>
      </c>
      <c r="D395">
        <v>2494</v>
      </c>
      <c r="E395">
        <v>2295</v>
      </c>
      <c r="F395" s="5">
        <v>7.9799999999999996E-2</v>
      </c>
      <c r="G395" s="6">
        <v>59.7</v>
      </c>
      <c r="H395">
        <v>12</v>
      </c>
      <c r="I395">
        <v>184</v>
      </c>
      <c r="J395">
        <v>3</v>
      </c>
      <c r="K395">
        <f>Fato_Producao[[#This Row],[embalagens_danificadas]]+Fato_Producao[[#This Row],[peso_errado]]+Fato_Producao[[#This Row],[impressao]]</f>
        <v>199</v>
      </c>
      <c r="L395" s="1" t="d">
        <v>2024-05-02</v>
      </c>
      <c r="M395">
        <v>38</v>
      </c>
      <c r="N395" s="7">
        <v>7.16</v>
      </c>
      <c r="O395" s="4" t="str">
        <f t="shared" si="18"/>
        <v>junho</v>
      </c>
      <c r="P395" s="4">
        <f t="shared" si="19"/>
        <v>2024</v>
      </c>
      <c r="Q395" s="4" t="str">
        <f t="shared" si="20"/>
        <v/>
      </c>
      <c r="R395" t="s">
        <v>24</v>
      </c>
    </row>
    <row r="396" spans="1:18" x14ac:dyDescent="0.3">
      <c r="A396" s="1" t="d">
        <v>2024-06-10</v>
      </c>
      <c r="B396">
        <v>45514</v>
      </c>
      <c r="C396" t="str">
        <f>VLOOKUP(Fato_Producao[[#This Row],[referencia]], Dim_Produtos!A:B,2,FALSE)</f>
        <v>sardinha pequena</v>
      </c>
      <c r="D396">
        <v>3746</v>
      </c>
      <c r="E396">
        <v>3479</v>
      </c>
      <c r="F396" s="5">
        <v>7.1300000000000002E-2</v>
      </c>
      <c r="G396" s="6">
        <v>80.099999999999994</v>
      </c>
      <c r="H396">
        <v>4</v>
      </c>
      <c r="I396">
        <v>255</v>
      </c>
      <c r="J396">
        <v>8</v>
      </c>
      <c r="K396">
        <f>Fato_Producao[[#This Row],[embalagens_danificadas]]+Fato_Producao[[#This Row],[peso_errado]]+Fato_Producao[[#This Row],[impressao]]</f>
        <v>267</v>
      </c>
      <c r="L396" s="1" t="d">
        <v>2024-05-02</v>
      </c>
      <c r="M396">
        <v>39</v>
      </c>
      <c r="N396" s="7">
        <v>9.61</v>
      </c>
      <c r="O396" s="4" t="str">
        <f t="shared" si="18"/>
        <v>junho</v>
      </c>
      <c r="P396" s="4">
        <f t="shared" si="19"/>
        <v>2024</v>
      </c>
      <c r="Q396" s="4" t="str">
        <f t="shared" si="20"/>
        <v/>
      </c>
      <c r="R396" t="s">
        <v>24</v>
      </c>
    </row>
    <row r="397" spans="1:18" x14ac:dyDescent="0.3">
      <c r="A397" s="1" t="d">
        <v>2024-06-10</v>
      </c>
      <c r="B397">
        <v>45501</v>
      </c>
      <c r="C397" t="str">
        <f>VLOOKUP(Fato_Producao[[#This Row],[referencia]], Dim_Produtos!A:B,2,FALSE)</f>
        <v>pescada posta cozer</v>
      </c>
      <c r="D397">
        <v>2403</v>
      </c>
      <c r="E397">
        <v>2129</v>
      </c>
      <c r="F397" s="5">
        <v>0.114</v>
      </c>
      <c r="G397" s="6">
        <v>87.68</v>
      </c>
      <c r="H397">
        <v>8</v>
      </c>
      <c r="I397">
        <v>260</v>
      </c>
      <c r="J397">
        <v>6</v>
      </c>
      <c r="K397">
        <f>Fato_Producao[[#This Row],[embalagens_danificadas]]+Fato_Producao[[#This Row],[peso_errado]]+Fato_Producao[[#This Row],[impressao]]</f>
        <v>274</v>
      </c>
      <c r="L397" s="1" t="d">
        <v>2024-05-02</v>
      </c>
      <c r="M397">
        <v>39</v>
      </c>
      <c r="N397" s="7">
        <v>12.28</v>
      </c>
      <c r="O397" s="4" t="str">
        <f t="shared" si="18"/>
        <v>junho</v>
      </c>
      <c r="P397" s="4">
        <f t="shared" si="19"/>
        <v>2024</v>
      </c>
      <c r="Q397" s="4" t="str">
        <f t="shared" si="20"/>
        <v/>
      </c>
      <c r="R397" t="s">
        <v>24</v>
      </c>
    </row>
    <row r="398" spans="1:18" x14ac:dyDescent="0.3">
      <c r="A398" s="1" t="d">
        <v>2024-06-11</v>
      </c>
      <c r="B398">
        <v>45514</v>
      </c>
      <c r="C398" t="str">
        <f>VLOOKUP(Fato_Producao[[#This Row],[referencia]], Dim_Produtos!A:B,2,FALSE)</f>
        <v>sardinha pequena</v>
      </c>
      <c r="D398">
        <v>3663</v>
      </c>
      <c r="E398">
        <v>3328</v>
      </c>
      <c r="F398" s="5">
        <v>9.1499999999999998E-2</v>
      </c>
      <c r="G398" s="6">
        <v>100.5</v>
      </c>
      <c r="H398">
        <v>11</v>
      </c>
      <c r="I398">
        <v>320</v>
      </c>
      <c r="J398">
        <v>4</v>
      </c>
      <c r="K398">
        <f>Fato_Producao[[#This Row],[embalagens_danificadas]]+Fato_Producao[[#This Row],[peso_errado]]+Fato_Producao[[#This Row],[impressao]]</f>
        <v>335</v>
      </c>
      <c r="L398" s="1" t="d">
        <v>2024-05-02</v>
      </c>
      <c r="M398">
        <v>40</v>
      </c>
      <c r="N398" s="7">
        <v>12.06</v>
      </c>
      <c r="O398" s="4" t="str">
        <f t="shared" si="18"/>
        <v>junho</v>
      </c>
      <c r="P398" s="4">
        <f t="shared" si="19"/>
        <v>2024</v>
      </c>
      <c r="Q398" s="4" t="str">
        <f t="shared" si="20"/>
        <v/>
      </c>
      <c r="R398" t="s">
        <v>24</v>
      </c>
    </row>
    <row r="399" spans="1:18" x14ac:dyDescent="0.3">
      <c r="A399" s="1" t="d">
        <v>2024-06-11</v>
      </c>
      <c r="B399">
        <v>45505</v>
      </c>
      <c r="C399" t="str">
        <f>VLOOKUP(Fato_Producao[[#This Row],[referencia]], Dim_Produtos!A:B,2,FALSE)</f>
        <v>camarao</v>
      </c>
      <c r="D399">
        <v>3146</v>
      </c>
      <c r="E399">
        <v>2839</v>
      </c>
      <c r="F399" s="5">
        <v>9.7600000000000006E-2</v>
      </c>
      <c r="G399" s="6">
        <v>92.1</v>
      </c>
      <c r="H399">
        <v>77</v>
      </c>
      <c r="I399">
        <v>221</v>
      </c>
      <c r="J399">
        <v>9</v>
      </c>
      <c r="K399">
        <f>Fato_Producao[[#This Row],[embalagens_danificadas]]+Fato_Producao[[#This Row],[peso_errado]]+Fato_Producao[[#This Row],[impressao]]</f>
        <v>307</v>
      </c>
      <c r="L399" s="1" t="d">
        <v>2024-05-02</v>
      </c>
      <c r="M399">
        <v>40</v>
      </c>
      <c r="N399" s="7">
        <v>13.81</v>
      </c>
      <c r="O399" s="4" t="str">
        <f t="shared" si="18"/>
        <v>junho</v>
      </c>
      <c r="P399" s="4">
        <f t="shared" si="19"/>
        <v>2024</v>
      </c>
      <c r="Q399" s="4" t="str">
        <f t="shared" si="20"/>
        <v/>
      </c>
      <c r="R399" t="s">
        <v>24</v>
      </c>
    </row>
    <row r="400" spans="1:18" x14ac:dyDescent="0.3">
      <c r="A400" s="1" t="d">
        <v>2024-06-12</v>
      </c>
      <c r="B400">
        <v>45501</v>
      </c>
      <c r="C400" t="str">
        <f>VLOOKUP(Fato_Producao[[#This Row],[referencia]], Dim_Produtos!A:B,2,FALSE)</f>
        <v>pescada posta cozer</v>
      </c>
      <c r="D400">
        <v>1821</v>
      </c>
      <c r="E400">
        <v>1647</v>
      </c>
      <c r="F400" s="5">
        <v>9.5600000000000004E-2</v>
      </c>
      <c r="G400" s="6">
        <v>55.68</v>
      </c>
      <c r="H400">
        <v>11</v>
      </c>
      <c r="I400">
        <v>160</v>
      </c>
      <c r="J400">
        <v>3</v>
      </c>
      <c r="K400">
        <f>Fato_Producao[[#This Row],[embalagens_danificadas]]+Fato_Producao[[#This Row],[peso_errado]]+Fato_Producao[[#This Row],[impressao]]</f>
        <v>174</v>
      </c>
      <c r="L400" s="1" t="d">
        <v>2024-05-02</v>
      </c>
      <c r="M400">
        <v>41</v>
      </c>
      <c r="N400" s="7">
        <v>7.8</v>
      </c>
      <c r="O400" s="4" t="str">
        <f t="shared" si="18"/>
        <v>junho</v>
      </c>
      <c r="P400" s="4">
        <f t="shared" si="19"/>
        <v>2024</v>
      </c>
      <c r="Q400" s="4" t="str">
        <f t="shared" si="20"/>
        <v/>
      </c>
      <c r="R400" t="s">
        <v>24</v>
      </c>
    </row>
    <row r="401" spans="1:18" x14ac:dyDescent="0.3">
      <c r="A401" s="1" t="d">
        <v>2024-06-12</v>
      </c>
      <c r="B401">
        <v>45511</v>
      </c>
      <c r="C401" t="str">
        <f>VLOOKUP(Fato_Producao[[#This Row],[referencia]], Dim_Produtos!A:B,2,FALSE)</f>
        <v>lula limpa</v>
      </c>
      <c r="D401">
        <v>4041</v>
      </c>
      <c r="E401">
        <v>3602</v>
      </c>
      <c r="F401" s="5">
        <v>0.1086</v>
      </c>
      <c r="G401" s="6">
        <v>140.47999999999999</v>
      </c>
      <c r="H401">
        <v>58</v>
      </c>
      <c r="I401">
        <v>372</v>
      </c>
      <c r="J401">
        <v>9</v>
      </c>
      <c r="K401">
        <f>Fato_Producao[[#This Row],[embalagens_danificadas]]+Fato_Producao[[#This Row],[peso_errado]]+Fato_Producao[[#This Row],[impressao]]</f>
        <v>439</v>
      </c>
      <c r="L401" s="1" t="d">
        <v>2024-05-02</v>
      </c>
      <c r="M401">
        <v>41</v>
      </c>
      <c r="N401" s="7">
        <v>19.670000000000002</v>
      </c>
      <c r="O401" s="4" t="str">
        <f t="shared" si="18"/>
        <v>junho</v>
      </c>
      <c r="P401" s="4">
        <f t="shared" si="19"/>
        <v>2024</v>
      </c>
      <c r="Q401" s="4" t="str">
        <f t="shared" si="20"/>
        <v/>
      </c>
      <c r="R401" t="s">
        <v>24</v>
      </c>
    </row>
    <row r="402" spans="1:18" x14ac:dyDescent="0.3">
      <c r="A402" s="1" t="d">
        <v>2024-06-13</v>
      </c>
      <c r="B402">
        <v>45502</v>
      </c>
      <c r="C402" t="str">
        <f>VLOOKUP(Fato_Producao[[#This Row],[referencia]], Dim_Produtos!A:B,2,FALSE)</f>
        <v>carapau pelim</v>
      </c>
      <c r="D402">
        <v>1818</v>
      </c>
      <c r="E402">
        <v>1660</v>
      </c>
      <c r="F402" s="5">
        <v>8.6900000000000005E-2</v>
      </c>
      <c r="G402" s="6">
        <v>47.4</v>
      </c>
      <c r="H402">
        <v>30</v>
      </c>
      <c r="I402">
        <v>126</v>
      </c>
      <c r="J402">
        <v>2</v>
      </c>
      <c r="K402">
        <f>Fato_Producao[[#This Row],[embalagens_danificadas]]+Fato_Producao[[#This Row],[peso_errado]]+Fato_Producao[[#This Row],[impressao]]</f>
        <v>158</v>
      </c>
      <c r="L402" s="1" t="d">
        <v>2024-05-02</v>
      </c>
      <c r="M402">
        <v>42</v>
      </c>
      <c r="N402" s="7">
        <v>6.16</v>
      </c>
      <c r="O402" s="4" t="str">
        <f t="shared" si="18"/>
        <v>junho</v>
      </c>
      <c r="P402" s="4">
        <f t="shared" si="19"/>
        <v>2024</v>
      </c>
      <c r="Q402" s="4" t="str">
        <f t="shared" si="20"/>
        <v/>
      </c>
      <c r="R402" t="s">
        <v>24</v>
      </c>
    </row>
    <row r="403" spans="1:18" x14ac:dyDescent="0.3">
      <c r="A403" s="1" t="d">
        <v>2024-06-13</v>
      </c>
      <c r="B403">
        <v>45507</v>
      </c>
      <c r="C403" t="str">
        <f>VLOOKUP(Fato_Producao[[#This Row],[referencia]], Dim_Produtos!A:B,2,FALSE)</f>
        <v>salmao posta</v>
      </c>
      <c r="D403">
        <v>4035</v>
      </c>
      <c r="E403">
        <v>3739</v>
      </c>
      <c r="F403" s="5">
        <v>7.3400000000000007E-2</v>
      </c>
      <c r="G403" s="6">
        <v>103.6</v>
      </c>
      <c r="H403">
        <v>7</v>
      </c>
      <c r="I403">
        <v>281</v>
      </c>
      <c r="J403">
        <v>8</v>
      </c>
      <c r="K403">
        <f>Fato_Producao[[#This Row],[embalagens_danificadas]]+Fato_Producao[[#This Row],[peso_errado]]+Fato_Producao[[#This Row],[impressao]]</f>
        <v>296</v>
      </c>
      <c r="L403" s="1" t="d">
        <v>2024-05-02</v>
      </c>
      <c r="M403">
        <v>42</v>
      </c>
      <c r="N403" s="7">
        <v>16.579999999999998</v>
      </c>
      <c r="O403" s="4" t="str">
        <f t="shared" si="18"/>
        <v>junho</v>
      </c>
      <c r="P403" s="4">
        <f t="shared" si="19"/>
        <v>2024</v>
      </c>
      <c r="Q403" s="4" t="str">
        <f t="shared" si="20"/>
        <v/>
      </c>
      <c r="R403" t="s">
        <v>24</v>
      </c>
    </row>
    <row r="404" spans="1:18" x14ac:dyDescent="0.3">
      <c r="A404" s="1" t="d">
        <v>2024-06-14</v>
      </c>
      <c r="B404">
        <v>45507</v>
      </c>
      <c r="C404" t="str">
        <f>VLOOKUP(Fato_Producao[[#This Row],[referencia]], Dim_Produtos!A:B,2,FALSE)</f>
        <v>salmao posta</v>
      </c>
      <c r="D404">
        <v>2601</v>
      </c>
      <c r="E404">
        <v>2403</v>
      </c>
      <c r="F404" s="5">
        <v>7.6100000000000001E-2</v>
      </c>
      <c r="G404" s="6">
        <v>69.3</v>
      </c>
      <c r="H404">
        <v>14</v>
      </c>
      <c r="I404">
        <v>181</v>
      </c>
      <c r="J404">
        <v>3</v>
      </c>
      <c r="K404">
        <f>Fato_Producao[[#This Row],[embalagens_danificadas]]+Fato_Producao[[#This Row],[peso_errado]]+Fato_Producao[[#This Row],[impressao]]</f>
        <v>198</v>
      </c>
      <c r="L404" s="1" t="d">
        <v>2024-05-02</v>
      </c>
      <c r="M404">
        <v>43</v>
      </c>
      <c r="N404" s="7">
        <v>11.09</v>
      </c>
      <c r="O404" s="4" t="str">
        <f t="shared" si="18"/>
        <v>junho</v>
      </c>
      <c r="P404" s="4">
        <f t="shared" si="19"/>
        <v>2024</v>
      </c>
      <c r="Q404" s="4" t="str">
        <f t="shared" si="20"/>
        <v/>
      </c>
      <c r="R404" t="s">
        <v>24</v>
      </c>
    </row>
    <row r="405" spans="1:18" x14ac:dyDescent="0.3">
      <c r="A405" s="1" t="d">
        <v>2024-06-14</v>
      </c>
      <c r="B405">
        <v>45502</v>
      </c>
      <c r="C405" t="str">
        <f>VLOOKUP(Fato_Producao[[#This Row],[referencia]], Dim_Produtos!A:B,2,FALSE)</f>
        <v>carapau pelim</v>
      </c>
      <c r="D405">
        <v>2709</v>
      </c>
      <c r="E405">
        <v>2489</v>
      </c>
      <c r="F405" s="5">
        <v>8.1199999999999994E-2</v>
      </c>
      <c r="G405" s="6">
        <v>66</v>
      </c>
      <c r="H405">
        <v>68</v>
      </c>
      <c r="I405">
        <v>149</v>
      </c>
      <c r="J405">
        <v>3</v>
      </c>
      <c r="K405">
        <f>Fato_Producao[[#This Row],[embalagens_danificadas]]+Fato_Producao[[#This Row],[peso_errado]]+Fato_Producao[[#This Row],[impressao]]</f>
        <v>220</v>
      </c>
      <c r="L405" s="1" t="d">
        <v>2024-05-02</v>
      </c>
      <c r="M405">
        <v>43</v>
      </c>
      <c r="N405" s="7">
        <v>8.58</v>
      </c>
      <c r="O405" s="4" t="str">
        <f t="shared" si="18"/>
        <v>junho</v>
      </c>
      <c r="P405" s="4">
        <f t="shared" si="19"/>
        <v>2024</v>
      </c>
      <c r="Q405" s="4" t="str">
        <f t="shared" si="20"/>
        <v/>
      </c>
      <c r="R405" t="s">
        <v>24</v>
      </c>
    </row>
    <row r="406" spans="1:18" x14ac:dyDescent="0.3">
      <c r="A406" s="1" t="d">
        <v>2024-06-15</v>
      </c>
      <c r="B406">
        <v>45510</v>
      </c>
      <c r="C406" t="str">
        <f>VLOOKUP(Fato_Producao[[#This Row],[referencia]], Dim_Produtos!A:B,2,FALSE)</f>
        <v>tiras pota</v>
      </c>
      <c r="D406">
        <v>2157</v>
      </c>
      <c r="E406">
        <v>1948</v>
      </c>
      <c r="F406" s="5">
        <v>9.69E-2</v>
      </c>
      <c r="G406" s="6">
        <v>66.88</v>
      </c>
      <c r="H406">
        <v>28</v>
      </c>
      <c r="I406">
        <v>176</v>
      </c>
      <c r="J406">
        <v>5</v>
      </c>
      <c r="K406">
        <f>Fato_Producao[[#This Row],[embalagens_danificadas]]+Fato_Producao[[#This Row],[peso_errado]]+Fato_Producao[[#This Row],[impressao]]</f>
        <v>209</v>
      </c>
      <c r="L406" s="1" t="d">
        <v>2024-05-02</v>
      </c>
      <c r="M406">
        <v>44</v>
      </c>
      <c r="N406" s="7">
        <v>9.36</v>
      </c>
      <c r="O406" s="4" t="str">
        <f t="shared" si="18"/>
        <v>junho</v>
      </c>
      <c r="P406" s="4">
        <f t="shared" si="19"/>
        <v>2024</v>
      </c>
      <c r="Q406" s="4" t="str">
        <f t="shared" si="20"/>
        <v/>
      </c>
      <c r="R406" t="s">
        <v>24</v>
      </c>
    </row>
    <row r="407" spans="1:18" x14ac:dyDescent="0.3">
      <c r="A407" s="1" t="d">
        <v>2024-06-15</v>
      </c>
      <c r="B407">
        <v>45511</v>
      </c>
      <c r="C407" t="str">
        <f>VLOOKUP(Fato_Producao[[#This Row],[referencia]], Dim_Produtos!A:B,2,FALSE)</f>
        <v>lula limpa</v>
      </c>
      <c r="D407">
        <v>4169</v>
      </c>
      <c r="E407">
        <v>3754</v>
      </c>
      <c r="F407" s="5">
        <v>9.9500000000000005E-2</v>
      </c>
      <c r="G407" s="6">
        <v>132.80000000000001</v>
      </c>
      <c r="H407">
        <v>45</v>
      </c>
      <c r="I407">
        <v>363</v>
      </c>
      <c r="J407">
        <v>7</v>
      </c>
      <c r="K407">
        <f>Fato_Producao[[#This Row],[embalagens_danificadas]]+Fato_Producao[[#This Row],[peso_errado]]+Fato_Producao[[#This Row],[impressao]]</f>
        <v>415</v>
      </c>
      <c r="L407" s="1" t="d">
        <v>2024-05-02</v>
      </c>
      <c r="M407">
        <v>44</v>
      </c>
      <c r="N407" s="7">
        <v>18.59</v>
      </c>
      <c r="O407" s="4" t="str">
        <f t="shared" si="18"/>
        <v>junho</v>
      </c>
      <c r="P407" s="4">
        <f t="shared" si="19"/>
        <v>2024</v>
      </c>
      <c r="Q407" s="4" t="str">
        <f t="shared" si="20"/>
        <v/>
      </c>
      <c r="R407" t="s">
        <v>24</v>
      </c>
    </row>
    <row r="408" spans="1:18" x14ac:dyDescent="0.3">
      <c r="A408" s="1" t="d">
        <v>2024-06-16</v>
      </c>
      <c r="B408">
        <v>45506</v>
      </c>
      <c r="C408" t="str">
        <f>VLOOKUP(Fato_Producao[[#This Row],[referencia]], Dim_Produtos!A:B,2,FALSE)</f>
        <v>perca posta</v>
      </c>
      <c r="D408">
        <v>3038</v>
      </c>
      <c r="E408">
        <v>2801</v>
      </c>
      <c r="F408" s="5">
        <v>7.8E-2</v>
      </c>
      <c r="G408" s="6">
        <v>82.95</v>
      </c>
      <c r="H408">
        <v>13</v>
      </c>
      <c r="I408">
        <v>219</v>
      </c>
      <c r="J408">
        <v>5</v>
      </c>
      <c r="K408">
        <f>Fato_Producao[[#This Row],[embalagens_danificadas]]+Fato_Producao[[#This Row],[peso_errado]]+Fato_Producao[[#This Row],[impressao]]</f>
        <v>237</v>
      </c>
      <c r="L408" s="1" t="d">
        <v>2024-05-02</v>
      </c>
      <c r="M408">
        <v>45</v>
      </c>
      <c r="N408" s="7">
        <v>12.44</v>
      </c>
      <c r="O408" s="4" t="str">
        <f t="shared" si="18"/>
        <v>junho</v>
      </c>
      <c r="P408" s="4">
        <f t="shared" si="19"/>
        <v>2024</v>
      </c>
      <c r="Q408" s="4" t="str">
        <f t="shared" si="20"/>
        <v/>
      </c>
      <c r="R408" t="s">
        <v>24</v>
      </c>
    </row>
    <row r="409" spans="1:18" x14ac:dyDescent="0.3">
      <c r="A409" s="1" t="d">
        <v>2024-06-17</v>
      </c>
      <c r="B409">
        <v>45508</v>
      </c>
      <c r="C409" t="str">
        <f>VLOOKUP(Fato_Producao[[#This Row],[referencia]], Dim_Produtos!A:B,2,FALSE)</f>
        <v>lula suja</v>
      </c>
      <c r="D409">
        <v>3493</v>
      </c>
      <c r="E409">
        <v>3073</v>
      </c>
      <c r="F409" s="5">
        <v>0.1202</v>
      </c>
      <c r="G409" s="6">
        <v>134.4</v>
      </c>
      <c r="H409">
        <v>52</v>
      </c>
      <c r="I409">
        <v>361</v>
      </c>
      <c r="J409">
        <v>7</v>
      </c>
      <c r="K409">
        <f>Fato_Producao[[#This Row],[embalagens_danificadas]]+Fato_Producao[[#This Row],[peso_errado]]+Fato_Producao[[#This Row],[impressao]]</f>
        <v>420</v>
      </c>
      <c r="L409" s="1" t="d">
        <v>2024-05-02</v>
      </c>
      <c r="M409">
        <v>46</v>
      </c>
      <c r="N409" s="7">
        <v>18.82</v>
      </c>
      <c r="O409" s="4" t="str">
        <f t="shared" si="18"/>
        <v>junho</v>
      </c>
      <c r="P409" s="4">
        <f t="shared" si="19"/>
        <v>2024</v>
      </c>
      <c r="Q409" s="4" t="str">
        <f t="shared" si="20"/>
        <v/>
      </c>
      <c r="R409" t="s">
        <v>24</v>
      </c>
    </row>
    <row r="410" spans="1:18" x14ac:dyDescent="0.3">
      <c r="A410" s="1" t="d">
        <v>2024-06-18</v>
      </c>
      <c r="B410">
        <v>45505</v>
      </c>
      <c r="C410" t="str">
        <f>VLOOKUP(Fato_Producao[[#This Row],[referencia]], Dim_Produtos!A:B,2,FALSE)</f>
        <v>camarao</v>
      </c>
      <c r="D410">
        <v>3878</v>
      </c>
      <c r="E410">
        <v>3520</v>
      </c>
      <c r="F410" s="5">
        <v>9.2299999999999993E-2</v>
      </c>
      <c r="G410" s="6">
        <v>107.4</v>
      </c>
      <c r="H410">
        <v>94</v>
      </c>
      <c r="I410">
        <v>254</v>
      </c>
      <c r="J410">
        <v>10</v>
      </c>
      <c r="K410">
        <f>Fato_Producao[[#This Row],[embalagens_danificadas]]+Fato_Producao[[#This Row],[peso_errado]]+Fato_Producao[[#This Row],[impressao]]</f>
        <v>358</v>
      </c>
      <c r="L410" s="1" t="d">
        <v>2024-05-02</v>
      </c>
      <c r="M410">
        <v>47</v>
      </c>
      <c r="N410" s="7">
        <v>16.11</v>
      </c>
      <c r="O410" s="4" t="str">
        <f t="shared" si="18"/>
        <v>junho</v>
      </c>
      <c r="P410" s="4">
        <f t="shared" si="19"/>
        <v>2024</v>
      </c>
      <c r="Q410" s="4" t="str">
        <f t="shared" si="20"/>
        <v/>
      </c>
      <c r="R410" t="s">
        <v>24</v>
      </c>
    </row>
    <row r="411" spans="1:18" x14ac:dyDescent="0.3">
      <c r="A411" s="1" t="d">
        <v>2024-06-18</v>
      </c>
      <c r="B411">
        <v>45503</v>
      </c>
      <c r="C411" t="str">
        <f>VLOOKUP(Fato_Producao[[#This Row],[referencia]], Dim_Produtos!A:B,2,FALSE)</f>
        <v>sardinha pequena</v>
      </c>
      <c r="D411">
        <v>2459</v>
      </c>
      <c r="E411">
        <v>2208</v>
      </c>
      <c r="F411" s="5">
        <v>0.1021</v>
      </c>
      <c r="G411" s="6">
        <v>65.260000000000005</v>
      </c>
      <c r="H411">
        <v>14</v>
      </c>
      <c r="I411">
        <v>231</v>
      </c>
      <c r="J411">
        <v>6</v>
      </c>
      <c r="K411">
        <f>Fato_Producao[[#This Row],[embalagens_danificadas]]+Fato_Producao[[#This Row],[peso_errado]]+Fato_Producao[[#This Row],[impressao]]</f>
        <v>251</v>
      </c>
      <c r="L411" s="1" t="d">
        <v>2024-05-02</v>
      </c>
      <c r="M411">
        <v>47</v>
      </c>
      <c r="N411" s="7">
        <v>7.18</v>
      </c>
      <c r="O411" s="4" t="str">
        <f t="shared" si="18"/>
        <v>junho</v>
      </c>
      <c r="P411" s="4">
        <f t="shared" si="19"/>
        <v>2024</v>
      </c>
      <c r="Q411" s="4" t="str">
        <f t="shared" si="20"/>
        <v/>
      </c>
      <c r="R411" t="s">
        <v>24</v>
      </c>
    </row>
    <row r="412" spans="1:18" x14ac:dyDescent="0.3">
      <c r="A412" s="1" t="d">
        <v>2024-06-19</v>
      </c>
      <c r="B412">
        <v>45507</v>
      </c>
      <c r="C412" t="str">
        <f>VLOOKUP(Fato_Producao[[#This Row],[referencia]], Dim_Produtos!A:B,2,FALSE)</f>
        <v>salmao posta</v>
      </c>
      <c r="D412">
        <v>2845</v>
      </c>
      <c r="E412">
        <v>2640</v>
      </c>
      <c r="F412" s="5">
        <v>7.2099999999999997E-2</v>
      </c>
      <c r="G412" s="6">
        <v>71.75</v>
      </c>
      <c r="H412">
        <v>7</v>
      </c>
      <c r="I412">
        <v>194</v>
      </c>
      <c r="J412">
        <v>4</v>
      </c>
      <c r="K412">
        <f>Fato_Producao[[#This Row],[embalagens_danificadas]]+Fato_Producao[[#This Row],[peso_errado]]+Fato_Producao[[#This Row],[impressao]]</f>
        <v>205</v>
      </c>
      <c r="L412" s="1" t="d">
        <v>2024-05-02</v>
      </c>
      <c r="M412">
        <v>48</v>
      </c>
      <c r="N412" s="7">
        <v>11.48</v>
      </c>
      <c r="O412" s="4" t="str">
        <f t="shared" si="18"/>
        <v>junho</v>
      </c>
      <c r="P412" s="4">
        <f t="shared" si="19"/>
        <v>2024</v>
      </c>
      <c r="Q412" s="4" t="str">
        <f t="shared" si="20"/>
        <v/>
      </c>
      <c r="R412" t="s">
        <v>24</v>
      </c>
    </row>
    <row r="413" spans="1:18" x14ac:dyDescent="0.3">
      <c r="A413" s="1" t="d">
        <v>2024-06-19</v>
      </c>
      <c r="B413">
        <v>45514</v>
      </c>
      <c r="C413" t="str">
        <f>VLOOKUP(Fato_Producao[[#This Row],[referencia]], Dim_Produtos!A:B,2,FALSE)</f>
        <v>sardinha pequena</v>
      </c>
      <c r="D413">
        <v>2649</v>
      </c>
      <c r="E413">
        <v>2380</v>
      </c>
      <c r="F413" s="5">
        <v>0.10150000000000001</v>
      </c>
      <c r="G413" s="6">
        <v>80.7</v>
      </c>
      <c r="H413">
        <v>11</v>
      </c>
      <c r="I413">
        <v>254</v>
      </c>
      <c r="J413">
        <v>4</v>
      </c>
      <c r="K413">
        <f>Fato_Producao[[#This Row],[embalagens_danificadas]]+Fato_Producao[[#This Row],[peso_errado]]+Fato_Producao[[#This Row],[impressao]]</f>
        <v>269</v>
      </c>
      <c r="L413" s="1" t="d">
        <v>2024-05-02</v>
      </c>
      <c r="M413">
        <v>48</v>
      </c>
      <c r="N413" s="7">
        <v>9.68</v>
      </c>
      <c r="O413" s="4" t="str">
        <f t="shared" si="18"/>
        <v>junho</v>
      </c>
      <c r="P413" s="4">
        <f t="shared" si="19"/>
        <v>2024</v>
      </c>
      <c r="Q413" s="4" t="str">
        <f t="shared" si="20"/>
        <v/>
      </c>
      <c r="R413" t="s">
        <v>24</v>
      </c>
    </row>
    <row r="414" spans="1:18" x14ac:dyDescent="0.3">
      <c r="A414" s="1" t="d">
        <v>2024-06-20</v>
      </c>
      <c r="B414">
        <v>45508</v>
      </c>
      <c r="C414" t="str">
        <f>VLOOKUP(Fato_Producao[[#This Row],[referencia]], Dim_Produtos!A:B,2,FALSE)</f>
        <v>lula suja</v>
      </c>
      <c r="D414">
        <v>2790</v>
      </c>
      <c r="E414">
        <v>2451</v>
      </c>
      <c r="F414" s="5">
        <v>0.1215</v>
      </c>
      <c r="G414" s="6">
        <v>108.48</v>
      </c>
      <c r="H414">
        <v>42</v>
      </c>
      <c r="I414">
        <v>288</v>
      </c>
      <c r="J414">
        <v>9</v>
      </c>
      <c r="K414">
        <f>Fato_Producao[[#This Row],[embalagens_danificadas]]+Fato_Producao[[#This Row],[peso_errado]]+Fato_Producao[[#This Row],[impressao]]</f>
        <v>339</v>
      </c>
      <c r="L414" s="1" t="d">
        <v>2024-05-02</v>
      </c>
      <c r="M414">
        <v>49</v>
      </c>
      <c r="N414" s="7">
        <v>15.19</v>
      </c>
      <c r="O414" s="4" t="str">
        <f t="shared" si="18"/>
        <v>junho</v>
      </c>
      <c r="P414" s="4">
        <f t="shared" si="19"/>
        <v>2024</v>
      </c>
      <c r="Q414" s="4" t="str">
        <f t="shared" si="20"/>
        <v/>
      </c>
      <c r="R414" t="s">
        <v>24</v>
      </c>
    </row>
    <row r="415" spans="1:18" x14ac:dyDescent="0.3">
      <c r="A415" s="1" t="d">
        <v>2024-06-20</v>
      </c>
      <c r="B415">
        <v>45507</v>
      </c>
      <c r="C415" t="str">
        <f>VLOOKUP(Fato_Producao[[#This Row],[referencia]], Dim_Produtos!A:B,2,FALSE)</f>
        <v>salmao posta</v>
      </c>
      <c r="D415">
        <v>2617</v>
      </c>
      <c r="E415">
        <v>2416</v>
      </c>
      <c r="F415" s="5">
        <v>7.6799999999999993E-2</v>
      </c>
      <c r="G415" s="6">
        <v>70.349999999999994</v>
      </c>
      <c r="H415">
        <v>9</v>
      </c>
      <c r="I415">
        <v>186</v>
      </c>
      <c r="J415">
        <v>6</v>
      </c>
      <c r="K415">
        <f>Fato_Producao[[#This Row],[embalagens_danificadas]]+Fato_Producao[[#This Row],[peso_errado]]+Fato_Producao[[#This Row],[impressao]]</f>
        <v>201</v>
      </c>
      <c r="L415" s="1" t="d">
        <v>2024-05-02</v>
      </c>
      <c r="M415">
        <v>49</v>
      </c>
      <c r="N415" s="7">
        <v>11.26</v>
      </c>
      <c r="O415" s="4" t="str">
        <f t="shared" si="18"/>
        <v>junho</v>
      </c>
      <c r="P415" s="4">
        <f t="shared" si="19"/>
        <v>2024</v>
      </c>
      <c r="Q415" s="4" t="str">
        <f t="shared" si="20"/>
        <v/>
      </c>
      <c r="R415" t="s">
        <v>24</v>
      </c>
    </row>
    <row r="416" spans="1:18" x14ac:dyDescent="0.3">
      <c r="A416" s="1" t="d">
        <v>2024-06-21</v>
      </c>
      <c r="B416">
        <v>45511</v>
      </c>
      <c r="C416" t="str">
        <f>VLOOKUP(Fato_Producao[[#This Row],[referencia]], Dim_Produtos!A:B,2,FALSE)</f>
        <v>lula limpa</v>
      </c>
      <c r="D416">
        <v>2432</v>
      </c>
      <c r="E416">
        <v>2205</v>
      </c>
      <c r="F416" s="5">
        <v>9.3299999999999994E-2</v>
      </c>
      <c r="G416" s="6">
        <v>72.64</v>
      </c>
      <c r="H416">
        <v>23</v>
      </c>
      <c r="I416">
        <v>198</v>
      </c>
      <c r="J416">
        <v>6</v>
      </c>
      <c r="K416">
        <f>Fato_Producao[[#This Row],[embalagens_danificadas]]+Fato_Producao[[#This Row],[peso_errado]]+Fato_Producao[[#This Row],[impressao]]</f>
        <v>227</v>
      </c>
      <c r="L416" s="1" t="d">
        <v>2024-05-02</v>
      </c>
      <c r="M416">
        <v>50</v>
      </c>
      <c r="N416" s="7">
        <v>10.17</v>
      </c>
      <c r="O416" s="4" t="str">
        <f t="shared" si="18"/>
        <v>junho</v>
      </c>
      <c r="P416" s="4">
        <f t="shared" si="19"/>
        <v>2024</v>
      </c>
      <c r="Q416" s="4" t="str">
        <f t="shared" si="20"/>
        <v/>
      </c>
      <c r="R416" t="s">
        <v>24</v>
      </c>
    </row>
    <row r="417" spans="1:18" x14ac:dyDescent="0.3">
      <c r="A417" s="1" t="d">
        <v>2024-06-22</v>
      </c>
      <c r="B417">
        <v>45512</v>
      </c>
      <c r="C417" t="str">
        <f>VLOOKUP(Fato_Producao[[#This Row],[referencia]], Dim_Produtos!A:B,2,FALSE)</f>
        <v>red-fish posta</v>
      </c>
      <c r="D417">
        <v>2906</v>
      </c>
      <c r="E417">
        <v>2684</v>
      </c>
      <c r="F417" s="5">
        <v>7.6399999999999996E-2</v>
      </c>
      <c r="G417" s="6">
        <v>75.48</v>
      </c>
      <c r="H417">
        <v>9</v>
      </c>
      <c r="I417">
        <v>206</v>
      </c>
      <c r="J417">
        <v>7</v>
      </c>
      <c r="K417">
        <f>Fato_Producao[[#This Row],[embalagens_danificadas]]+Fato_Producao[[#This Row],[peso_errado]]+Fato_Producao[[#This Row],[impressao]]</f>
        <v>222</v>
      </c>
      <c r="L417" s="1" t="d">
        <v>2024-05-02</v>
      </c>
      <c r="M417">
        <v>51</v>
      </c>
      <c r="N417" s="7">
        <v>10.57</v>
      </c>
      <c r="O417" s="4" t="str">
        <f t="shared" si="18"/>
        <v>junho</v>
      </c>
      <c r="P417" s="4">
        <f t="shared" si="19"/>
        <v>2024</v>
      </c>
      <c r="Q417" s="4" t="str">
        <f t="shared" si="20"/>
        <v/>
      </c>
      <c r="R417" t="s">
        <v>24</v>
      </c>
    </row>
    <row r="418" spans="1:18" x14ac:dyDescent="0.3">
      <c r="A418" s="1" t="d">
        <v>2024-06-22</v>
      </c>
      <c r="B418">
        <v>45504</v>
      </c>
      <c r="C418" t="str">
        <f>VLOOKUP(Fato_Producao[[#This Row],[referencia]], Dim_Produtos!A:B,2,FALSE)</f>
        <v>pescada posta fritar</v>
      </c>
      <c r="D418">
        <v>2270</v>
      </c>
      <c r="E418">
        <v>2115</v>
      </c>
      <c r="F418" s="5">
        <v>6.83E-2</v>
      </c>
      <c r="G418" s="6">
        <v>49.6</v>
      </c>
      <c r="H418">
        <v>6</v>
      </c>
      <c r="I418">
        <v>147</v>
      </c>
      <c r="J418">
        <v>2</v>
      </c>
      <c r="K418">
        <f>Fato_Producao[[#This Row],[embalagens_danificadas]]+Fato_Producao[[#This Row],[peso_errado]]+Fato_Producao[[#This Row],[impressao]]</f>
        <v>155</v>
      </c>
      <c r="L418" s="1" t="d">
        <v>2024-05-02</v>
      </c>
      <c r="M418">
        <v>51</v>
      </c>
      <c r="N418" s="7">
        <v>6.94</v>
      </c>
      <c r="O418" s="4" t="str">
        <f t="shared" si="18"/>
        <v>junho</v>
      </c>
      <c r="P418" s="4">
        <f t="shared" si="19"/>
        <v>2024</v>
      </c>
      <c r="Q418" s="4">
        <f t="shared" si="20"/>
        <v>51</v>
      </c>
      <c r="R418" t="s">
        <v>24</v>
      </c>
    </row>
    <row r="419" spans="1:18" x14ac:dyDescent="0.3">
      <c r="A419" s="1" t="d">
        <v>2024-06-23</v>
      </c>
      <c r="B419">
        <v>45504</v>
      </c>
      <c r="C419" t="str">
        <f>VLOOKUP(Fato_Producao[[#This Row],[referencia]], Dim_Produtos!A:B,2,FALSE)</f>
        <v>pescada posta fritar</v>
      </c>
      <c r="D419">
        <v>2034</v>
      </c>
      <c r="E419">
        <v>1935</v>
      </c>
      <c r="F419" s="5">
        <v>4.87E-2</v>
      </c>
      <c r="G419" s="6">
        <v>31.68</v>
      </c>
      <c r="H419">
        <v>2</v>
      </c>
      <c r="I419">
        <v>95</v>
      </c>
      <c r="J419">
        <v>2</v>
      </c>
      <c r="K419">
        <f>Fato_Producao[[#This Row],[embalagens_danificadas]]+Fato_Producao[[#This Row],[peso_errado]]+Fato_Producao[[#This Row],[impressao]]</f>
        <v>99</v>
      </c>
      <c r="L419" s="1" t="d">
        <v>2024-06-23</v>
      </c>
      <c r="M419">
        <v>0</v>
      </c>
      <c r="N419" s="7">
        <v>4.4400000000000004</v>
      </c>
      <c r="O419" s="4" t="str">
        <f t="shared" si="18"/>
        <v>junho</v>
      </c>
      <c r="P419" s="4">
        <f t="shared" si="19"/>
        <v>2024</v>
      </c>
      <c r="Q419" s="4" t="str">
        <f t="shared" si="20"/>
        <v/>
      </c>
      <c r="R419" t="s">
        <v>24</v>
      </c>
    </row>
    <row r="420" spans="1:18" x14ac:dyDescent="0.3">
      <c r="A420" s="1" t="d">
        <v>2024-06-24</v>
      </c>
      <c r="B420">
        <v>45514</v>
      </c>
      <c r="C420" t="str">
        <f>VLOOKUP(Fato_Producao[[#This Row],[referencia]], Dim_Produtos!A:B,2,FALSE)</f>
        <v>sardinha pequena</v>
      </c>
      <c r="D420">
        <v>2592</v>
      </c>
      <c r="E420">
        <v>2450</v>
      </c>
      <c r="F420" s="5">
        <v>5.4800000000000001E-2</v>
      </c>
      <c r="G420" s="6">
        <v>42.6</v>
      </c>
      <c r="H420">
        <v>6</v>
      </c>
      <c r="I420">
        <v>134</v>
      </c>
      <c r="J420">
        <v>2</v>
      </c>
      <c r="K420">
        <f>Fato_Producao[[#This Row],[embalagens_danificadas]]+Fato_Producao[[#This Row],[peso_errado]]+Fato_Producao[[#This Row],[impressao]]</f>
        <v>142</v>
      </c>
      <c r="L420" s="1" t="d">
        <v>2024-06-23</v>
      </c>
      <c r="M420">
        <v>1</v>
      </c>
      <c r="N420" s="7">
        <v>5.1100000000000003</v>
      </c>
      <c r="O420" s="4" t="str">
        <f t="shared" si="18"/>
        <v>junho</v>
      </c>
      <c r="P420" s="4">
        <f t="shared" si="19"/>
        <v>2024</v>
      </c>
      <c r="Q420" s="4" t="str">
        <f t="shared" si="20"/>
        <v/>
      </c>
      <c r="R420" t="s">
        <v>24</v>
      </c>
    </row>
    <row r="421" spans="1:18" x14ac:dyDescent="0.3">
      <c r="A421" s="1" t="d">
        <v>2024-06-24</v>
      </c>
      <c r="B421">
        <v>45504</v>
      </c>
      <c r="C421" t="str">
        <f>VLOOKUP(Fato_Producao[[#This Row],[referencia]], Dim_Produtos!A:B,2,FALSE)</f>
        <v>pescada posta fritar</v>
      </c>
      <c r="D421">
        <v>3325</v>
      </c>
      <c r="E421">
        <v>3166</v>
      </c>
      <c r="F421" s="5">
        <v>4.7800000000000002E-2</v>
      </c>
      <c r="G421" s="6">
        <v>50.88</v>
      </c>
      <c r="H421">
        <v>7</v>
      </c>
      <c r="I421">
        <v>149</v>
      </c>
      <c r="J421">
        <v>3</v>
      </c>
      <c r="K421">
        <f>Fato_Producao[[#This Row],[embalagens_danificadas]]+Fato_Producao[[#This Row],[peso_errado]]+Fato_Producao[[#This Row],[impressao]]</f>
        <v>159</v>
      </c>
      <c r="L421" s="1" t="d">
        <v>2024-06-23</v>
      </c>
      <c r="M421">
        <v>1</v>
      </c>
      <c r="N421" s="7">
        <v>7.12</v>
      </c>
      <c r="O421" s="4" t="str">
        <f t="shared" si="18"/>
        <v>junho</v>
      </c>
      <c r="P421" s="4">
        <f t="shared" si="19"/>
        <v>2024</v>
      </c>
      <c r="Q421" s="4" t="str">
        <f t="shared" si="20"/>
        <v/>
      </c>
      <c r="R421" t="s">
        <v>24</v>
      </c>
    </row>
    <row r="422" spans="1:18" x14ac:dyDescent="0.3">
      <c r="A422" s="1" t="d">
        <v>2024-06-25</v>
      </c>
      <c r="B422">
        <v>45501</v>
      </c>
      <c r="C422" t="str">
        <f>VLOOKUP(Fato_Producao[[#This Row],[referencia]], Dim_Produtos!A:B,2,FALSE)</f>
        <v>pescada posta cozer</v>
      </c>
      <c r="D422">
        <v>3797</v>
      </c>
      <c r="E422">
        <v>3612</v>
      </c>
      <c r="F422" s="5">
        <v>4.87E-2</v>
      </c>
      <c r="G422" s="6">
        <v>59.2</v>
      </c>
      <c r="H422">
        <v>8</v>
      </c>
      <c r="I422">
        <v>172</v>
      </c>
      <c r="J422">
        <v>5</v>
      </c>
      <c r="K422">
        <f>Fato_Producao[[#This Row],[embalagens_danificadas]]+Fato_Producao[[#This Row],[peso_errado]]+Fato_Producao[[#This Row],[impressao]]</f>
        <v>185</v>
      </c>
      <c r="L422" s="1" t="d">
        <v>2024-06-23</v>
      </c>
      <c r="M422">
        <v>2</v>
      </c>
      <c r="N422" s="7">
        <v>8.2899999999999991</v>
      </c>
      <c r="O422" s="4" t="str">
        <f t="shared" si="18"/>
        <v>junho</v>
      </c>
      <c r="P422" s="4">
        <f t="shared" si="19"/>
        <v>2024</v>
      </c>
      <c r="Q422" s="4" t="str">
        <f t="shared" si="20"/>
        <v/>
      </c>
      <c r="R422" t="s">
        <v>24</v>
      </c>
    </row>
    <row r="423" spans="1:18" x14ac:dyDescent="0.3">
      <c r="A423" s="1" t="d">
        <v>2024-06-25</v>
      </c>
      <c r="B423">
        <v>45508</v>
      </c>
      <c r="C423" t="str">
        <f>VLOOKUP(Fato_Producao[[#This Row],[referencia]], Dim_Produtos!A:B,2,FALSE)</f>
        <v>lula suja</v>
      </c>
      <c r="D423">
        <v>2128</v>
      </c>
      <c r="E423">
        <v>1958</v>
      </c>
      <c r="F423" s="5">
        <v>7.9899999999999999E-2</v>
      </c>
      <c r="G423" s="6">
        <v>54.4</v>
      </c>
      <c r="H423">
        <v>22</v>
      </c>
      <c r="I423">
        <v>144</v>
      </c>
      <c r="J423">
        <v>4</v>
      </c>
      <c r="K423">
        <f>Fato_Producao[[#This Row],[embalagens_danificadas]]+Fato_Producao[[#This Row],[peso_errado]]+Fato_Producao[[#This Row],[impressao]]</f>
        <v>170</v>
      </c>
      <c r="L423" s="1" t="d">
        <v>2024-06-23</v>
      </c>
      <c r="M423">
        <v>2</v>
      </c>
      <c r="N423" s="7">
        <v>7.62</v>
      </c>
      <c r="O423" s="4" t="str">
        <f t="shared" si="18"/>
        <v>junho</v>
      </c>
      <c r="P423" s="4">
        <f t="shared" si="19"/>
        <v>2024</v>
      </c>
      <c r="Q423" s="4" t="str">
        <f t="shared" si="20"/>
        <v/>
      </c>
      <c r="R423" t="s">
        <v>24</v>
      </c>
    </row>
    <row r="424" spans="1:18" x14ac:dyDescent="0.3">
      <c r="A424" s="1" t="d">
        <v>2024-06-26</v>
      </c>
      <c r="B424">
        <v>45506</v>
      </c>
      <c r="C424" t="str">
        <f>VLOOKUP(Fato_Producao[[#This Row],[referencia]], Dim_Produtos!A:B,2,FALSE)</f>
        <v>perca posta</v>
      </c>
      <c r="D424">
        <v>2996</v>
      </c>
      <c r="E424">
        <v>2866</v>
      </c>
      <c r="F424" s="5">
        <v>4.3400000000000001E-2</v>
      </c>
      <c r="G424" s="6">
        <v>45.5</v>
      </c>
      <c r="H424">
        <v>8</v>
      </c>
      <c r="I424">
        <v>119</v>
      </c>
      <c r="J424">
        <v>3</v>
      </c>
      <c r="K424">
        <f>Fato_Producao[[#This Row],[embalagens_danificadas]]+Fato_Producao[[#This Row],[peso_errado]]+Fato_Producao[[#This Row],[impressao]]</f>
        <v>130</v>
      </c>
      <c r="L424" s="1" t="d">
        <v>2024-06-23</v>
      </c>
      <c r="M424">
        <v>3</v>
      </c>
      <c r="N424" s="7">
        <v>6.83</v>
      </c>
      <c r="O424" s="4" t="str">
        <f t="shared" si="18"/>
        <v>junho</v>
      </c>
      <c r="P424" s="4">
        <f t="shared" si="19"/>
        <v>2024</v>
      </c>
      <c r="Q424" s="4" t="str">
        <f t="shared" si="20"/>
        <v/>
      </c>
      <c r="R424" t="s">
        <v>24</v>
      </c>
    </row>
    <row r="425" spans="1:18" x14ac:dyDescent="0.3">
      <c r="A425" s="1" t="d">
        <v>2024-06-26</v>
      </c>
      <c r="B425">
        <v>45505</v>
      </c>
      <c r="C425" t="str">
        <f>VLOOKUP(Fato_Producao[[#This Row],[referencia]], Dim_Produtos!A:B,2,FALSE)</f>
        <v>camarao</v>
      </c>
      <c r="D425">
        <v>2739</v>
      </c>
      <c r="E425">
        <v>2599</v>
      </c>
      <c r="F425" s="5">
        <v>5.11E-2</v>
      </c>
      <c r="G425" s="6">
        <v>42</v>
      </c>
      <c r="H425">
        <v>39</v>
      </c>
      <c r="I425">
        <v>99</v>
      </c>
      <c r="J425">
        <v>2</v>
      </c>
      <c r="K425">
        <f>Fato_Producao[[#This Row],[embalagens_danificadas]]+Fato_Producao[[#This Row],[peso_errado]]+Fato_Producao[[#This Row],[impressao]]</f>
        <v>140</v>
      </c>
      <c r="L425" s="1" t="d">
        <v>2024-06-23</v>
      </c>
      <c r="M425">
        <v>3</v>
      </c>
      <c r="N425" s="7">
        <v>6.3</v>
      </c>
      <c r="O425" s="4" t="str">
        <f t="shared" si="18"/>
        <v>junho</v>
      </c>
      <c r="P425" s="4">
        <f t="shared" si="19"/>
        <v>2024</v>
      </c>
      <c r="Q425" s="4" t="str">
        <f t="shared" si="20"/>
        <v/>
      </c>
      <c r="R425" t="s">
        <v>24</v>
      </c>
    </row>
    <row r="426" spans="1:18" x14ac:dyDescent="0.3">
      <c r="A426" s="1" t="d">
        <v>2024-06-27</v>
      </c>
      <c r="B426">
        <v>45511</v>
      </c>
      <c r="C426" t="str">
        <f>VLOOKUP(Fato_Producao[[#This Row],[referencia]], Dim_Produtos!A:B,2,FALSE)</f>
        <v>lula limpa</v>
      </c>
      <c r="D426">
        <v>2034</v>
      </c>
      <c r="E426">
        <v>1906</v>
      </c>
      <c r="F426" s="5">
        <v>6.2899999999999998E-2</v>
      </c>
      <c r="G426" s="6">
        <v>40.96</v>
      </c>
      <c r="H426">
        <v>15</v>
      </c>
      <c r="I426">
        <v>111</v>
      </c>
      <c r="J426">
        <v>2</v>
      </c>
      <c r="K426">
        <f>Fato_Producao[[#This Row],[embalagens_danificadas]]+Fato_Producao[[#This Row],[peso_errado]]+Fato_Producao[[#This Row],[impressao]]</f>
        <v>128</v>
      </c>
      <c r="L426" s="1" t="d">
        <v>2024-06-23</v>
      </c>
      <c r="M426">
        <v>4</v>
      </c>
      <c r="N426" s="7">
        <v>5.73</v>
      </c>
      <c r="O426" s="4" t="str">
        <f t="shared" si="18"/>
        <v>junho</v>
      </c>
      <c r="P426" s="4">
        <f t="shared" si="19"/>
        <v>2024</v>
      </c>
      <c r="Q426" s="4" t="str">
        <f t="shared" si="20"/>
        <v/>
      </c>
      <c r="R426" t="s">
        <v>24</v>
      </c>
    </row>
    <row r="427" spans="1:18" x14ac:dyDescent="0.3">
      <c r="A427" s="1" t="d">
        <v>2024-06-27</v>
      </c>
      <c r="B427">
        <v>45504</v>
      </c>
      <c r="C427" t="str">
        <f>VLOOKUP(Fato_Producao[[#This Row],[referencia]], Dim_Produtos!A:B,2,FALSE)</f>
        <v>pescada posta fritar</v>
      </c>
      <c r="D427">
        <v>2357</v>
      </c>
      <c r="E427">
        <v>2235</v>
      </c>
      <c r="F427" s="5">
        <v>5.1799999999999999E-2</v>
      </c>
      <c r="G427" s="6">
        <v>39.04</v>
      </c>
      <c r="H427">
        <v>2</v>
      </c>
      <c r="I427">
        <v>117</v>
      </c>
      <c r="J427">
        <v>3</v>
      </c>
      <c r="K427">
        <f>Fato_Producao[[#This Row],[embalagens_danificadas]]+Fato_Producao[[#This Row],[peso_errado]]+Fato_Producao[[#This Row],[impressao]]</f>
        <v>122</v>
      </c>
      <c r="L427" s="1" t="d">
        <v>2024-06-23</v>
      </c>
      <c r="M427">
        <v>4</v>
      </c>
      <c r="N427" s="7">
        <v>5.47</v>
      </c>
      <c r="O427" s="4" t="str">
        <f t="shared" si="18"/>
        <v>junho</v>
      </c>
      <c r="P427" s="4">
        <f t="shared" si="19"/>
        <v>2024</v>
      </c>
      <c r="Q427" s="4" t="str">
        <f t="shared" si="20"/>
        <v/>
      </c>
      <c r="R427" t="s">
        <v>24</v>
      </c>
    </row>
    <row r="428" spans="1:18" x14ac:dyDescent="0.3">
      <c r="A428" s="1" t="d">
        <v>2024-06-28</v>
      </c>
      <c r="B428">
        <v>45513</v>
      </c>
      <c r="C428" t="str">
        <f>VLOOKUP(Fato_Producao[[#This Row],[referencia]], Dim_Produtos!A:B,2,FALSE)</f>
        <v>filete pescada</v>
      </c>
      <c r="D428">
        <v>2474</v>
      </c>
      <c r="E428">
        <v>2412</v>
      </c>
      <c r="F428" s="5">
        <v>2.5100000000000001E-2</v>
      </c>
      <c r="G428" s="6">
        <v>19.84</v>
      </c>
      <c r="H428">
        <v>3</v>
      </c>
      <c r="I428">
        <v>58</v>
      </c>
      <c r="J428">
        <v>1</v>
      </c>
      <c r="K428">
        <f>Fato_Producao[[#This Row],[embalagens_danificadas]]+Fato_Producao[[#This Row],[peso_errado]]+Fato_Producao[[#This Row],[impressao]]</f>
        <v>62</v>
      </c>
      <c r="L428" s="1" t="d">
        <v>2024-06-23</v>
      </c>
      <c r="M428">
        <v>5</v>
      </c>
      <c r="N428" s="7">
        <v>2.58</v>
      </c>
      <c r="O428" s="4" t="str">
        <f t="shared" si="18"/>
        <v>junho</v>
      </c>
      <c r="P428" s="4">
        <f t="shared" si="19"/>
        <v>2024</v>
      </c>
      <c r="Q428" s="4" t="str">
        <f t="shared" si="20"/>
        <v/>
      </c>
      <c r="R428" t="s">
        <v>24</v>
      </c>
    </row>
    <row r="429" spans="1:18" x14ac:dyDescent="0.3">
      <c r="A429" s="1" t="d">
        <v>2024-06-28</v>
      </c>
      <c r="B429">
        <v>45510</v>
      </c>
      <c r="C429" t="str">
        <f>VLOOKUP(Fato_Producao[[#This Row],[referencia]], Dim_Produtos!A:B,2,FALSE)</f>
        <v>tiras pota</v>
      </c>
      <c r="D429">
        <v>2539</v>
      </c>
      <c r="E429">
        <v>2368</v>
      </c>
      <c r="F429" s="5">
        <v>6.7299999999999999E-2</v>
      </c>
      <c r="G429" s="6">
        <v>54.72</v>
      </c>
      <c r="H429">
        <v>19</v>
      </c>
      <c r="I429">
        <v>148</v>
      </c>
      <c r="J429">
        <v>4</v>
      </c>
      <c r="K429">
        <f>Fato_Producao[[#This Row],[embalagens_danificadas]]+Fato_Producao[[#This Row],[peso_errado]]+Fato_Producao[[#This Row],[impressao]]</f>
        <v>171</v>
      </c>
      <c r="L429" s="1" t="d">
        <v>2024-06-23</v>
      </c>
      <c r="M429">
        <v>5</v>
      </c>
      <c r="N429" s="7">
        <v>7.66</v>
      </c>
      <c r="O429" s="4" t="str">
        <f t="shared" si="18"/>
        <v>junho</v>
      </c>
      <c r="P429" s="4">
        <f t="shared" si="19"/>
        <v>2024</v>
      </c>
      <c r="Q429" s="4" t="str">
        <f t="shared" si="20"/>
        <v/>
      </c>
      <c r="R429" t="s">
        <v>24</v>
      </c>
    </row>
    <row r="430" spans="1:18" x14ac:dyDescent="0.3">
      <c r="A430" s="1" t="d">
        <v>2024-06-29</v>
      </c>
      <c r="B430">
        <v>45514</v>
      </c>
      <c r="C430" t="str">
        <f>VLOOKUP(Fato_Producao[[#This Row],[referencia]], Dim_Produtos!A:B,2,FALSE)</f>
        <v>sardinha pequena</v>
      </c>
      <c r="D430">
        <v>3951</v>
      </c>
      <c r="E430">
        <v>3724</v>
      </c>
      <c r="F430" s="5">
        <v>5.7500000000000002E-2</v>
      </c>
      <c r="G430" s="6">
        <v>68.099999999999994</v>
      </c>
      <c r="H430">
        <v>13</v>
      </c>
      <c r="I430">
        <v>211</v>
      </c>
      <c r="J430">
        <v>3</v>
      </c>
      <c r="K430">
        <f>Fato_Producao[[#This Row],[embalagens_danificadas]]+Fato_Producao[[#This Row],[peso_errado]]+Fato_Producao[[#This Row],[impressao]]</f>
        <v>227</v>
      </c>
      <c r="L430" s="1" t="d">
        <v>2024-06-23</v>
      </c>
      <c r="M430">
        <v>6</v>
      </c>
      <c r="N430" s="7">
        <v>8.17</v>
      </c>
      <c r="O430" s="4" t="str">
        <f t="shared" si="18"/>
        <v>junho</v>
      </c>
      <c r="P430" s="4">
        <f t="shared" si="19"/>
        <v>2024</v>
      </c>
      <c r="Q430" s="4" t="str">
        <f t="shared" si="20"/>
        <v/>
      </c>
      <c r="R430" t="s">
        <v>24</v>
      </c>
    </row>
    <row r="431" spans="1:18" x14ac:dyDescent="0.3">
      <c r="A431" s="1" t="d">
        <v>2024-06-29</v>
      </c>
      <c r="B431">
        <v>45506</v>
      </c>
      <c r="C431" t="str">
        <f>VLOOKUP(Fato_Producao[[#This Row],[referencia]], Dim_Produtos!A:B,2,FALSE)</f>
        <v>perca posta</v>
      </c>
      <c r="D431">
        <v>3559</v>
      </c>
      <c r="E431">
        <v>3387</v>
      </c>
      <c r="F431" s="5">
        <v>4.8300000000000003E-2</v>
      </c>
      <c r="G431" s="6">
        <v>60.2</v>
      </c>
      <c r="H431">
        <v>5</v>
      </c>
      <c r="I431">
        <v>163</v>
      </c>
      <c r="J431">
        <v>4</v>
      </c>
      <c r="K431">
        <f>Fato_Producao[[#This Row],[embalagens_danificadas]]+Fato_Producao[[#This Row],[peso_errado]]+Fato_Producao[[#This Row],[impressao]]</f>
        <v>172</v>
      </c>
      <c r="L431" s="1" t="d">
        <v>2024-06-23</v>
      </c>
      <c r="M431">
        <v>6</v>
      </c>
      <c r="N431" s="7">
        <v>9.0299999999999994</v>
      </c>
      <c r="O431" s="4" t="str">
        <f t="shared" si="18"/>
        <v>junho</v>
      </c>
      <c r="P431" s="4">
        <f t="shared" si="19"/>
        <v>2024</v>
      </c>
      <c r="Q431" s="4" t="str">
        <f t="shared" si="20"/>
        <v/>
      </c>
      <c r="R431" t="s">
        <v>24</v>
      </c>
    </row>
    <row r="432" spans="1:18" x14ac:dyDescent="0.3">
      <c r="A432" s="1" t="d">
        <v>2024-06-30</v>
      </c>
      <c r="B432">
        <v>45513</v>
      </c>
      <c r="C432" t="str">
        <f>VLOOKUP(Fato_Producao[[#This Row],[referencia]], Dim_Produtos!A:B,2,FALSE)</f>
        <v>filete pescada</v>
      </c>
      <c r="D432">
        <v>3859</v>
      </c>
      <c r="E432">
        <v>3668</v>
      </c>
      <c r="F432" s="5">
        <v>4.9500000000000002E-2</v>
      </c>
      <c r="G432" s="6">
        <v>61.12</v>
      </c>
      <c r="H432">
        <v>12</v>
      </c>
      <c r="I432">
        <v>174</v>
      </c>
      <c r="J432">
        <v>5</v>
      </c>
      <c r="K432">
        <f>Fato_Producao[[#This Row],[embalagens_danificadas]]+Fato_Producao[[#This Row],[peso_errado]]+Fato_Producao[[#This Row],[impressao]]</f>
        <v>191</v>
      </c>
      <c r="L432" s="1" t="d">
        <v>2024-06-23</v>
      </c>
      <c r="M432">
        <v>7</v>
      </c>
      <c r="N432" s="7">
        <v>7.95</v>
      </c>
      <c r="O432" s="4" t="str">
        <f t="shared" si="18"/>
        <v>junho</v>
      </c>
      <c r="P432" s="4">
        <f t="shared" si="19"/>
        <v>2024</v>
      </c>
      <c r="Q432" s="4" t="str">
        <f t="shared" si="20"/>
        <v/>
      </c>
      <c r="R432" t="s">
        <v>24</v>
      </c>
    </row>
    <row r="433" spans="1:18" x14ac:dyDescent="0.3">
      <c r="A433" s="1" t="d">
        <v>2024-07-01</v>
      </c>
      <c r="B433">
        <v>45508</v>
      </c>
      <c r="C433" t="str">
        <f>VLOOKUP(Fato_Producao[[#This Row],[referencia]], Dim_Produtos!A:B,2,FALSE)</f>
        <v>lula suja</v>
      </c>
      <c r="D433">
        <v>3279</v>
      </c>
      <c r="E433">
        <v>3010</v>
      </c>
      <c r="F433" s="5">
        <v>8.2000000000000003E-2</v>
      </c>
      <c r="G433" s="6">
        <v>86.08</v>
      </c>
      <c r="H433">
        <v>24</v>
      </c>
      <c r="I433">
        <v>237</v>
      </c>
      <c r="J433">
        <v>8</v>
      </c>
      <c r="K433">
        <f>Fato_Producao[[#This Row],[embalagens_danificadas]]+Fato_Producao[[#This Row],[peso_errado]]+Fato_Producao[[#This Row],[impressao]]</f>
        <v>269</v>
      </c>
      <c r="L433" s="1" t="d">
        <v>2024-06-23</v>
      </c>
      <c r="M433">
        <v>8</v>
      </c>
      <c r="N433" s="7">
        <v>12.05</v>
      </c>
      <c r="O433" s="4" t="str">
        <f t="shared" si="18"/>
        <v>julho</v>
      </c>
      <c r="P433" s="4">
        <f t="shared" si="19"/>
        <v>2024</v>
      </c>
      <c r="Q433" s="4" t="str">
        <f t="shared" si="20"/>
        <v/>
      </c>
      <c r="R433" t="s">
        <v>24</v>
      </c>
    </row>
    <row r="434" spans="1:18" x14ac:dyDescent="0.3">
      <c r="A434" s="1" t="d">
        <v>2024-07-01</v>
      </c>
      <c r="B434">
        <v>45512</v>
      </c>
      <c r="C434" t="str">
        <f>VLOOKUP(Fato_Producao[[#This Row],[referencia]], Dim_Produtos!A:B,2,FALSE)</f>
        <v>red-fish posta</v>
      </c>
      <c r="D434">
        <v>2288</v>
      </c>
      <c r="E434">
        <v>2173</v>
      </c>
      <c r="F434" s="5">
        <v>5.0299999999999997E-2</v>
      </c>
      <c r="G434" s="6">
        <v>39.1</v>
      </c>
      <c r="H434">
        <v>7</v>
      </c>
      <c r="I434">
        <v>105</v>
      </c>
      <c r="J434">
        <v>3</v>
      </c>
      <c r="K434">
        <f>Fato_Producao[[#This Row],[embalagens_danificadas]]+Fato_Producao[[#This Row],[peso_errado]]+Fato_Producao[[#This Row],[impressao]]</f>
        <v>115</v>
      </c>
      <c r="L434" s="1" t="d">
        <v>2024-06-23</v>
      </c>
      <c r="M434">
        <v>8</v>
      </c>
      <c r="N434" s="7">
        <v>5.47</v>
      </c>
      <c r="O434" s="4" t="str">
        <f t="shared" si="18"/>
        <v>julho</v>
      </c>
      <c r="P434" s="4">
        <f t="shared" si="19"/>
        <v>2024</v>
      </c>
      <c r="Q434" s="4" t="str">
        <f t="shared" si="20"/>
        <v/>
      </c>
      <c r="R434" t="s">
        <v>24</v>
      </c>
    </row>
    <row r="435" spans="1:18" x14ac:dyDescent="0.3">
      <c r="A435" s="1" t="d">
        <v>2024-07-02</v>
      </c>
      <c r="B435">
        <v>45507</v>
      </c>
      <c r="C435" t="str">
        <f>VLOOKUP(Fato_Producao[[#This Row],[referencia]], Dim_Produtos!A:B,2,FALSE)</f>
        <v>salmao posta</v>
      </c>
      <c r="D435">
        <v>2192</v>
      </c>
      <c r="E435">
        <v>2070</v>
      </c>
      <c r="F435" s="5">
        <v>5.57E-2</v>
      </c>
      <c r="G435" s="6">
        <v>42.7</v>
      </c>
      <c r="H435">
        <v>5</v>
      </c>
      <c r="I435">
        <v>114</v>
      </c>
      <c r="J435">
        <v>3</v>
      </c>
      <c r="K435">
        <f>Fato_Producao[[#This Row],[embalagens_danificadas]]+Fato_Producao[[#This Row],[peso_errado]]+Fato_Producao[[#This Row],[impressao]]</f>
        <v>122</v>
      </c>
      <c r="L435" s="1" t="d">
        <v>2024-06-23</v>
      </c>
      <c r="M435">
        <v>9</v>
      </c>
      <c r="N435" s="7">
        <v>6.83</v>
      </c>
      <c r="O435" s="4" t="str">
        <f t="shared" si="18"/>
        <v>julho</v>
      </c>
      <c r="P435" s="4">
        <f t="shared" si="19"/>
        <v>2024</v>
      </c>
      <c r="Q435" s="4" t="str">
        <f t="shared" si="20"/>
        <v/>
      </c>
      <c r="R435" t="s">
        <v>24</v>
      </c>
    </row>
    <row r="436" spans="1:18" x14ac:dyDescent="0.3">
      <c r="A436" s="1" t="d">
        <v>2024-07-02</v>
      </c>
      <c r="B436">
        <v>45510</v>
      </c>
      <c r="C436" t="str">
        <f>VLOOKUP(Fato_Producao[[#This Row],[referencia]], Dim_Produtos!A:B,2,FALSE)</f>
        <v>tiras pota</v>
      </c>
      <c r="D436">
        <v>2077</v>
      </c>
      <c r="E436">
        <v>1953</v>
      </c>
      <c r="F436" s="5">
        <v>5.9700000000000003E-2</v>
      </c>
      <c r="G436" s="6">
        <v>39.68</v>
      </c>
      <c r="H436">
        <v>11</v>
      </c>
      <c r="I436">
        <v>110</v>
      </c>
      <c r="J436">
        <v>3</v>
      </c>
      <c r="K436">
        <f>Fato_Producao[[#This Row],[embalagens_danificadas]]+Fato_Producao[[#This Row],[peso_errado]]+Fato_Producao[[#This Row],[impressao]]</f>
        <v>124</v>
      </c>
      <c r="L436" s="1" t="d">
        <v>2024-06-23</v>
      </c>
      <c r="M436">
        <v>9</v>
      </c>
      <c r="N436" s="7">
        <v>5.56</v>
      </c>
      <c r="O436" s="4" t="str">
        <f t="shared" si="18"/>
        <v>julho</v>
      </c>
      <c r="P436" s="4">
        <f t="shared" si="19"/>
        <v>2024</v>
      </c>
      <c r="Q436" s="4" t="str">
        <f t="shared" si="20"/>
        <v/>
      </c>
      <c r="R436" t="s">
        <v>24</v>
      </c>
    </row>
    <row r="437" spans="1:18" x14ac:dyDescent="0.3">
      <c r="A437" s="1" t="d">
        <v>2024-07-03</v>
      </c>
      <c r="B437">
        <v>45512</v>
      </c>
      <c r="C437" t="str">
        <f>VLOOKUP(Fato_Producao[[#This Row],[referencia]], Dim_Produtos!A:B,2,FALSE)</f>
        <v>red-fish posta</v>
      </c>
      <c r="D437">
        <v>4114</v>
      </c>
      <c r="E437">
        <v>3932</v>
      </c>
      <c r="F437" s="5">
        <v>4.4200000000000003E-2</v>
      </c>
      <c r="G437" s="6">
        <v>61.88</v>
      </c>
      <c r="H437">
        <v>7</v>
      </c>
      <c r="I437">
        <v>170</v>
      </c>
      <c r="J437">
        <v>5</v>
      </c>
      <c r="K437">
        <f>Fato_Producao[[#This Row],[embalagens_danificadas]]+Fato_Producao[[#This Row],[peso_errado]]+Fato_Producao[[#This Row],[impressao]]</f>
        <v>182</v>
      </c>
      <c r="L437" s="1" t="d">
        <v>2024-06-23</v>
      </c>
      <c r="M437">
        <v>10</v>
      </c>
      <c r="N437" s="7">
        <v>8.66</v>
      </c>
      <c r="O437" s="4" t="str">
        <f t="shared" si="18"/>
        <v>julho</v>
      </c>
      <c r="P437" s="4">
        <f t="shared" si="19"/>
        <v>2024</v>
      </c>
      <c r="Q437" s="4" t="str">
        <f t="shared" si="20"/>
        <v/>
      </c>
      <c r="R437" t="s">
        <v>24</v>
      </c>
    </row>
    <row r="438" spans="1:18" x14ac:dyDescent="0.3">
      <c r="A438" s="1" t="d">
        <v>2024-07-03</v>
      </c>
      <c r="B438">
        <v>45514</v>
      </c>
      <c r="C438" t="str">
        <f>VLOOKUP(Fato_Producao[[#This Row],[referencia]], Dim_Produtos!A:B,2,FALSE)</f>
        <v>sardinha pequena</v>
      </c>
      <c r="D438">
        <v>3794</v>
      </c>
      <c r="E438">
        <v>3566</v>
      </c>
      <c r="F438" s="5">
        <v>6.0100000000000001E-2</v>
      </c>
      <c r="G438" s="6">
        <v>68.400000000000006</v>
      </c>
      <c r="H438">
        <v>13</v>
      </c>
      <c r="I438">
        <v>211</v>
      </c>
      <c r="J438">
        <v>4</v>
      </c>
      <c r="K438">
        <f>Fato_Producao[[#This Row],[embalagens_danificadas]]+Fato_Producao[[#This Row],[peso_errado]]+Fato_Producao[[#This Row],[impressao]]</f>
        <v>228</v>
      </c>
      <c r="L438" s="1" t="d">
        <v>2024-06-23</v>
      </c>
      <c r="M438">
        <v>10</v>
      </c>
      <c r="N438" s="7">
        <v>8.2100000000000009</v>
      </c>
      <c r="O438" s="4" t="str">
        <f t="shared" si="18"/>
        <v>julho</v>
      </c>
      <c r="P438" s="4">
        <f t="shared" si="19"/>
        <v>2024</v>
      </c>
      <c r="Q438" s="4" t="str">
        <f t="shared" si="20"/>
        <v/>
      </c>
      <c r="R438" t="s">
        <v>24</v>
      </c>
    </row>
    <row r="439" spans="1:18" x14ac:dyDescent="0.3">
      <c r="A439" s="1" t="d">
        <v>2024-07-04</v>
      </c>
      <c r="B439">
        <v>45508</v>
      </c>
      <c r="C439" t="str">
        <f>VLOOKUP(Fato_Producao[[#This Row],[referencia]], Dim_Produtos!A:B,2,FALSE)</f>
        <v>lula suja</v>
      </c>
      <c r="D439">
        <v>2485</v>
      </c>
      <c r="E439">
        <v>2307</v>
      </c>
      <c r="F439" s="5">
        <v>7.1599999999999997E-2</v>
      </c>
      <c r="G439" s="6">
        <v>56.96</v>
      </c>
      <c r="H439">
        <v>16</v>
      </c>
      <c r="I439">
        <v>160</v>
      </c>
      <c r="J439">
        <v>2</v>
      </c>
      <c r="K439">
        <f>Fato_Producao[[#This Row],[embalagens_danificadas]]+Fato_Producao[[#This Row],[peso_errado]]+Fato_Producao[[#This Row],[impressao]]</f>
        <v>178</v>
      </c>
      <c r="L439" s="1" t="d">
        <v>2024-06-23</v>
      </c>
      <c r="M439">
        <v>11</v>
      </c>
      <c r="N439" s="7">
        <v>7.97</v>
      </c>
      <c r="O439" s="4" t="str">
        <f t="shared" si="18"/>
        <v>julho</v>
      </c>
      <c r="P439" s="4">
        <f t="shared" si="19"/>
        <v>2024</v>
      </c>
      <c r="Q439" s="4" t="str">
        <f t="shared" si="20"/>
        <v/>
      </c>
      <c r="R439" t="s">
        <v>24</v>
      </c>
    </row>
    <row r="440" spans="1:18" x14ac:dyDescent="0.3">
      <c r="A440" s="1" t="d">
        <v>2024-07-04</v>
      </c>
      <c r="B440">
        <v>45503</v>
      </c>
      <c r="C440" t="str">
        <f>VLOOKUP(Fato_Producao[[#This Row],[referencia]], Dim_Produtos!A:B,2,FALSE)</f>
        <v>sardinha pequena</v>
      </c>
      <c r="D440">
        <v>4095</v>
      </c>
      <c r="E440">
        <v>3906</v>
      </c>
      <c r="F440" s="5">
        <v>4.6199999999999998E-2</v>
      </c>
      <c r="G440" s="6">
        <v>49.14</v>
      </c>
      <c r="H440">
        <v>9</v>
      </c>
      <c r="I440">
        <v>178</v>
      </c>
      <c r="J440">
        <v>2</v>
      </c>
      <c r="K440">
        <f>Fato_Producao[[#This Row],[embalagens_danificadas]]+Fato_Producao[[#This Row],[peso_errado]]+Fato_Producao[[#This Row],[impressao]]</f>
        <v>189</v>
      </c>
      <c r="L440" s="1" t="d">
        <v>2024-06-23</v>
      </c>
      <c r="M440">
        <v>11</v>
      </c>
      <c r="N440" s="7">
        <v>5.41</v>
      </c>
      <c r="O440" s="4" t="str">
        <f t="shared" si="18"/>
        <v>julho</v>
      </c>
      <c r="P440" s="4">
        <f t="shared" si="19"/>
        <v>2024</v>
      </c>
      <c r="Q440" s="4" t="str">
        <f t="shared" si="20"/>
        <v/>
      </c>
      <c r="R440" t="s">
        <v>24</v>
      </c>
    </row>
    <row r="441" spans="1:18" x14ac:dyDescent="0.3">
      <c r="A441" s="1" t="d">
        <v>2024-07-05</v>
      </c>
      <c r="B441">
        <v>45505</v>
      </c>
      <c r="C441" t="str">
        <f>VLOOKUP(Fato_Producao[[#This Row],[referencia]], Dim_Produtos!A:B,2,FALSE)</f>
        <v>camarao</v>
      </c>
      <c r="D441">
        <v>4057</v>
      </c>
      <c r="E441">
        <v>3794</v>
      </c>
      <c r="F441" s="5">
        <v>6.4799999999999996E-2</v>
      </c>
      <c r="G441" s="6">
        <v>78.900000000000006</v>
      </c>
      <c r="H441">
        <v>54</v>
      </c>
      <c r="I441">
        <v>203</v>
      </c>
      <c r="J441">
        <v>6</v>
      </c>
      <c r="K441">
        <f>Fato_Producao[[#This Row],[embalagens_danificadas]]+Fato_Producao[[#This Row],[peso_errado]]+Fato_Producao[[#This Row],[impressao]]</f>
        <v>263</v>
      </c>
      <c r="L441" s="1" t="d">
        <v>2024-06-23</v>
      </c>
      <c r="M441">
        <v>12</v>
      </c>
      <c r="N441" s="7">
        <v>11.84</v>
      </c>
      <c r="O441" s="4" t="str">
        <f t="shared" si="18"/>
        <v>julho</v>
      </c>
      <c r="P441" s="4">
        <f t="shared" si="19"/>
        <v>2024</v>
      </c>
      <c r="Q441" s="4" t="str">
        <f t="shared" si="20"/>
        <v/>
      </c>
      <c r="R441" t="s">
        <v>24</v>
      </c>
    </row>
    <row r="442" spans="1:18" x14ac:dyDescent="0.3">
      <c r="A442" s="1" t="d">
        <v>2024-07-06</v>
      </c>
      <c r="B442">
        <v>45505</v>
      </c>
      <c r="C442" t="str">
        <f>VLOOKUP(Fato_Producao[[#This Row],[referencia]], Dim_Produtos!A:B,2,FALSE)</f>
        <v>camarao</v>
      </c>
      <c r="D442">
        <v>2916</v>
      </c>
      <c r="E442">
        <v>2702</v>
      </c>
      <c r="F442" s="5">
        <v>7.3400000000000007E-2</v>
      </c>
      <c r="G442" s="6">
        <v>64.2</v>
      </c>
      <c r="H442">
        <v>42</v>
      </c>
      <c r="I442">
        <v>163</v>
      </c>
      <c r="J442">
        <v>9</v>
      </c>
      <c r="K442">
        <f>Fato_Producao[[#This Row],[embalagens_danificadas]]+Fato_Producao[[#This Row],[peso_errado]]+Fato_Producao[[#This Row],[impressao]]</f>
        <v>214</v>
      </c>
      <c r="L442" s="1" t="d">
        <v>2024-06-23</v>
      </c>
      <c r="M442">
        <v>13</v>
      </c>
      <c r="N442" s="7">
        <v>9.6300000000000008</v>
      </c>
      <c r="O442" s="4" t="str">
        <f t="shared" si="18"/>
        <v>julho</v>
      </c>
      <c r="P442" s="4">
        <f t="shared" si="19"/>
        <v>2024</v>
      </c>
      <c r="Q442" s="4" t="str">
        <f t="shared" si="20"/>
        <v/>
      </c>
      <c r="R442" t="s">
        <v>24</v>
      </c>
    </row>
    <row r="443" spans="1:18" x14ac:dyDescent="0.3">
      <c r="A443" s="1" t="d">
        <v>2024-07-06</v>
      </c>
      <c r="B443">
        <v>45501</v>
      </c>
      <c r="C443" t="str">
        <f>VLOOKUP(Fato_Producao[[#This Row],[referencia]], Dim_Produtos!A:B,2,FALSE)</f>
        <v>pescada posta cozer</v>
      </c>
      <c r="D443">
        <v>3346</v>
      </c>
      <c r="E443">
        <v>3144</v>
      </c>
      <c r="F443" s="5">
        <v>6.0400000000000002E-2</v>
      </c>
      <c r="G443" s="6">
        <v>64.64</v>
      </c>
      <c r="H443">
        <v>10</v>
      </c>
      <c r="I443">
        <v>190</v>
      </c>
      <c r="J443">
        <v>2</v>
      </c>
      <c r="K443">
        <f>Fato_Producao[[#This Row],[embalagens_danificadas]]+Fato_Producao[[#This Row],[peso_errado]]+Fato_Producao[[#This Row],[impressao]]</f>
        <v>202</v>
      </c>
      <c r="L443" s="1" t="d">
        <v>2024-06-23</v>
      </c>
      <c r="M443">
        <v>13</v>
      </c>
      <c r="N443" s="7">
        <v>9.0500000000000007</v>
      </c>
      <c r="O443" s="4" t="str">
        <f t="shared" si="18"/>
        <v>julho</v>
      </c>
      <c r="P443" s="4">
        <f t="shared" si="19"/>
        <v>2024</v>
      </c>
      <c r="Q443" s="4" t="str">
        <f t="shared" si="20"/>
        <v/>
      </c>
      <c r="R443" t="s">
        <v>24</v>
      </c>
    </row>
    <row r="444" spans="1:18" x14ac:dyDescent="0.3">
      <c r="A444" s="1" t="d">
        <v>2024-07-07</v>
      </c>
      <c r="B444">
        <v>45511</v>
      </c>
      <c r="C444" t="str">
        <f>VLOOKUP(Fato_Producao[[#This Row],[referencia]], Dim_Produtos!A:B,2,FALSE)</f>
        <v>lula limpa</v>
      </c>
      <c r="D444">
        <v>3655</v>
      </c>
      <c r="E444">
        <v>3374</v>
      </c>
      <c r="F444" s="5">
        <v>7.6899999999999996E-2</v>
      </c>
      <c r="G444" s="6">
        <v>89.92</v>
      </c>
      <c r="H444">
        <v>31</v>
      </c>
      <c r="I444">
        <v>242</v>
      </c>
      <c r="J444">
        <v>8</v>
      </c>
      <c r="K444">
        <f>Fato_Producao[[#This Row],[embalagens_danificadas]]+Fato_Producao[[#This Row],[peso_errado]]+Fato_Producao[[#This Row],[impressao]]</f>
        <v>281</v>
      </c>
      <c r="L444" s="1" t="d">
        <v>2024-06-23</v>
      </c>
      <c r="M444">
        <v>14</v>
      </c>
      <c r="N444" s="7">
        <v>12.59</v>
      </c>
      <c r="O444" s="4" t="str">
        <f t="shared" si="18"/>
        <v>julho</v>
      </c>
      <c r="P444" s="4">
        <f t="shared" si="19"/>
        <v>2024</v>
      </c>
      <c r="Q444" s="4" t="str">
        <f t="shared" si="20"/>
        <v/>
      </c>
      <c r="R444" t="s">
        <v>24</v>
      </c>
    </row>
    <row r="445" spans="1:18" x14ac:dyDescent="0.3">
      <c r="A445" s="1" t="d">
        <v>2024-07-07</v>
      </c>
      <c r="B445">
        <v>45506</v>
      </c>
      <c r="C445" t="str">
        <f>VLOOKUP(Fato_Producao[[#This Row],[referencia]], Dim_Produtos!A:B,2,FALSE)</f>
        <v>perca posta</v>
      </c>
      <c r="D445">
        <v>4158</v>
      </c>
      <c r="E445">
        <v>3909</v>
      </c>
      <c r="F445" s="5">
        <v>5.9900000000000002E-2</v>
      </c>
      <c r="G445" s="6">
        <v>87.15</v>
      </c>
      <c r="H445">
        <v>19</v>
      </c>
      <c r="I445">
        <v>227</v>
      </c>
      <c r="J445">
        <v>3</v>
      </c>
      <c r="K445">
        <f>Fato_Producao[[#This Row],[embalagens_danificadas]]+Fato_Producao[[#This Row],[peso_errado]]+Fato_Producao[[#This Row],[impressao]]</f>
        <v>249</v>
      </c>
      <c r="L445" s="1" t="d">
        <v>2024-06-23</v>
      </c>
      <c r="M445">
        <v>14</v>
      </c>
      <c r="N445" s="7">
        <v>13.07</v>
      </c>
      <c r="O445" s="4" t="str">
        <f t="shared" si="18"/>
        <v>julho</v>
      </c>
      <c r="P445" s="4">
        <f t="shared" si="19"/>
        <v>2024</v>
      </c>
      <c r="Q445" s="4" t="str">
        <f t="shared" si="20"/>
        <v/>
      </c>
      <c r="R445" t="s">
        <v>24</v>
      </c>
    </row>
    <row r="446" spans="1:18" x14ac:dyDescent="0.3">
      <c r="A446" s="1" t="d">
        <v>2024-07-08</v>
      </c>
      <c r="B446">
        <v>45512</v>
      </c>
      <c r="C446" t="str">
        <f>VLOOKUP(Fato_Producao[[#This Row],[referencia]], Dim_Produtos!A:B,2,FALSE)</f>
        <v>red-fish posta</v>
      </c>
      <c r="D446">
        <v>3972</v>
      </c>
      <c r="E446">
        <v>3739</v>
      </c>
      <c r="F446" s="5">
        <v>5.8700000000000002E-2</v>
      </c>
      <c r="G446" s="6">
        <v>79.22</v>
      </c>
      <c r="H446">
        <v>14</v>
      </c>
      <c r="I446">
        <v>214</v>
      </c>
      <c r="J446">
        <v>5</v>
      </c>
      <c r="K446">
        <f>Fato_Producao[[#This Row],[embalagens_danificadas]]+Fato_Producao[[#This Row],[peso_errado]]+Fato_Producao[[#This Row],[impressao]]</f>
        <v>233</v>
      </c>
      <c r="L446" s="1" t="d">
        <v>2024-06-23</v>
      </c>
      <c r="M446">
        <v>15</v>
      </c>
      <c r="N446" s="7">
        <v>11.09</v>
      </c>
      <c r="O446" s="4" t="str">
        <f t="shared" si="18"/>
        <v>julho</v>
      </c>
      <c r="P446" s="4">
        <f t="shared" si="19"/>
        <v>2024</v>
      </c>
      <c r="Q446" s="4" t="str">
        <f t="shared" si="20"/>
        <v/>
      </c>
      <c r="R446" t="s">
        <v>24</v>
      </c>
    </row>
    <row r="447" spans="1:18" x14ac:dyDescent="0.3">
      <c r="A447" s="1" t="d">
        <v>2024-07-08</v>
      </c>
      <c r="B447">
        <v>45503</v>
      </c>
      <c r="C447" t="str">
        <f>VLOOKUP(Fato_Producao[[#This Row],[referencia]], Dim_Produtos!A:B,2,FALSE)</f>
        <v>sardinha pequena</v>
      </c>
      <c r="D447">
        <v>2294</v>
      </c>
      <c r="E447">
        <v>2143</v>
      </c>
      <c r="F447" s="5">
        <v>6.5799999999999997E-2</v>
      </c>
      <c r="G447" s="6">
        <v>39.26</v>
      </c>
      <c r="H447">
        <v>6</v>
      </c>
      <c r="I447">
        <v>141</v>
      </c>
      <c r="J447">
        <v>4</v>
      </c>
      <c r="K447">
        <f>Fato_Producao[[#This Row],[embalagens_danificadas]]+Fato_Producao[[#This Row],[peso_errado]]+Fato_Producao[[#This Row],[impressao]]</f>
        <v>151</v>
      </c>
      <c r="L447" s="1" t="d">
        <v>2024-06-23</v>
      </c>
      <c r="M447">
        <v>15</v>
      </c>
      <c r="N447" s="7">
        <v>4.32</v>
      </c>
      <c r="O447" s="4" t="str">
        <f t="shared" si="18"/>
        <v>julho</v>
      </c>
      <c r="P447" s="4">
        <f t="shared" si="19"/>
        <v>2024</v>
      </c>
      <c r="Q447" s="4" t="str">
        <f t="shared" si="20"/>
        <v/>
      </c>
      <c r="R447" t="s">
        <v>24</v>
      </c>
    </row>
    <row r="448" spans="1:18" x14ac:dyDescent="0.3">
      <c r="A448" s="1" t="d">
        <v>2024-07-09</v>
      </c>
      <c r="B448">
        <v>45501</v>
      </c>
      <c r="C448" t="str">
        <f>VLOOKUP(Fato_Producao[[#This Row],[referencia]], Dim_Produtos!A:B,2,FALSE)</f>
        <v>pescada posta cozer</v>
      </c>
      <c r="D448">
        <v>3677</v>
      </c>
      <c r="E448">
        <v>3433</v>
      </c>
      <c r="F448" s="5">
        <v>6.6400000000000001E-2</v>
      </c>
      <c r="G448" s="6">
        <v>78.08</v>
      </c>
      <c r="H448">
        <v>8</v>
      </c>
      <c r="I448">
        <v>232</v>
      </c>
      <c r="J448">
        <v>4</v>
      </c>
      <c r="K448">
        <f>Fato_Producao[[#This Row],[embalagens_danificadas]]+Fato_Producao[[#This Row],[peso_errado]]+Fato_Producao[[#This Row],[impressao]]</f>
        <v>244</v>
      </c>
      <c r="L448" s="1" t="d">
        <v>2024-06-23</v>
      </c>
      <c r="M448">
        <v>16</v>
      </c>
      <c r="N448" s="7">
        <v>10.93</v>
      </c>
      <c r="O448" s="4" t="str">
        <f t="shared" si="18"/>
        <v>julho</v>
      </c>
      <c r="P448" s="4">
        <f t="shared" si="19"/>
        <v>2024</v>
      </c>
      <c r="Q448" s="4" t="str">
        <f t="shared" si="20"/>
        <v/>
      </c>
      <c r="R448" t="s">
        <v>24</v>
      </c>
    </row>
    <row r="449" spans="1:18" x14ac:dyDescent="0.3">
      <c r="A449" s="1" t="d">
        <v>2024-07-09</v>
      </c>
      <c r="B449">
        <v>45511</v>
      </c>
      <c r="C449" t="str">
        <f>VLOOKUP(Fato_Producao[[#This Row],[referencia]], Dim_Produtos!A:B,2,FALSE)</f>
        <v>lula limpa</v>
      </c>
      <c r="D449">
        <v>4018</v>
      </c>
      <c r="E449">
        <v>3661</v>
      </c>
      <c r="F449" s="5">
        <v>8.8900000000000007E-2</v>
      </c>
      <c r="G449" s="6">
        <v>114.24</v>
      </c>
      <c r="H449">
        <v>49</v>
      </c>
      <c r="I449">
        <v>303</v>
      </c>
      <c r="J449">
        <v>5</v>
      </c>
      <c r="K449">
        <f>Fato_Producao[[#This Row],[embalagens_danificadas]]+Fato_Producao[[#This Row],[peso_errado]]+Fato_Producao[[#This Row],[impressao]]</f>
        <v>357</v>
      </c>
      <c r="L449" s="1" t="d">
        <v>2024-06-23</v>
      </c>
      <c r="M449">
        <v>16</v>
      </c>
      <c r="N449" s="7">
        <v>15.99</v>
      </c>
      <c r="O449" s="4" t="str">
        <f t="shared" si="18"/>
        <v>julho</v>
      </c>
      <c r="P449" s="4">
        <f t="shared" si="19"/>
        <v>2024</v>
      </c>
      <c r="Q449" s="4" t="str">
        <f t="shared" si="20"/>
        <v/>
      </c>
      <c r="R449" t="s">
        <v>24</v>
      </c>
    </row>
    <row r="450" spans="1:18" x14ac:dyDescent="0.3">
      <c r="A450" s="1" t="d">
        <v>2024-07-10</v>
      </c>
      <c r="B450">
        <v>45510</v>
      </c>
      <c r="C450" t="str">
        <f>VLOOKUP(Fato_Producao[[#This Row],[referencia]], Dim_Produtos!A:B,2,FALSE)</f>
        <v>tiras pota</v>
      </c>
      <c r="D450">
        <v>2148</v>
      </c>
      <c r="E450">
        <v>1933</v>
      </c>
      <c r="F450" s="5">
        <v>0.10009999999999999</v>
      </c>
      <c r="G450" s="6">
        <v>68.8</v>
      </c>
      <c r="H450">
        <v>21</v>
      </c>
      <c r="I450">
        <v>190</v>
      </c>
      <c r="J450">
        <v>4</v>
      </c>
      <c r="K450">
        <f>Fato_Producao[[#This Row],[embalagens_danificadas]]+Fato_Producao[[#This Row],[peso_errado]]+Fato_Producao[[#This Row],[impressao]]</f>
        <v>215</v>
      </c>
      <c r="L450" s="1" t="d">
        <v>2024-06-23</v>
      </c>
      <c r="M450">
        <v>17</v>
      </c>
      <c r="N450" s="7">
        <v>9.6300000000000008</v>
      </c>
      <c r="O450" s="4" t="str">
        <f t="shared" ref="O450:O513" si="21">TEXT(A450, "mmmm")</f>
        <v>julho</v>
      </c>
      <c r="P450" s="4">
        <f t="shared" ref="P450:P513" si="22">YEAR(A450)</f>
        <v>2024</v>
      </c>
      <c r="Q450" s="4" t="str">
        <f t="shared" ref="Q450:Q513" si="23">IF(M451 &gt;= M450, "", M450)</f>
        <v/>
      </c>
      <c r="R450" t="s">
        <v>24</v>
      </c>
    </row>
    <row r="451" spans="1:18" x14ac:dyDescent="0.3">
      <c r="A451" s="1" t="d">
        <v>2024-07-10</v>
      </c>
      <c r="B451">
        <v>45510</v>
      </c>
      <c r="C451" t="str">
        <f>VLOOKUP(Fato_Producao[[#This Row],[referencia]], Dim_Produtos!A:B,2,FALSE)</f>
        <v>tiras pota</v>
      </c>
      <c r="D451">
        <v>3322</v>
      </c>
      <c r="E451">
        <v>3067</v>
      </c>
      <c r="F451" s="5">
        <v>7.6799999999999993E-2</v>
      </c>
      <c r="G451" s="6">
        <v>81.599999999999994</v>
      </c>
      <c r="H451">
        <v>30</v>
      </c>
      <c r="I451">
        <v>220</v>
      </c>
      <c r="J451">
        <v>5</v>
      </c>
      <c r="K451">
        <f>Fato_Producao[[#This Row],[embalagens_danificadas]]+Fato_Producao[[#This Row],[peso_errado]]+Fato_Producao[[#This Row],[impressao]]</f>
        <v>255</v>
      </c>
      <c r="L451" s="1" t="d">
        <v>2024-06-23</v>
      </c>
      <c r="M451">
        <v>17</v>
      </c>
      <c r="N451" s="7">
        <v>11.42</v>
      </c>
      <c r="O451" s="4" t="str">
        <f t="shared" si="21"/>
        <v>julho</v>
      </c>
      <c r="P451" s="4">
        <f t="shared" si="22"/>
        <v>2024</v>
      </c>
      <c r="Q451" s="4" t="str">
        <f t="shared" si="23"/>
        <v/>
      </c>
      <c r="R451" t="s">
        <v>24</v>
      </c>
    </row>
    <row r="452" spans="1:18" x14ac:dyDescent="0.3">
      <c r="A452" s="1" t="d">
        <v>2024-07-11</v>
      </c>
      <c r="B452">
        <v>45503</v>
      </c>
      <c r="C452" t="str">
        <f>VLOOKUP(Fato_Producao[[#This Row],[referencia]], Dim_Produtos!A:B,2,FALSE)</f>
        <v>sardinha pequena</v>
      </c>
      <c r="D452">
        <v>2428</v>
      </c>
      <c r="E452">
        <v>2304</v>
      </c>
      <c r="F452" s="5">
        <v>5.11E-2</v>
      </c>
      <c r="G452" s="6">
        <v>32.24</v>
      </c>
      <c r="H452">
        <v>3</v>
      </c>
      <c r="I452">
        <v>119</v>
      </c>
      <c r="J452">
        <v>2</v>
      </c>
      <c r="K452">
        <f>Fato_Producao[[#This Row],[embalagens_danificadas]]+Fato_Producao[[#This Row],[peso_errado]]+Fato_Producao[[#This Row],[impressao]]</f>
        <v>124</v>
      </c>
      <c r="L452" s="1" t="d">
        <v>2024-06-23</v>
      </c>
      <c r="M452">
        <v>18</v>
      </c>
      <c r="N452" s="7">
        <v>3.55</v>
      </c>
      <c r="O452" s="4" t="str">
        <f t="shared" si="21"/>
        <v>julho</v>
      </c>
      <c r="P452" s="4">
        <f t="shared" si="22"/>
        <v>2024</v>
      </c>
      <c r="Q452" s="4" t="str">
        <f t="shared" si="23"/>
        <v/>
      </c>
      <c r="R452" t="s">
        <v>24</v>
      </c>
    </row>
    <row r="453" spans="1:18" x14ac:dyDescent="0.3">
      <c r="A453" s="1" t="d">
        <v>2024-07-11</v>
      </c>
      <c r="B453">
        <v>45504</v>
      </c>
      <c r="C453" t="str">
        <f>VLOOKUP(Fato_Producao[[#This Row],[referencia]], Dim_Produtos!A:B,2,FALSE)</f>
        <v>pescada posta fritar</v>
      </c>
      <c r="D453">
        <v>2905</v>
      </c>
      <c r="E453">
        <v>2728</v>
      </c>
      <c r="F453" s="5">
        <v>6.0900000000000003E-2</v>
      </c>
      <c r="G453" s="6">
        <v>56.64</v>
      </c>
      <c r="H453">
        <v>12</v>
      </c>
      <c r="I453">
        <v>163</v>
      </c>
      <c r="J453">
        <v>2</v>
      </c>
      <c r="K453">
        <f>Fato_Producao[[#This Row],[embalagens_danificadas]]+Fato_Producao[[#This Row],[peso_errado]]+Fato_Producao[[#This Row],[impressao]]</f>
        <v>177</v>
      </c>
      <c r="L453" s="1" t="d">
        <v>2024-06-23</v>
      </c>
      <c r="M453">
        <v>18</v>
      </c>
      <c r="N453" s="7">
        <v>7.93</v>
      </c>
      <c r="O453" s="4" t="str">
        <f t="shared" si="21"/>
        <v>julho</v>
      </c>
      <c r="P453" s="4">
        <f t="shared" si="22"/>
        <v>2024</v>
      </c>
      <c r="Q453" s="4" t="str">
        <f t="shared" si="23"/>
        <v/>
      </c>
      <c r="R453" t="s">
        <v>24</v>
      </c>
    </row>
    <row r="454" spans="1:18" x14ac:dyDescent="0.3">
      <c r="A454" s="1" t="d">
        <v>2024-07-12</v>
      </c>
      <c r="B454">
        <v>45503</v>
      </c>
      <c r="C454" t="str">
        <f>VLOOKUP(Fato_Producao[[#This Row],[referencia]], Dim_Produtos!A:B,2,FALSE)</f>
        <v>sardinha pequena</v>
      </c>
      <c r="D454">
        <v>3089</v>
      </c>
      <c r="E454">
        <v>2861</v>
      </c>
      <c r="F454" s="5">
        <v>7.3800000000000004E-2</v>
      </c>
      <c r="G454" s="6">
        <v>59.28</v>
      </c>
      <c r="H454">
        <v>7</v>
      </c>
      <c r="I454">
        <v>218</v>
      </c>
      <c r="J454">
        <v>3</v>
      </c>
      <c r="K454">
        <f>Fato_Producao[[#This Row],[embalagens_danificadas]]+Fato_Producao[[#This Row],[peso_errado]]+Fato_Producao[[#This Row],[impressao]]</f>
        <v>228</v>
      </c>
      <c r="L454" s="1" t="d">
        <v>2024-06-23</v>
      </c>
      <c r="M454">
        <v>19</v>
      </c>
      <c r="N454" s="7">
        <v>6.52</v>
      </c>
      <c r="O454" s="4" t="str">
        <f t="shared" si="21"/>
        <v>julho</v>
      </c>
      <c r="P454" s="4">
        <f t="shared" si="22"/>
        <v>2024</v>
      </c>
      <c r="Q454" s="4" t="str">
        <f t="shared" si="23"/>
        <v/>
      </c>
      <c r="R454" t="s">
        <v>24</v>
      </c>
    </row>
    <row r="455" spans="1:18" x14ac:dyDescent="0.3">
      <c r="A455" s="1" t="d">
        <v>2024-07-12</v>
      </c>
      <c r="B455">
        <v>45507</v>
      </c>
      <c r="C455" t="str">
        <f>VLOOKUP(Fato_Producao[[#This Row],[referencia]], Dim_Produtos!A:B,2,FALSE)</f>
        <v>salmao posta</v>
      </c>
      <c r="D455">
        <v>3572</v>
      </c>
      <c r="E455">
        <v>3342</v>
      </c>
      <c r="F455" s="5">
        <v>6.4399999999999999E-2</v>
      </c>
      <c r="G455" s="6">
        <v>80.5</v>
      </c>
      <c r="H455">
        <v>10</v>
      </c>
      <c r="I455">
        <v>214</v>
      </c>
      <c r="J455">
        <v>6</v>
      </c>
      <c r="K455">
        <f>Fato_Producao[[#This Row],[embalagens_danificadas]]+Fato_Producao[[#This Row],[peso_errado]]+Fato_Producao[[#This Row],[impressao]]</f>
        <v>230</v>
      </c>
      <c r="L455" s="1" t="d">
        <v>2024-06-23</v>
      </c>
      <c r="M455">
        <v>19</v>
      </c>
      <c r="N455" s="7">
        <v>12.88</v>
      </c>
      <c r="O455" s="4" t="str">
        <f t="shared" si="21"/>
        <v>julho</v>
      </c>
      <c r="P455" s="4">
        <f t="shared" si="22"/>
        <v>2024</v>
      </c>
      <c r="Q455" s="4" t="str">
        <f t="shared" si="23"/>
        <v/>
      </c>
      <c r="R455" t="s">
        <v>24</v>
      </c>
    </row>
    <row r="456" spans="1:18" x14ac:dyDescent="0.3">
      <c r="A456" s="1" t="d">
        <v>2024-07-13</v>
      </c>
      <c r="B456">
        <v>45504</v>
      </c>
      <c r="C456" t="str">
        <f>VLOOKUP(Fato_Producao[[#This Row],[referencia]], Dim_Produtos!A:B,2,FALSE)</f>
        <v>pescada posta fritar</v>
      </c>
      <c r="D456">
        <v>3946</v>
      </c>
      <c r="E456">
        <v>3646</v>
      </c>
      <c r="F456" s="5">
        <v>7.5999999999999998E-2</v>
      </c>
      <c r="G456" s="6">
        <v>96</v>
      </c>
      <c r="H456">
        <v>13</v>
      </c>
      <c r="I456">
        <v>279</v>
      </c>
      <c r="J456">
        <v>8</v>
      </c>
      <c r="K456">
        <f>Fato_Producao[[#This Row],[embalagens_danificadas]]+Fato_Producao[[#This Row],[peso_errado]]+Fato_Producao[[#This Row],[impressao]]</f>
        <v>300</v>
      </c>
      <c r="L456" s="1" t="d">
        <v>2024-06-23</v>
      </c>
      <c r="M456">
        <v>20</v>
      </c>
      <c r="N456" s="7">
        <v>13.44</v>
      </c>
      <c r="O456" s="4" t="str">
        <f t="shared" si="21"/>
        <v>julho</v>
      </c>
      <c r="P456" s="4">
        <f t="shared" si="22"/>
        <v>2024</v>
      </c>
      <c r="Q456" s="4" t="str">
        <f t="shared" si="23"/>
        <v/>
      </c>
      <c r="R456" t="s">
        <v>24</v>
      </c>
    </row>
    <row r="457" spans="1:18" x14ac:dyDescent="0.3">
      <c r="A457" s="1" t="d">
        <v>2024-07-13</v>
      </c>
      <c r="B457">
        <v>45509</v>
      </c>
      <c r="C457" t="str">
        <f>VLOOKUP(Fato_Producao[[#This Row],[referencia]], Dim_Produtos!A:B,2,FALSE)</f>
        <v>lascas bacalhau</v>
      </c>
      <c r="D457">
        <v>2351</v>
      </c>
      <c r="E457">
        <v>2198</v>
      </c>
      <c r="F457" s="5">
        <v>6.5100000000000005E-2</v>
      </c>
      <c r="G457" s="6">
        <v>42.84</v>
      </c>
      <c r="H457">
        <v>4</v>
      </c>
      <c r="I457">
        <v>145</v>
      </c>
      <c r="J457">
        <v>4</v>
      </c>
      <c r="K457">
        <f>Fato_Producao[[#This Row],[embalagens_danificadas]]+Fato_Producao[[#This Row],[peso_errado]]+Fato_Producao[[#This Row],[impressao]]</f>
        <v>153</v>
      </c>
      <c r="L457" s="1" t="d">
        <v>2024-06-23</v>
      </c>
      <c r="M457">
        <v>20</v>
      </c>
      <c r="N457" s="7">
        <v>5.57</v>
      </c>
      <c r="O457" s="4" t="str">
        <f t="shared" si="21"/>
        <v>julho</v>
      </c>
      <c r="P457" s="4">
        <f t="shared" si="22"/>
        <v>2024</v>
      </c>
      <c r="Q457" s="4" t="str">
        <f t="shared" si="23"/>
        <v/>
      </c>
      <c r="R457" t="s">
        <v>24</v>
      </c>
    </row>
    <row r="458" spans="1:18" x14ac:dyDescent="0.3">
      <c r="A458" s="1" t="d">
        <v>2024-07-14</v>
      </c>
      <c r="B458">
        <v>45501</v>
      </c>
      <c r="C458" t="str">
        <f>VLOOKUP(Fato_Producao[[#This Row],[referencia]], Dim_Produtos!A:B,2,FALSE)</f>
        <v>pescada posta cozer</v>
      </c>
      <c r="D458">
        <v>2020</v>
      </c>
      <c r="E458">
        <v>1901</v>
      </c>
      <c r="F458" s="5">
        <v>5.8900000000000001E-2</v>
      </c>
      <c r="G458" s="6">
        <v>38.08</v>
      </c>
      <c r="H458">
        <v>8</v>
      </c>
      <c r="I458">
        <v>108</v>
      </c>
      <c r="J458">
        <v>3</v>
      </c>
      <c r="K458">
        <f>Fato_Producao[[#This Row],[embalagens_danificadas]]+Fato_Producao[[#This Row],[peso_errado]]+Fato_Producao[[#This Row],[impressao]]</f>
        <v>119</v>
      </c>
      <c r="L458" s="1" t="d">
        <v>2024-06-23</v>
      </c>
      <c r="M458">
        <v>21</v>
      </c>
      <c r="N458" s="7">
        <v>5.33</v>
      </c>
      <c r="O458" s="4" t="str">
        <f t="shared" si="21"/>
        <v>julho</v>
      </c>
      <c r="P458" s="4">
        <f t="shared" si="22"/>
        <v>2024</v>
      </c>
      <c r="Q458" s="4" t="str">
        <f t="shared" si="23"/>
        <v/>
      </c>
      <c r="R458" t="s">
        <v>24</v>
      </c>
    </row>
    <row r="459" spans="1:18" x14ac:dyDescent="0.3">
      <c r="A459" s="1" t="d">
        <v>2024-07-14</v>
      </c>
      <c r="B459">
        <v>45510</v>
      </c>
      <c r="C459" t="str">
        <f>VLOOKUP(Fato_Producao[[#This Row],[referencia]], Dim_Produtos!A:B,2,FALSE)</f>
        <v>tiras pota</v>
      </c>
      <c r="D459">
        <v>3713</v>
      </c>
      <c r="E459">
        <v>3445</v>
      </c>
      <c r="F459" s="5">
        <v>7.22E-2</v>
      </c>
      <c r="G459" s="6">
        <v>85.76</v>
      </c>
      <c r="H459">
        <v>31</v>
      </c>
      <c r="I459">
        <v>232</v>
      </c>
      <c r="J459">
        <v>5</v>
      </c>
      <c r="K459">
        <f>Fato_Producao[[#This Row],[embalagens_danificadas]]+Fato_Producao[[#This Row],[peso_errado]]+Fato_Producao[[#This Row],[impressao]]</f>
        <v>268</v>
      </c>
      <c r="L459" s="1" t="d">
        <v>2024-06-23</v>
      </c>
      <c r="M459">
        <v>21</v>
      </c>
      <c r="N459" s="7">
        <v>12.01</v>
      </c>
      <c r="O459" s="4" t="str">
        <f t="shared" si="21"/>
        <v>julho</v>
      </c>
      <c r="P459" s="4">
        <f t="shared" si="22"/>
        <v>2024</v>
      </c>
      <c r="Q459" s="4" t="str">
        <f t="shared" si="23"/>
        <v/>
      </c>
      <c r="R459" t="s">
        <v>24</v>
      </c>
    </row>
    <row r="460" spans="1:18" x14ac:dyDescent="0.3">
      <c r="A460" s="1" t="d">
        <v>2024-07-15</v>
      </c>
      <c r="B460">
        <v>45507</v>
      </c>
      <c r="C460" t="str">
        <f>VLOOKUP(Fato_Producao[[#This Row],[referencia]], Dim_Produtos!A:B,2,FALSE)</f>
        <v>salmao posta</v>
      </c>
      <c r="D460">
        <v>3782</v>
      </c>
      <c r="E460">
        <v>3507</v>
      </c>
      <c r="F460" s="5">
        <v>7.2700000000000001E-2</v>
      </c>
      <c r="G460" s="6">
        <v>96.25</v>
      </c>
      <c r="H460">
        <v>12</v>
      </c>
      <c r="I460">
        <v>259</v>
      </c>
      <c r="J460">
        <v>4</v>
      </c>
      <c r="K460">
        <f>Fato_Producao[[#This Row],[embalagens_danificadas]]+Fato_Producao[[#This Row],[peso_errado]]+Fato_Producao[[#This Row],[impressao]]</f>
        <v>275</v>
      </c>
      <c r="L460" s="1" t="d">
        <v>2024-06-23</v>
      </c>
      <c r="M460">
        <v>22</v>
      </c>
      <c r="N460" s="7">
        <v>15.4</v>
      </c>
      <c r="O460" s="4" t="str">
        <f t="shared" si="21"/>
        <v>julho</v>
      </c>
      <c r="P460" s="4">
        <f t="shared" si="22"/>
        <v>2024</v>
      </c>
      <c r="Q460" s="4" t="str">
        <f t="shared" si="23"/>
        <v/>
      </c>
      <c r="R460" t="s">
        <v>24</v>
      </c>
    </row>
    <row r="461" spans="1:18" x14ac:dyDescent="0.3">
      <c r="A461" s="1" t="d">
        <v>2024-07-15</v>
      </c>
      <c r="B461">
        <v>45508</v>
      </c>
      <c r="C461" t="str">
        <f>VLOOKUP(Fato_Producao[[#This Row],[referencia]], Dim_Produtos!A:B,2,FALSE)</f>
        <v>lula suja</v>
      </c>
      <c r="D461">
        <v>2078</v>
      </c>
      <c r="E461">
        <v>1906</v>
      </c>
      <c r="F461" s="5">
        <v>8.2799999999999999E-2</v>
      </c>
      <c r="G461" s="6">
        <v>55.04</v>
      </c>
      <c r="H461">
        <v>18</v>
      </c>
      <c r="I461">
        <v>150</v>
      </c>
      <c r="J461">
        <v>4</v>
      </c>
      <c r="K461">
        <f>Fato_Producao[[#This Row],[embalagens_danificadas]]+Fato_Producao[[#This Row],[peso_errado]]+Fato_Producao[[#This Row],[impressao]]</f>
        <v>172</v>
      </c>
      <c r="L461" s="1" t="d">
        <v>2024-06-23</v>
      </c>
      <c r="M461">
        <v>22</v>
      </c>
      <c r="N461" s="7">
        <v>7.71</v>
      </c>
      <c r="O461" s="4" t="str">
        <f t="shared" si="21"/>
        <v>julho</v>
      </c>
      <c r="P461" s="4">
        <f t="shared" si="22"/>
        <v>2024</v>
      </c>
      <c r="Q461" s="4" t="str">
        <f t="shared" si="23"/>
        <v/>
      </c>
      <c r="R461" t="s">
        <v>24</v>
      </c>
    </row>
    <row r="462" spans="1:18" x14ac:dyDescent="0.3">
      <c r="A462" s="1" t="d">
        <v>2024-07-16</v>
      </c>
      <c r="B462">
        <v>45512</v>
      </c>
      <c r="C462" t="str">
        <f>VLOOKUP(Fato_Producao[[#This Row],[referencia]], Dim_Produtos!A:B,2,FALSE)</f>
        <v>red-fish posta</v>
      </c>
      <c r="D462">
        <v>2499</v>
      </c>
      <c r="E462">
        <v>2363</v>
      </c>
      <c r="F462" s="5">
        <v>5.4399999999999997E-2</v>
      </c>
      <c r="G462" s="6">
        <v>46.24</v>
      </c>
      <c r="H462">
        <v>9</v>
      </c>
      <c r="I462">
        <v>125</v>
      </c>
      <c r="J462">
        <v>2</v>
      </c>
      <c r="K462">
        <f>Fato_Producao[[#This Row],[embalagens_danificadas]]+Fato_Producao[[#This Row],[peso_errado]]+Fato_Producao[[#This Row],[impressao]]</f>
        <v>136</v>
      </c>
      <c r="L462" s="1" t="d">
        <v>2024-06-23</v>
      </c>
      <c r="M462">
        <v>23</v>
      </c>
      <c r="N462" s="7">
        <v>6.47</v>
      </c>
      <c r="O462" s="4" t="str">
        <f t="shared" si="21"/>
        <v>julho</v>
      </c>
      <c r="P462" s="4">
        <f t="shared" si="22"/>
        <v>2024</v>
      </c>
      <c r="Q462" s="4" t="str">
        <f t="shared" si="23"/>
        <v/>
      </c>
      <c r="R462" t="s">
        <v>24</v>
      </c>
    </row>
    <row r="463" spans="1:18" x14ac:dyDescent="0.3">
      <c r="A463" s="1" t="d">
        <v>2024-07-16</v>
      </c>
      <c r="B463">
        <v>45512</v>
      </c>
      <c r="C463" t="str">
        <f>VLOOKUP(Fato_Producao[[#This Row],[referencia]], Dim_Produtos!A:B,2,FALSE)</f>
        <v>red-fish posta</v>
      </c>
      <c r="D463">
        <v>2011</v>
      </c>
      <c r="E463">
        <v>1887</v>
      </c>
      <c r="F463" s="5">
        <v>6.1699999999999998E-2</v>
      </c>
      <c r="G463" s="6">
        <v>42.16</v>
      </c>
      <c r="H463">
        <v>8</v>
      </c>
      <c r="I463">
        <v>113</v>
      </c>
      <c r="J463">
        <v>3</v>
      </c>
      <c r="K463">
        <f>Fato_Producao[[#This Row],[embalagens_danificadas]]+Fato_Producao[[#This Row],[peso_errado]]+Fato_Producao[[#This Row],[impressao]]</f>
        <v>124</v>
      </c>
      <c r="L463" s="1" t="d">
        <v>2024-06-23</v>
      </c>
      <c r="M463">
        <v>23</v>
      </c>
      <c r="N463" s="7">
        <v>5.9</v>
      </c>
      <c r="O463" s="4" t="str">
        <f t="shared" si="21"/>
        <v>julho</v>
      </c>
      <c r="P463" s="4">
        <f t="shared" si="22"/>
        <v>2024</v>
      </c>
      <c r="Q463" s="4" t="str">
        <f t="shared" si="23"/>
        <v/>
      </c>
      <c r="R463" t="s">
        <v>24</v>
      </c>
    </row>
    <row r="464" spans="1:18" x14ac:dyDescent="0.3">
      <c r="A464" s="1" t="d">
        <v>2024-07-17</v>
      </c>
      <c r="B464">
        <v>45505</v>
      </c>
      <c r="C464" t="str">
        <f>VLOOKUP(Fato_Producao[[#This Row],[referencia]], Dim_Produtos!A:B,2,FALSE)</f>
        <v>camarao</v>
      </c>
      <c r="D464">
        <v>3334</v>
      </c>
      <c r="E464">
        <v>3127</v>
      </c>
      <c r="F464" s="5">
        <v>6.2100000000000002E-2</v>
      </c>
      <c r="G464" s="6">
        <v>62.1</v>
      </c>
      <c r="H464">
        <v>55</v>
      </c>
      <c r="I464">
        <v>144</v>
      </c>
      <c r="J464">
        <v>8</v>
      </c>
      <c r="K464">
        <f>Fato_Producao[[#This Row],[embalagens_danificadas]]+Fato_Producao[[#This Row],[peso_errado]]+Fato_Producao[[#This Row],[impressao]]</f>
        <v>207</v>
      </c>
      <c r="L464" s="1" t="d">
        <v>2024-06-23</v>
      </c>
      <c r="M464">
        <v>24</v>
      </c>
      <c r="N464" s="7">
        <v>9.31</v>
      </c>
      <c r="O464" s="4" t="str">
        <f t="shared" si="21"/>
        <v>julho</v>
      </c>
      <c r="P464" s="4">
        <f t="shared" si="22"/>
        <v>2024</v>
      </c>
      <c r="Q464" s="4" t="str">
        <f t="shared" si="23"/>
        <v/>
      </c>
      <c r="R464" t="s">
        <v>24</v>
      </c>
    </row>
    <row r="465" spans="1:18" x14ac:dyDescent="0.3">
      <c r="A465" s="1" t="d">
        <v>2024-07-17</v>
      </c>
      <c r="B465">
        <v>45504</v>
      </c>
      <c r="C465" t="str">
        <f>VLOOKUP(Fato_Producao[[#This Row],[referencia]], Dim_Produtos!A:B,2,FALSE)</f>
        <v>pescada posta fritar</v>
      </c>
      <c r="D465">
        <v>2935</v>
      </c>
      <c r="E465">
        <v>2676</v>
      </c>
      <c r="F465" s="5">
        <v>8.8200000000000001E-2</v>
      </c>
      <c r="G465" s="6">
        <v>82.88</v>
      </c>
      <c r="H465">
        <v>16</v>
      </c>
      <c r="I465">
        <v>238</v>
      </c>
      <c r="J465">
        <v>5</v>
      </c>
      <c r="K465">
        <f>Fato_Producao[[#This Row],[embalagens_danificadas]]+Fato_Producao[[#This Row],[peso_errado]]+Fato_Producao[[#This Row],[impressao]]</f>
        <v>259</v>
      </c>
      <c r="L465" s="1" t="d">
        <v>2024-06-23</v>
      </c>
      <c r="M465">
        <v>24</v>
      </c>
      <c r="N465" s="7">
        <v>11.6</v>
      </c>
      <c r="O465" s="4" t="str">
        <f t="shared" si="21"/>
        <v>julho</v>
      </c>
      <c r="P465" s="4">
        <f t="shared" si="22"/>
        <v>2024</v>
      </c>
      <c r="Q465" s="4" t="str">
        <f t="shared" si="23"/>
        <v/>
      </c>
      <c r="R465" t="s">
        <v>24</v>
      </c>
    </row>
    <row r="466" spans="1:18" x14ac:dyDescent="0.3">
      <c r="A466" s="1" t="d">
        <v>2024-07-18</v>
      </c>
      <c r="B466">
        <v>45505</v>
      </c>
      <c r="C466" t="str">
        <f>VLOOKUP(Fato_Producao[[#This Row],[referencia]], Dim_Produtos!A:B,2,FALSE)</f>
        <v>camarao</v>
      </c>
      <c r="D466">
        <v>2845</v>
      </c>
      <c r="E466">
        <v>2593</v>
      </c>
      <c r="F466" s="5">
        <v>8.8599999999999998E-2</v>
      </c>
      <c r="G466" s="6">
        <v>75.599999999999994</v>
      </c>
      <c r="H466">
        <v>48</v>
      </c>
      <c r="I466">
        <v>197</v>
      </c>
      <c r="J466">
        <v>7</v>
      </c>
      <c r="K466">
        <f>Fato_Producao[[#This Row],[embalagens_danificadas]]+Fato_Producao[[#This Row],[peso_errado]]+Fato_Producao[[#This Row],[impressao]]</f>
        <v>252</v>
      </c>
      <c r="L466" s="1" t="d">
        <v>2024-06-23</v>
      </c>
      <c r="M466">
        <v>25</v>
      </c>
      <c r="N466" s="7">
        <v>11.34</v>
      </c>
      <c r="O466" s="4" t="str">
        <f t="shared" si="21"/>
        <v>julho</v>
      </c>
      <c r="P466" s="4">
        <f t="shared" si="22"/>
        <v>2024</v>
      </c>
      <c r="Q466" s="4" t="str">
        <f t="shared" si="23"/>
        <v/>
      </c>
      <c r="R466" t="s">
        <v>24</v>
      </c>
    </row>
    <row r="467" spans="1:18" x14ac:dyDescent="0.3">
      <c r="A467" s="1" t="d">
        <v>2024-07-18</v>
      </c>
      <c r="B467">
        <v>45509</v>
      </c>
      <c r="C467" t="str">
        <f>VLOOKUP(Fato_Producao[[#This Row],[referencia]], Dim_Produtos!A:B,2,FALSE)</f>
        <v>lascas bacalhau</v>
      </c>
      <c r="D467">
        <v>3879</v>
      </c>
      <c r="E467">
        <v>3659</v>
      </c>
      <c r="F467" s="5">
        <v>5.67E-2</v>
      </c>
      <c r="G467" s="6">
        <v>61.6</v>
      </c>
      <c r="H467">
        <v>6</v>
      </c>
      <c r="I467">
        <v>209</v>
      </c>
      <c r="J467">
        <v>5</v>
      </c>
      <c r="K467">
        <f>Fato_Producao[[#This Row],[embalagens_danificadas]]+Fato_Producao[[#This Row],[peso_errado]]+Fato_Producao[[#This Row],[impressao]]</f>
        <v>220</v>
      </c>
      <c r="L467" s="1" t="d">
        <v>2024-06-23</v>
      </c>
      <c r="M467">
        <v>25</v>
      </c>
      <c r="N467" s="7">
        <v>8.01</v>
      </c>
      <c r="O467" s="4" t="str">
        <f t="shared" si="21"/>
        <v>julho</v>
      </c>
      <c r="P467" s="4">
        <f t="shared" si="22"/>
        <v>2024</v>
      </c>
      <c r="Q467" s="4" t="str">
        <f t="shared" si="23"/>
        <v/>
      </c>
      <c r="R467" t="s">
        <v>24</v>
      </c>
    </row>
    <row r="468" spans="1:18" x14ac:dyDescent="0.3">
      <c r="A468" s="1" t="d">
        <v>2024-07-19</v>
      </c>
      <c r="B468">
        <v>45509</v>
      </c>
      <c r="C468" t="str">
        <f>VLOOKUP(Fato_Producao[[#This Row],[referencia]], Dim_Produtos!A:B,2,FALSE)</f>
        <v>lascas bacalhau</v>
      </c>
      <c r="D468">
        <v>3383</v>
      </c>
      <c r="E468">
        <v>3095</v>
      </c>
      <c r="F468" s="5">
        <v>8.5099999999999995E-2</v>
      </c>
      <c r="G468" s="6">
        <v>80.64</v>
      </c>
      <c r="H468">
        <v>18</v>
      </c>
      <c r="I468">
        <v>264</v>
      </c>
      <c r="J468">
        <v>6</v>
      </c>
      <c r="K468">
        <f>Fato_Producao[[#This Row],[embalagens_danificadas]]+Fato_Producao[[#This Row],[peso_errado]]+Fato_Producao[[#This Row],[impressao]]</f>
        <v>288</v>
      </c>
      <c r="L468" s="1" t="d">
        <v>2024-06-23</v>
      </c>
      <c r="M468">
        <v>26</v>
      </c>
      <c r="N468" s="7">
        <v>10.48</v>
      </c>
      <c r="O468" s="4" t="str">
        <f t="shared" si="21"/>
        <v>julho</v>
      </c>
      <c r="P468" s="4">
        <f t="shared" si="22"/>
        <v>2024</v>
      </c>
      <c r="Q468" s="4" t="str">
        <f t="shared" si="23"/>
        <v/>
      </c>
      <c r="R468" t="s">
        <v>24</v>
      </c>
    </row>
    <row r="469" spans="1:18" x14ac:dyDescent="0.3">
      <c r="A469" s="1" t="d">
        <v>2024-07-19</v>
      </c>
      <c r="B469">
        <v>45508</v>
      </c>
      <c r="C469" t="str">
        <f>VLOOKUP(Fato_Producao[[#This Row],[referencia]], Dim_Produtos!A:B,2,FALSE)</f>
        <v>lula suja</v>
      </c>
      <c r="D469">
        <v>2904</v>
      </c>
      <c r="E469">
        <v>2652</v>
      </c>
      <c r="F469" s="5">
        <v>8.6800000000000002E-2</v>
      </c>
      <c r="G469" s="6">
        <v>80.64</v>
      </c>
      <c r="H469">
        <v>35</v>
      </c>
      <c r="I469">
        <v>211</v>
      </c>
      <c r="J469">
        <v>6</v>
      </c>
      <c r="K469">
        <f>Fato_Producao[[#This Row],[embalagens_danificadas]]+Fato_Producao[[#This Row],[peso_errado]]+Fato_Producao[[#This Row],[impressao]]</f>
        <v>252</v>
      </c>
      <c r="L469" s="1" t="d">
        <v>2024-06-23</v>
      </c>
      <c r="M469">
        <v>26</v>
      </c>
      <c r="N469" s="7">
        <v>11.29</v>
      </c>
      <c r="O469" s="4" t="str">
        <f t="shared" si="21"/>
        <v>julho</v>
      </c>
      <c r="P469" s="4">
        <f t="shared" si="22"/>
        <v>2024</v>
      </c>
      <c r="Q469" s="4" t="str">
        <f t="shared" si="23"/>
        <v/>
      </c>
      <c r="R469" t="s">
        <v>24</v>
      </c>
    </row>
    <row r="470" spans="1:18" x14ac:dyDescent="0.3">
      <c r="A470" s="1" t="d">
        <v>2024-07-20</v>
      </c>
      <c r="B470">
        <v>45510</v>
      </c>
      <c r="C470" t="str">
        <f>VLOOKUP(Fato_Producao[[#This Row],[referencia]], Dim_Produtos!A:B,2,FALSE)</f>
        <v>tiras pota</v>
      </c>
      <c r="D470">
        <v>2806</v>
      </c>
      <c r="E470">
        <v>2530</v>
      </c>
      <c r="F470" s="5">
        <v>9.8400000000000001E-2</v>
      </c>
      <c r="G470" s="6">
        <v>88.32</v>
      </c>
      <c r="H470">
        <v>28</v>
      </c>
      <c r="I470">
        <v>241</v>
      </c>
      <c r="J470">
        <v>7</v>
      </c>
      <c r="K470">
        <f>Fato_Producao[[#This Row],[embalagens_danificadas]]+Fato_Producao[[#This Row],[peso_errado]]+Fato_Producao[[#This Row],[impressao]]</f>
        <v>276</v>
      </c>
      <c r="L470" s="1" t="d">
        <v>2024-06-23</v>
      </c>
      <c r="M470">
        <v>27</v>
      </c>
      <c r="N470" s="7">
        <v>12.36</v>
      </c>
      <c r="O470" s="4" t="str">
        <f t="shared" si="21"/>
        <v>julho</v>
      </c>
      <c r="P470" s="4">
        <f t="shared" si="22"/>
        <v>2024</v>
      </c>
      <c r="Q470" s="4" t="str">
        <f t="shared" si="23"/>
        <v/>
      </c>
      <c r="R470" t="s">
        <v>24</v>
      </c>
    </row>
    <row r="471" spans="1:18" x14ac:dyDescent="0.3">
      <c r="A471" s="1" t="d">
        <v>2024-07-20</v>
      </c>
      <c r="B471">
        <v>45512</v>
      </c>
      <c r="C471" t="str">
        <f>VLOOKUP(Fato_Producao[[#This Row],[referencia]], Dim_Produtos!A:B,2,FALSE)</f>
        <v>red-fish posta</v>
      </c>
      <c r="D471">
        <v>3920</v>
      </c>
      <c r="E471">
        <v>3631</v>
      </c>
      <c r="F471" s="5">
        <v>7.3700000000000002E-2</v>
      </c>
      <c r="G471" s="6">
        <v>98.26</v>
      </c>
      <c r="H471">
        <v>12</v>
      </c>
      <c r="I471">
        <v>268</v>
      </c>
      <c r="J471">
        <v>9</v>
      </c>
      <c r="K471">
        <f>Fato_Producao[[#This Row],[embalagens_danificadas]]+Fato_Producao[[#This Row],[peso_errado]]+Fato_Producao[[#This Row],[impressao]]</f>
        <v>289</v>
      </c>
      <c r="L471" s="1" t="d">
        <v>2024-06-23</v>
      </c>
      <c r="M471">
        <v>27</v>
      </c>
      <c r="N471" s="7">
        <v>13.76</v>
      </c>
      <c r="O471" s="4" t="str">
        <f t="shared" si="21"/>
        <v>julho</v>
      </c>
      <c r="P471" s="4">
        <f t="shared" si="22"/>
        <v>2024</v>
      </c>
      <c r="Q471" s="4" t="str">
        <f t="shared" si="23"/>
        <v/>
      </c>
      <c r="R471" t="s">
        <v>24</v>
      </c>
    </row>
    <row r="472" spans="1:18" x14ac:dyDescent="0.3">
      <c r="A472" s="1" t="d">
        <v>2024-07-21</v>
      </c>
      <c r="B472">
        <v>45514</v>
      </c>
      <c r="C472" t="str">
        <f>VLOOKUP(Fato_Producao[[#This Row],[referencia]], Dim_Produtos!A:B,2,FALSE)</f>
        <v>sardinha pequena</v>
      </c>
      <c r="D472">
        <v>2360</v>
      </c>
      <c r="E472">
        <v>2153</v>
      </c>
      <c r="F472" s="5">
        <v>8.77E-2</v>
      </c>
      <c r="G472" s="6">
        <v>62.1</v>
      </c>
      <c r="H472">
        <v>9</v>
      </c>
      <c r="I472">
        <v>194</v>
      </c>
      <c r="J472">
        <v>4</v>
      </c>
      <c r="K472">
        <f>Fato_Producao[[#This Row],[embalagens_danificadas]]+Fato_Producao[[#This Row],[peso_errado]]+Fato_Producao[[#This Row],[impressao]]</f>
        <v>207</v>
      </c>
      <c r="L472" s="1" t="d">
        <v>2024-06-23</v>
      </c>
      <c r="M472">
        <v>28</v>
      </c>
      <c r="N472" s="7">
        <v>7.45</v>
      </c>
      <c r="O472" s="4" t="str">
        <f t="shared" si="21"/>
        <v>julho</v>
      </c>
      <c r="P472" s="4">
        <f t="shared" si="22"/>
        <v>2024</v>
      </c>
      <c r="Q472" s="4" t="str">
        <f t="shared" si="23"/>
        <v/>
      </c>
      <c r="R472" t="s">
        <v>24</v>
      </c>
    </row>
    <row r="473" spans="1:18" x14ac:dyDescent="0.3">
      <c r="A473" s="1" t="d">
        <v>2024-07-21</v>
      </c>
      <c r="B473">
        <v>45514</v>
      </c>
      <c r="C473" t="str">
        <f>VLOOKUP(Fato_Producao[[#This Row],[referencia]], Dim_Produtos!A:B,2,FALSE)</f>
        <v>sardinha pequena</v>
      </c>
      <c r="D473">
        <v>3367</v>
      </c>
      <c r="E473">
        <v>3030</v>
      </c>
      <c r="F473" s="5">
        <v>0.10009999999999999</v>
      </c>
      <c r="G473" s="6">
        <v>101.1</v>
      </c>
      <c r="H473">
        <v>12</v>
      </c>
      <c r="I473">
        <v>322</v>
      </c>
      <c r="J473">
        <v>3</v>
      </c>
      <c r="K473">
        <f>Fato_Producao[[#This Row],[embalagens_danificadas]]+Fato_Producao[[#This Row],[peso_errado]]+Fato_Producao[[#This Row],[impressao]]</f>
        <v>337</v>
      </c>
      <c r="L473" s="1" t="d">
        <v>2024-06-23</v>
      </c>
      <c r="M473">
        <v>28</v>
      </c>
      <c r="N473" s="7">
        <v>12.13</v>
      </c>
      <c r="O473" s="4" t="str">
        <f t="shared" si="21"/>
        <v>julho</v>
      </c>
      <c r="P473" s="4">
        <f t="shared" si="22"/>
        <v>2024</v>
      </c>
      <c r="Q473" s="4" t="str">
        <f t="shared" si="23"/>
        <v/>
      </c>
      <c r="R473" t="s">
        <v>24</v>
      </c>
    </row>
    <row r="474" spans="1:18" x14ac:dyDescent="0.3">
      <c r="A474" s="1" t="d">
        <v>2024-07-22</v>
      </c>
      <c r="B474">
        <v>45502</v>
      </c>
      <c r="C474" t="str">
        <f>VLOOKUP(Fato_Producao[[#This Row],[referencia]], Dim_Produtos!A:B,2,FALSE)</f>
        <v>carapau pelim</v>
      </c>
      <c r="D474">
        <v>1877</v>
      </c>
      <c r="E474">
        <v>1761</v>
      </c>
      <c r="F474" s="5">
        <v>6.1800000000000001E-2</v>
      </c>
      <c r="G474" s="6">
        <v>34.799999999999997</v>
      </c>
      <c r="H474">
        <v>34</v>
      </c>
      <c r="I474">
        <v>79</v>
      </c>
      <c r="J474">
        <v>3</v>
      </c>
      <c r="K474">
        <f>Fato_Producao[[#This Row],[embalagens_danificadas]]+Fato_Producao[[#This Row],[peso_errado]]+Fato_Producao[[#This Row],[impressao]]</f>
        <v>116</v>
      </c>
      <c r="L474" s="1" t="d">
        <v>2024-06-23</v>
      </c>
      <c r="M474">
        <v>29</v>
      </c>
      <c r="N474" s="7">
        <v>4.5199999999999996</v>
      </c>
      <c r="O474" s="4" t="str">
        <f t="shared" si="21"/>
        <v>julho</v>
      </c>
      <c r="P474" s="4">
        <f t="shared" si="22"/>
        <v>2024</v>
      </c>
      <c r="Q474" s="4" t="str">
        <f t="shared" si="23"/>
        <v/>
      </c>
      <c r="R474" t="s">
        <v>24</v>
      </c>
    </row>
    <row r="475" spans="1:18" x14ac:dyDescent="0.3">
      <c r="A475" s="1" t="d">
        <v>2024-07-22</v>
      </c>
      <c r="B475">
        <v>45500</v>
      </c>
      <c r="C475" t="str">
        <f>VLOOKUP(Fato_Producao[[#This Row],[referencia]], Dim_Produtos!A:B,2,FALSE)</f>
        <v>filete pescada</v>
      </c>
      <c r="D475">
        <v>2991</v>
      </c>
      <c r="E475">
        <v>2825</v>
      </c>
      <c r="F475" s="5">
        <v>5.5500000000000001E-2</v>
      </c>
      <c r="G475" s="6">
        <v>46.48</v>
      </c>
      <c r="H475">
        <v>7</v>
      </c>
      <c r="I475">
        <v>155</v>
      </c>
      <c r="J475">
        <v>4</v>
      </c>
      <c r="K475">
        <f>Fato_Producao[[#This Row],[embalagens_danificadas]]+Fato_Producao[[#This Row],[peso_errado]]+Fato_Producao[[#This Row],[impressao]]</f>
        <v>166</v>
      </c>
      <c r="L475" s="1" t="d">
        <v>2024-06-23</v>
      </c>
      <c r="M475">
        <v>29</v>
      </c>
      <c r="N475" s="7">
        <v>5.58</v>
      </c>
      <c r="O475" s="4" t="str">
        <f t="shared" si="21"/>
        <v>julho</v>
      </c>
      <c r="P475" s="4">
        <f t="shared" si="22"/>
        <v>2024</v>
      </c>
      <c r="Q475" s="4" t="str">
        <f t="shared" si="23"/>
        <v/>
      </c>
      <c r="R475" t="s">
        <v>24</v>
      </c>
    </row>
    <row r="476" spans="1:18" x14ac:dyDescent="0.3">
      <c r="A476" s="1" t="d">
        <v>2024-07-23</v>
      </c>
      <c r="B476">
        <v>45512</v>
      </c>
      <c r="C476" t="str">
        <f>VLOOKUP(Fato_Producao[[#This Row],[referencia]], Dim_Produtos!A:B,2,FALSE)</f>
        <v>red-fish posta</v>
      </c>
      <c r="D476">
        <v>3655</v>
      </c>
      <c r="E476">
        <v>3395</v>
      </c>
      <c r="F476" s="5">
        <v>7.1099999999999997E-2</v>
      </c>
      <c r="G476" s="6">
        <v>88.4</v>
      </c>
      <c r="H476">
        <v>9</v>
      </c>
      <c r="I476">
        <v>245</v>
      </c>
      <c r="J476">
        <v>6</v>
      </c>
      <c r="K476">
        <f>Fato_Producao[[#This Row],[embalagens_danificadas]]+Fato_Producao[[#This Row],[peso_errado]]+Fato_Producao[[#This Row],[impressao]]</f>
        <v>260</v>
      </c>
      <c r="L476" s="1" t="d">
        <v>2024-06-23</v>
      </c>
      <c r="M476">
        <v>30</v>
      </c>
      <c r="N476" s="7">
        <v>12.38</v>
      </c>
      <c r="O476" s="4" t="str">
        <f t="shared" si="21"/>
        <v>julho</v>
      </c>
      <c r="P476" s="4">
        <f t="shared" si="22"/>
        <v>2024</v>
      </c>
      <c r="Q476" s="4" t="str">
        <f t="shared" si="23"/>
        <v/>
      </c>
      <c r="R476" t="s">
        <v>24</v>
      </c>
    </row>
    <row r="477" spans="1:18" x14ac:dyDescent="0.3">
      <c r="A477" s="1" t="d">
        <v>2024-07-23</v>
      </c>
      <c r="B477">
        <v>45501</v>
      </c>
      <c r="C477" t="str">
        <f>VLOOKUP(Fato_Producao[[#This Row],[referencia]], Dim_Produtos!A:B,2,FALSE)</f>
        <v>pescada posta cozer</v>
      </c>
      <c r="D477">
        <v>2682</v>
      </c>
      <c r="E477">
        <v>2489</v>
      </c>
      <c r="F477" s="5">
        <v>7.1999999999999995E-2</v>
      </c>
      <c r="G477" s="6">
        <v>61.76</v>
      </c>
      <c r="H477">
        <v>14</v>
      </c>
      <c r="I477">
        <v>176</v>
      </c>
      <c r="J477">
        <v>3</v>
      </c>
      <c r="K477">
        <f>Fato_Producao[[#This Row],[embalagens_danificadas]]+Fato_Producao[[#This Row],[peso_errado]]+Fato_Producao[[#This Row],[impressao]]</f>
        <v>193</v>
      </c>
      <c r="L477" s="1" t="d">
        <v>2024-06-23</v>
      </c>
      <c r="M477">
        <v>30</v>
      </c>
      <c r="N477" s="7">
        <v>8.65</v>
      </c>
      <c r="O477" s="4" t="str">
        <f t="shared" si="21"/>
        <v>julho</v>
      </c>
      <c r="P477" s="4">
        <f t="shared" si="22"/>
        <v>2024</v>
      </c>
      <c r="Q477" s="4" t="str">
        <f t="shared" si="23"/>
        <v/>
      </c>
      <c r="R477" t="s">
        <v>24</v>
      </c>
    </row>
    <row r="478" spans="1:18" x14ac:dyDescent="0.3">
      <c r="A478" s="1" t="d">
        <v>2024-07-24</v>
      </c>
      <c r="B478">
        <v>45501</v>
      </c>
      <c r="C478" t="str">
        <f>VLOOKUP(Fato_Producao[[#This Row],[referencia]], Dim_Produtos!A:B,2,FALSE)</f>
        <v>pescada posta cozer</v>
      </c>
      <c r="D478">
        <v>2394</v>
      </c>
      <c r="E478">
        <v>2245</v>
      </c>
      <c r="F478" s="5">
        <v>6.2199999999999998E-2</v>
      </c>
      <c r="G478" s="6">
        <v>47.68</v>
      </c>
      <c r="H478">
        <v>10</v>
      </c>
      <c r="I478">
        <v>137</v>
      </c>
      <c r="J478">
        <v>2</v>
      </c>
      <c r="K478">
        <f>Fato_Producao[[#This Row],[embalagens_danificadas]]+Fato_Producao[[#This Row],[peso_errado]]+Fato_Producao[[#This Row],[impressao]]</f>
        <v>149</v>
      </c>
      <c r="L478" s="1" t="d">
        <v>2024-06-23</v>
      </c>
      <c r="M478">
        <v>31</v>
      </c>
      <c r="N478" s="7">
        <v>6.68</v>
      </c>
      <c r="O478" s="4" t="str">
        <f t="shared" si="21"/>
        <v>julho</v>
      </c>
      <c r="P478" s="4">
        <f t="shared" si="22"/>
        <v>2024</v>
      </c>
      <c r="Q478" s="4" t="str">
        <f t="shared" si="23"/>
        <v/>
      </c>
      <c r="R478" t="s">
        <v>24</v>
      </c>
    </row>
    <row r="479" spans="1:18" x14ac:dyDescent="0.3">
      <c r="A479" s="1" t="d">
        <v>2024-07-24</v>
      </c>
      <c r="B479">
        <v>45504</v>
      </c>
      <c r="C479" t="str">
        <f>VLOOKUP(Fato_Producao[[#This Row],[referencia]], Dim_Produtos!A:B,2,FALSE)</f>
        <v>pescada posta fritar</v>
      </c>
      <c r="D479">
        <v>4178</v>
      </c>
      <c r="E479">
        <v>3833</v>
      </c>
      <c r="F479" s="5">
        <v>8.2600000000000007E-2</v>
      </c>
      <c r="G479" s="6">
        <v>110.4</v>
      </c>
      <c r="H479">
        <v>14</v>
      </c>
      <c r="I479">
        <v>321</v>
      </c>
      <c r="J479">
        <v>10</v>
      </c>
      <c r="K479">
        <f>Fato_Producao[[#This Row],[embalagens_danificadas]]+Fato_Producao[[#This Row],[peso_errado]]+Fato_Producao[[#This Row],[impressao]]</f>
        <v>345</v>
      </c>
      <c r="L479" s="1" t="d">
        <v>2024-06-23</v>
      </c>
      <c r="M479">
        <v>31</v>
      </c>
      <c r="N479" s="7">
        <v>15.46</v>
      </c>
      <c r="O479" s="4" t="str">
        <f t="shared" si="21"/>
        <v>julho</v>
      </c>
      <c r="P479" s="4">
        <f t="shared" si="22"/>
        <v>2024</v>
      </c>
      <c r="Q479" s="4" t="str">
        <f t="shared" si="23"/>
        <v/>
      </c>
      <c r="R479" t="s">
        <v>24</v>
      </c>
    </row>
    <row r="480" spans="1:18" x14ac:dyDescent="0.3">
      <c r="A480" s="1" t="d">
        <v>2024-07-25</v>
      </c>
      <c r="B480">
        <v>45511</v>
      </c>
      <c r="C480" t="str">
        <f>VLOOKUP(Fato_Producao[[#This Row],[referencia]], Dim_Produtos!A:B,2,FALSE)</f>
        <v>lula limpa</v>
      </c>
      <c r="D480">
        <v>3965</v>
      </c>
      <c r="E480">
        <v>3630</v>
      </c>
      <c r="F480" s="5">
        <v>8.4500000000000006E-2</v>
      </c>
      <c r="G480" s="6">
        <v>107.2</v>
      </c>
      <c r="H480">
        <v>35</v>
      </c>
      <c r="I480">
        <v>292</v>
      </c>
      <c r="J480">
        <v>8</v>
      </c>
      <c r="K480">
        <f>Fato_Producao[[#This Row],[embalagens_danificadas]]+Fato_Producao[[#This Row],[peso_errado]]+Fato_Producao[[#This Row],[impressao]]</f>
        <v>335</v>
      </c>
      <c r="L480" s="1" t="d">
        <v>2024-06-23</v>
      </c>
      <c r="M480">
        <v>32</v>
      </c>
      <c r="N480" s="7">
        <v>15.01</v>
      </c>
      <c r="O480" s="4" t="str">
        <f t="shared" si="21"/>
        <v>julho</v>
      </c>
      <c r="P480" s="4">
        <f t="shared" si="22"/>
        <v>2024</v>
      </c>
      <c r="Q480" s="4" t="str">
        <f t="shared" si="23"/>
        <v/>
      </c>
      <c r="R480" t="s">
        <v>24</v>
      </c>
    </row>
    <row r="481" spans="1:18" x14ac:dyDescent="0.3">
      <c r="A481" s="1" t="d">
        <v>2024-07-25</v>
      </c>
      <c r="B481">
        <v>45510</v>
      </c>
      <c r="C481" t="str">
        <f>VLOOKUP(Fato_Producao[[#This Row],[referencia]], Dim_Produtos!A:B,2,FALSE)</f>
        <v>tiras pota</v>
      </c>
      <c r="D481">
        <v>3273</v>
      </c>
      <c r="E481">
        <v>3015</v>
      </c>
      <c r="F481" s="5">
        <v>7.8799999999999995E-2</v>
      </c>
      <c r="G481" s="6">
        <v>82.56</v>
      </c>
      <c r="H481">
        <v>27</v>
      </c>
      <c r="I481">
        <v>223</v>
      </c>
      <c r="J481">
        <v>8</v>
      </c>
      <c r="K481">
        <f>Fato_Producao[[#This Row],[embalagens_danificadas]]+Fato_Producao[[#This Row],[peso_errado]]+Fato_Producao[[#This Row],[impressao]]</f>
        <v>258</v>
      </c>
      <c r="L481" s="1" t="d">
        <v>2024-06-23</v>
      </c>
      <c r="M481">
        <v>32</v>
      </c>
      <c r="N481" s="7">
        <v>11.56</v>
      </c>
      <c r="O481" s="4" t="str">
        <f t="shared" si="21"/>
        <v>julho</v>
      </c>
      <c r="P481" s="4">
        <f t="shared" si="22"/>
        <v>2024</v>
      </c>
      <c r="Q481" s="4" t="str">
        <f t="shared" si="23"/>
        <v/>
      </c>
      <c r="R481" t="s">
        <v>24</v>
      </c>
    </row>
    <row r="482" spans="1:18" x14ac:dyDescent="0.3">
      <c r="A482" s="1" t="d">
        <v>2024-07-26</v>
      </c>
      <c r="B482">
        <v>45506</v>
      </c>
      <c r="C482" t="str">
        <f>VLOOKUP(Fato_Producao[[#This Row],[referencia]], Dim_Produtos!A:B,2,FALSE)</f>
        <v>perca posta</v>
      </c>
      <c r="D482">
        <v>2014</v>
      </c>
      <c r="E482">
        <v>1881</v>
      </c>
      <c r="F482" s="5">
        <v>6.6000000000000003E-2</v>
      </c>
      <c r="G482" s="6">
        <v>46.55</v>
      </c>
      <c r="H482">
        <v>9</v>
      </c>
      <c r="I482">
        <v>122</v>
      </c>
      <c r="J482">
        <v>2</v>
      </c>
      <c r="K482">
        <f>Fato_Producao[[#This Row],[embalagens_danificadas]]+Fato_Producao[[#This Row],[peso_errado]]+Fato_Producao[[#This Row],[impressao]]</f>
        <v>133</v>
      </c>
      <c r="L482" s="1" t="d">
        <v>2024-06-23</v>
      </c>
      <c r="M482">
        <v>33</v>
      </c>
      <c r="N482" s="7">
        <v>6.98</v>
      </c>
      <c r="O482" s="4" t="str">
        <f t="shared" si="21"/>
        <v>julho</v>
      </c>
      <c r="P482" s="4">
        <f t="shared" si="22"/>
        <v>2024</v>
      </c>
      <c r="Q482" s="4" t="str">
        <f t="shared" si="23"/>
        <v/>
      </c>
      <c r="R482" t="s">
        <v>24</v>
      </c>
    </row>
    <row r="483" spans="1:18" x14ac:dyDescent="0.3">
      <c r="A483" s="1" t="d">
        <v>2024-07-26</v>
      </c>
      <c r="B483">
        <v>45501</v>
      </c>
      <c r="C483" t="str">
        <f>VLOOKUP(Fato_Producao[[#This Row],[referencia]], Dim_Produtos!A:B,2,FALSE)</f>
        <v>pescada posta cozer</v>
      </c>
      <c r="D483">
        <v>2160</v>
      </c>
      <c r="E483">
        <v>2021</v>
      </c>
      <c r="F483" s="5">
        <v>6.4399999999999999E-2</v>
      </c>
      <c r="G483" s="6">
        <v>44.48</v>
      </c>
      <c r="H483">
        <v>9</v>
      </c>
      <c r="I483">
        <v>127</v>
      </c>
      <c r="J483">
        <v>3</v>
      </c>
      <c r="K483">
        <f>Fato_Producao[[#This Row],[embalagens_danificadas]]+Fato_Producao[[#This Row],[peso_errado]]+Fato_Producao[[#This Row],[impressao]]</f>
        <v>139</v>
      </c>
      <c r="L483" s="1" t="d">
        <v>2024-06-23</v>
      </c>
      <c r="M483">
        <v>33</v>
      </c>
      <c r="N483" s="7">
        <v>6.23</v>
      </c>
      <c r="O483" s="4" t="str">
        <f t="shared" si="21"/>
        <v>julho</v>
      </c>
      <c r="P483" s="4">
        <f t="shared" si="22"/>
        <v>2024</v>
      </c>
      <c r="Q483" s="4" t="str">
        <f t="shared" si="23"/>
        <v/>
      </c>
      <c r="R483" t="s">
        <v>24</v>
      </c>
    </row>
    <row r="484" spans="1:18" x14ac:dyDescent="0.3">
      <c r="A484" s="1" t="d">
        <v>2024-07-27</v>
      </c>
      <c r="B484">
        <v>45505</v>
      </c>
      <c r="C484" t="str">
        <f>VLOOKUP(Fato_Producao[[#This Row],[referencia]], Dim_Produtos!A:B,2,FALSE)</f>
        <v>camarao</v>
      </c>
      <c r="D484">
        <v>3148</v>
      </c>
      <c r="E484">
        <v>2891</v>
      </c>
      <c r="F484" s="5">
        <v>8.1600000000000006E-2</v>
      </c>
      <c r="G484" s="6">
        <v>77.099999999999994</v>
      </c>
      <c r="H484">
        <v>67</v>
      </c>
      <c r="I484">
        <v>186</v>
      </c>
      <c r="J484">
        <v>4</v>
      </c>
      <c r="K484">
        <f>Fato_Producao[[#This Row],[embalagens_danificadas]]+Fato_Producao[[#This Row],[peso_errado]]+Fato_Producao[[#This Row],[impressao]]</f>
        <v>257</v>
      </c>
      <c r="L484" s="1" t="d">
        <v>2024-06-23</v>
      </c>
      <c r="M484">
        <v>34</v>
      </c>
      <c r="N484" s="7">
        <v>11.56</v>
      </c>
      <c r="O484" s="4" t="str">
        <f t="shared" si="21"/>
        <v>julho</v>
      </c>
      <c r="P484" s="4">
        <f t="shared" si="22"/>
        <v>2024</v>
      </c>
      <c r="Q484" s="4" t="str">
        <f t="shared" si="23"/>
        <v/>
      </c>
      <c r="R484" t="s">
        <v>24</v>
      </c>
    </row>
    <row r="485" spans="1:18" x14ac:dyDescent="0.3">
      <c r="A485" s="1" t="d">
        <v>2024-07-28</v>
      </c>
      <c r="B485">
        <v>45506</v>
      </c>
      <c r="C485" t="str">
        <f>VLOOKUP(Fato_Producao[[#This Row],[referencia]], Dim_Produtos!A:B,2,FALSE)</f>
        <v>perca posta</v>
      </c>
      <c r="D485">
        <v>2577</v>
      </c>
      <c r="E485">
        <v>2384</v>
      </c>
      <c r="F485" s="5">
        <v>7.4899999999999994E-2</v>
      </c>
      <c r="G485" s="6">
        <v>67.55</v>
      </c>
      <c r="H485">
        <v>6</v>
      </c>
      <c r="I485">
        <v>183</v>
      </c>
      <c r="J485">
        <v>4</v>
      </c>
      <c r="K485">
        <f>Fato_Producao[[#This Row],[embalagens_danificadas]]+Fato_Producao[[#This Row],[peso_errado]]+Fato_Producao[[#This Row],[impressao]]</f>
        <v>193</v>
      </c>
      <c r="L485" s="1" t="d">
        <v>2024-06-23</v>
      </c>
      <c r="M485">
        <v>35</v>
      </c>
      <c r="N485" s="7">
        <v>10.130000000000001</v>
      </c>
      <c r="O485" s="4" t="str">
        <f t="shared" si="21"/>
        <v>julho</v>
      </c>
      <c r="P485" s="4">
        <f t="shared" si="22"/>
        <v>2024</v>
      </c>
      <c r="Q485" s="4" t="str">
        <f t="shared" si="23"/>
        <v/>
      </c>
      <c r="R485" t="s">
        <v>24</v>
      </c>
    </row>
    <row r="486" spans="1:18" x14ac:dyDescent="0.3">
      <c r="A486" s="1" t="d">
        <v>2024-07-28</v>
      </c>
      <c r="B486">
        <v>45507</v>
      </c>
      <c r="C486" t="str">
        <f>VLOOKUP(Fato_Producao[[#This Row],[referencia]], Dim_Produtos!A:B,2,FALSE)</f>
        <v>salmao posta</v>
      </c>
      <c r="D486">
        <v>4013</v>
      </c>
      <c r="E486">
        <v>3724</v>
      </c>
      <c r="F486" s="5">
        <v>7.1999999999999995E-2</v>
      </c>
      <c r="G486" s="6">
        <v>101.15</v>
      </c>
      <c r="H486">
        <v>17</v>
      </c>
      <c r="I486">
        <v>264</v>
      </c>
      <c r="J486">
        <v>8</v>
      </c>
      <c r="K486">
        <f>Fato_Producao[[#This Row],[embalagens_danificadas]]+Fato_Producao[[#This Row],[peso_errado]]+Fato_Producao[[#This Row],[impressao]]</f>
        <v>289</v>
      </c>
      <c r="L486" s="1" t="d">
        <v>2024-06-23</v>
      </c>
      <c r="M486">
        <v>35</v>
      </c>
      <c r="N486" s="7">
        <v>16.18</v>
      </c>
      <c r="O486" s="4" t="str">
        <f t="shared" si="21"/>
        <v>julho</v>
      </c>
      <c r="P486" s="4">
        <f t="shared" si="22"/>
        <v>2024</v>
      </c>
      <c r="Q486" s="4" t="str">
        <f t="shared" si="23"/>
        <v/>
      </c>
      <c r="R486" t="s">
        <v>24</v>
      </c>
    </row>
    <row r="487" spans="1:18" x14ac:dyDescent="0.3">
      <c r="A487" s="1" t="d">
        <v>2024-07-29</v>
      </c>
      <c r="B487">
        <v>45505</v>
      </c>
      <c r="C487" t="str">
        <f>VLOOKUP(Fato_Producao[[#This Row],[referencia]], Dim_Produtos!A:B,2,FALSE)</f>
        <v>camarao</v>
      </c>
      <c r="D487">
        <v>3995</v>
      </c>
      <c r="E487">
        <v>3648</v>
      </c>
      <c r="F487" s="5">
        <v>8.6900000000000005E-2</v>
      </c>
      <c r="G487" s="6">
        <v>104.1</v>
      </c>
      <c r="H487">
        <v>93</v>
      </c>
      <c r="I487">
        <v>244</v>
      </c>
      <c r="J487">
        <v>10</v>
      </c>
      <c r="K487">
        <f>Fato_Producao[[#This Row],[embalagens_danificadas]]+Fato_Producao[[#This Row],[peso_errado]]+Fato_Producao[[#This Row],[impressao]]</f>
        <v>347</v>
      </c>
      <c r="L487" s="1" t="d">
        <v>2024-06-23</v>
      </c>
      <c r="M487">
        <v>36</v>
      </c>
      <c r="N487" s="7">
        <v>15.61</v>
      </c>
      <c r="O487" s="4" t="str">
        <f t="shared" si="21"/>
        <v>julho</v>
      </c>
      <c r="P487" s="4">
        <f t="shared" si="22"/>
        <v>2024</v>
      </c>
      <c r="Q487" s="4" t="str">
        <f t="shared" si="23"/>
        <v/>
      </c>
      <c r="R487" t="s">
        <v>24</v>
      </c>
    </row>
    <row r="488" spans="1:18" x14ac:dyDescent="0.3">
      <c r="A488" s="1" t="d">
        <v>2024-07-30</v>
      </c>
      <c r="B488">
        <v>45501</v>
      </c>
      <c r="C488" t="str">
        <f>VLOOKUP(Fato_Producao[[#This Row],[referencia]], Dim_Produtos!A:B,2,FALSE)</f>
        <v>pescada posta cozer</v>
      </c>
      <c r="D488">
        <v>2957</v>
      </c>
      <c r="E488">
        <v>2694</v>
      </c>
      <c r="F488" s="5">
        <v>8.8900000000000007E-2</v>
      </c>
      <c r="G488" s="6">
        <v>84.16</v>
      </c>
      <c r="H488">
        <v>12</v>
      </c>
      <c r="I488">
        <v>247</v>
      </c>
      <c r="J488">
        <v>4</v>
      </c>
      <c r="K488">
        <f>Fato_Producao[[#This Row],[embalagens_danificadas]]+Fato_Producao[[#This Row],[peso_errado]]+Fato_Producao[[#This Row],[impressao]]</f>
        <v>263</v>
      </c>
      <c r="L488" s="1" t="d">
        <v>2024-06-23</v>
      </c>
      <c r="M488">
        <v>37</v>
      </c>
      <c r="N488" s="7">
        <v>11.78</v>
      </c>
      <c r="O488" s="4" t="str">
        <f t="shared" si="21"/>
        <v>julho</v>
      </c>
      <c r="P488" s="4">
        <f t="shared" si="22"/>
        <v>2024</v>
      </c>
      <c r="Q488" s="4" t="str">
        <f t="shared" si="23"/>
        <v/>
      </c>
      <c r="R488" t="s">
        <v>24</v>
      </c>
    </row>
    <row r="489" spans="1:18" x14ac:dyDescent="0.3">
      <c r="A489" s="1" t="d">
        <v>2024-07-31</v>
      </c>
      <c r="B489">
        <v>45511</v>
      </c>
      <c r="C489" t="str">
        <f>VLOOKUP(Fato_Producao[[#This Row],[referencia]], Dim_Produtos!A:B,2,FALSE)</f>
        <v>lula limpa</v>
      </c>
      <c r="D489">
        <v>4105</v>
      </c>
      <c r="E489">
        <v>3755</v>
      </c>
      <c r="F489" s="5">
        <v>8.5300000000000001E-2</v>
      </c>
      <c r="G489" s="6">
        <v>112</v>
      </c>
      <c r="H489">
        <v>51</v>
      </c>
      <c r="I489">
        <v>295</v>
      </c>
      <c r="J489">
        <v>4</v>
      </c>
      <c r="K489">
        <f>Fato_Producao[[#This Row],[embalagens_danificadas]]+Fato_Producao[[#This Row],[peso_errado]]+Fato_Producao[[#This Row],[impressao]]</f>
        <v>350</v>
      </c>
      <c r="L489" s="1" t="d">
        <v>2024-06-23</v>
      </c>
      <c r="M489">
        <v>38</v>
      </c>
      <c r="N489" s="7">
        <v>15.68</v>
      </c>
      <c r="O489" s="4" t="str">
        <f t="shared" si="21"/>
        <v>julho</v>
      </c>
      <c r="P489" s="4">
        <f t="shared" si="22"/>
        <v>2024</v>
      </c>
      <c r="Q489" s="4" t="str">
        <f t="shared" si="23"/>
        <v/>
      </c>
      <c r="R489" t="s">
        <v>24</v>
      </c>
    </row>
    <row r="490" spans="1:18" x14ac:dyDescent="0.3">
      <c r="A490" s="1" t="d">
        <v>2024-08-01</v>
      </c>
      <c r="B490">
        <v>45514</v>
      </c>
      <c r="C490" t="str">
        <f>VLOOKUP(Fato_Producao[[#This Row],[referencia]], Dim_Produtos!A:B,2,FALSE)</f>
        <v>sardinha pequena</v>
      </c>
      <c r="D490">
        <v>2461</v>
      </c>
      <c r="E490">
        <v>2219</v>
      </c>
      <c r="F490" s="5">
        <v>9.8299999999999998E-2</v>
      </c>
      <c r="G490" s="6">
        <v>72.599999999999994</v>
      </c>
      <c r="H490">
        <v>16</v>
      </c>
      <c r="I490">
        <v>221</v>
      </c>
      <c r="J490">
        <v>5</v>
      </c>
      <c r="K490">
        <f>Fato_Producao[[#This Row],[embalagens_danificadas]]+Fato_Producao[[#This Row],[peso_errado]]+Fato_Producao[[#This Row],[impressao]]</f>
        <v>242</v>
      </c>
      <c r="L490" s="1" t="d">
        <v>2024-06-23</v>
      </c>
      <c r="M490">
        <v>39</v>
      </c>
      <c r="N490" s="7">
        <v>8.7100000000000009</v>
      </c>
      <c r="O490" s="4" t="str">
        <f t="shared" si="21"/>
        <v>agosto</v>
      </c>
      <c r="P490" s="4">
        <f t="shared" si="22"/>
        <v>2024</v>
      </c>
      <c r="Q490" s="4" t="str">
        <f t="shared" si="23"/>
        <v/>
      </c>
      <c r="R490" t="s">
        <v>24</v>
      </c>
    </row>
    <row r="491" spans="1:18" x14ac:dyDescent="0.3">
      <c r="A491" s="1" t="d">
        <v>2024-08-02</v>
      </c>
      <c r="B491">
        <v>45506</v>
      </c>
      <c r="C491" t="str">
        <f>VLOOKUP(Fato_Producao[[#This Row],[referencia]], Dim_Produtos!A:B,2,FALSE)</f>
        <v>perca posta</v>
      </c>
      <c r="D491">
        <v>2616</v>
      </c>
      <c r="E491">
        <v>2385</v>
      </c>
      <c r="F491" s="5">
        <v>8.8300000000000003E-2</v>
      </c>
      <c r="G491" s="6">
        <v>80.849999999999994</v>
      </c>
      <c r="H491">
        <v>7</v>
      </c>
      <c r="I491">
        <v>221</v>
      </c>
      <c r="J491">
        <v>3</v>
      </c>
      <c r="K491">
        <f>Fato_Producao[[#This Row],[embalagens_danificadas]]+Fato_Producao[[#This Row],[peso_errado]]+Fato_Producao[[#This Row],[impressao]]</f>
        <v>231</v>
      </c>
      <c r="L491" s="1" t="d">
        <v>2024-06-23</v>
      </c>
      <c r="M491">
        <v>40</v>
      </c>
      <c r="N491" s="7">
        <v>12.13</v>
      </c>
      <c r="O491" s="4" t="str">
        <f t="shared" si="21"/>
        <v>agosto</v>
      </c>
      <c r="P491" s="4">
        <f t="shared" si="22"/>
        <v>2024</v>
      </c>
      <c r="Q491" s="4" t="str">
        <f t="shared" si="23"/>
        <v/>
      </c>
      <c r="R491" t="s">
        <v>24</v>
      </c>
    </row>
    <row r="492" spans="1:18" x14ac:dyDescent="0.3">
      <c r="A492" s="1" t="d">
        <v>2024-08-03</v>
      </c>
      <c r="B492">
        <v>45513</v>
      </c>
      <c r="C492" t="str">
        <f>VLOOKUP(Fato_Producao[[#This Row],[referencia]], Dim_Produtos!A:B,2,FALSE)</f>
        <v>filete pescada</v>
      </c>
      <c r="D492">
        <v>2417</v>
      </c>
      <c r="E492">
        <v>2253</v>
      </c>
      <c r="F492" s="5">
        <v>6.7900000000000002E-2</v>
      </c>
      <c r="G492" s="6">
        <v>52.48</v>
      </c>
      <c r="H492">
        <v>7</v>
      </c>
      <c r="I492">
        <v>153</v>
      </c>
      <c r="J492">
        <v>4</v>
      </c>
      <c r="K492">
        <f>Fato_Producao[[#This Row],[embalagens_danificadas]]+Fato_Producao[[#This Row],[peso_errado]]+Fato_Producao[[#This Row],[impressao]]</f>
        <v>164</v>
      </c>
      <c r="L492" s="1" t="d">
        <v>2024-06-23</v>
      </c>
      <c r="M492">
        <v>41</v>
      </c>
      <c r="N492" s="7">
        <v>6.82</v>
      </c>
      <c r="O492" s="4" t="str">
        <f t="shared" si="21"/>
        <v>agosto</v>
      </c>
      <c r="P492" s="4">
        <f t="shared" si="22"/>
        <v>2024</v>
      </c>
      <c r="Q492" s="4" t="str">
        <f t="shared" si="23"/>
        <v/>
      </c>
      <c r="R492" t="s">
        <v>24</v>
      </c>
    </row>
    <row r="493" spans="1:18" x14ac:dyDescent="0.3">
      <c r="A493" s="1" t="d">
        <v>2024-08-03</v>
      </c>
      <c r="B493">
        <v>45501</v>
      </c>
      <c r="C493" t="str">
        <f>VLOOKUP(Fato_Producao[[#This Row],[referencia]], Dim_Produtos!A:B,2,FALSE)</f>
        <v>pescada posta cozer</v>
      </c>
      <c r="D493">
        <v>3579</v>
      </c>
      <c r="E493">
        <v>3253</v>
      </c>
      <c r="F493" s="5">
        <v>9.11E-2</v>
      </c>
      <c r="G493" s="6">
        <v>104.32</v>
      </c>
      <c r="H493">
        <v>8</v>
      </c>
      <c r="I493">
        <v>312</v>
      </c>
      <c r="J493">
        <v>6</v>
      </c>
      <c r="K493">
        <f>Fato_Producao[[#This Row],[embalagens_danificadas]]+Fato_Producao[[#This Row],[peso_errado]]+Fato_Producao[[#This Row],[impressao]]</f>
        <v>326</v>
      </c>
      <c r="L493" s="1" t="d">
        <v>2024-06-23</v>
      </c>
      <c r="M493">
        <v>41</v>
      </c>
      <c r="N493" s="7">
        <v>14.6</v>
      </c>
      <c r="O493" s="4" t="str">
        <f t="shared" si="21"/>
        <v>agosto</v>
      </c>
      <c r="P493" s="4">
        <f t="shared" si="22"/>
        <v>2024</v>
      </c>
      <c r="Q493" s="4" t="str">
        <f t="shared" si="23"/>
        <v/>
      </c>
      <c r="R493" t="s">
        <v>24</v>
      </c>
    </row>
    <row r="494" spans="1:18" x14ac:dyDescent="0.3">
      <c r="A494" s="1" t="d">
        <v>2024-08-04</v>
      </c>
      <c r="B494">
        <v>45512</v>
      </c>
      <c r="C494" t="str">
        <f>VLOOKUP(Fato_Producao[[#This Row],[referencia]], Dim_Produtos!A:B,2,FALSE)</f>
        <v>red-fish posta</v>
      </c>
      <c r="D494">
        <v>1872</v>
      </c>
      <c r="E494">
        <v>1723</v>
      </c>
      <c r="F494" s="5">
        <v>7.9600000000000004E-2</v>
      </c>
      <c r="G494" s="6">
        <v>50.66</v>
      </c>
      <c r="H494">
        <v>6</v>
      </c>
      <c r="I494">
        <v>141</v>
      </c>
      <c r="J494">
        <v>2</v>
      </c>
      <c r="K494">
        <f>Fato_Producao[[#This Row],[embalagens_danificadas]]+Fato_Producao[[#This Row],[peso_errado]]+Fato_Producao[[#This Row],[impressao]]</f>
        <v>149</v>
      </c>
      <c r="L494" s="1" t="d">
        <v>2024-06-23</v>
      </c>
      <c r="M494">
        <v>42</v>
      </c>
      <c r="N494" s="7">
        <v>7.09</v>
      </c>
      <c r="O494" s="4" t="str">
        <f t="shared" si="21"/>
        <v>agosto</v>
      </c>
      <c r="P494" s="4">
        <f t="shared" si="22"/>
        <v>2024</v>
      </c>
      <c r="Q494" s="4" t="str">
        <f t="shared" si="23"/>
        <v/>
      </c>
      <c r="R494" t="s">
        <v>24</v>
      </c>
    </row>
    <row r="495" spans="1:18" x14ac:dyDescent="0.3">
      <c r="A495" s="1" t="d">
        <v>2024-08-05</v>
      </c>
      <c r="B495">
        <v>45504</v>
      </c>
      <c r="C495" t="str">
        <f>VLOOKUP(Fato_Producao[[#This Row],[referencia]], Dim_Produtos!A:B,2,FALSE)</f>
        <v>pescada posta fritar</v>
      </c>
      <c r="D495">
        <v>1950</v>
      </c>
      <c r="E495">
        <v>1812</v>
      </c>
      <c r="F495" s="5">
        <v>7.0800000000000002E-2</v>
      </c>
      <c r="G495" s="6">
        <v>44.16</v>
      </c>
      <c r="H495">
        <v>5</v>
      </c>
      <c r="I495">
        <v>132</v>
      </c>
      <c r="J495">
        <v>1</v>
      </c>
      <c r="K495">
        <f>Fato_Producao[[#This Row],[embalagens_danificadas]]+Fato_Producao[[#This Row],[peso_errado]]+Fato_Producao[[#This Row],[impressao]]</f>
        <v>138</v>
      </c>
      <c r="L495" s="1" t="d">
        <v>2024-06-23</v>
      </c>
      <c r="M495">
        <v>43</v>
      </c>
      <c r="N495" s="7">
        <v>6.18</v>
      </c>
      <c r="O495" s="4" t="str">
        <f t="shared" si="21"/>
        <v>agosto</v>
      </c>
      <c r="P495" s="4">
        <f t="shared" si="22"/>
        <v>2024</v>
      </c>
      <c r="Q495" s="4" t="str">
        <f t="shared" si="23"/>
        <v/>
      </c>
      <c r="R495" t="s">
        <v>24</v>
      </c>
    </row>
    <row r="496" spans="1:18" x14ac:dyDescent="0.3">
      <c r="A496" s="1" t="d">
        <v>2024-08-05</v>
      </c>
      <c r="B496">
        <v>45500</v>
      </c>
      <c r="C496" t="str">
        <f>VLOOKUP(Fato_Producao[[#This Row],[referencia]], Dim_Produtos!A:B,2,FALSE)</f>
        <v>filete pescada</v>
      </c>
      <c r="D496">
        <v>3840</v>
      </c>
      <c r="E496">
        <v>3577</v>
      </c>
      <c r="F496" s="5">
        <v>6.8500000000000005E-2</v>
      </c>
      <c r="G496" s="6">
        <v>73.64</v>
      </c>
      <c r="H496">
        <v>15</v>
      </c>
      <c r="I496">
        <v>242</v>
      </c>
      <c r="J496">
        <v>6</v>
      </c>
      <c r="K496">
        <f>Fato_Producao[[#This Row],[embalagens_danificadas]]+Fato_Producao[[#This Row],[peso_errado]]+Fato_Producao[[#This Row],[impressao]]</f>
        <v>263</v>
      </c>
      <c r="L496" s="1" t="d">
        <v>2024-06-23</v>
      </c>
      <c r="M496">
        <v>43</v>
      </c>
      <c r="N496" s="7">
        <v>8.84</v>
      </c>
      <c r="O496" s="4" t="str">
        <f t="shared" si="21"/>
        <v>agosto</v>
      </c>
      <c r="P496" s="4">
        <f t="shared" si="22"/>
        <v>2024</v>
      </c>
      <c r="Q496" s="4" t="str">
        <f t="shared" si="23"/>
        <v/>
      </c>
      <c r="R496" t="s">
        <v>24</v>
      </c>
    </row>
    <row r="497" spans="1:18" x14ac:dyDescent="0.3">
      <c r="A497" s="1" t="d">
        <v>2024-08-06</v>
      </c>
      <c r="B497">
        <v>45513</v>
      </c>
      <c r="C497" t="str">
        <f>VLOOKUP(Fato_Producao[[#This Row],[referencia]], Dim_Produtos!A:B,2,FALSE)</f>
        <v>filete pescada</v>
      </c>
      <c r="D497">
        <v>3127</v>
      </c>
      <c r="E497">
        <v>2859</v>
      </c>
      <c r="F497" s="5">
        <v>8.5699999999999998E-2</v>
      </c>
      <c r="G497" s="6">
        <v>85.76</v>
      </c>
      <c r="H497">
        <v>7</v>
      </c>
      <c r="I497">
        <v>256</v>
      </c>
      <c r="J497">
        <v>5</v>
      </c>
      <c r="K497">
        <f>Fato_Producao[[#This Row],[embalagens_danificadas]]+Fato_Producao[[#This Row],[peso_errado]]+Fato_Producao[[#This Row],[impressao]]</f>
        <v>268</v>
      </c>
      <c r="L497" s="1" t="d">
        <v>2024-06-23</v>
      </c>
      <c r="M497">
        <v>44</v>
      </c>
      <c r="N497" s="7">
        <v>11.15</v>
      </c>
      <c r="O497" s="4" t="str">
        <f t="shared" si="21"/>
        <v>agosto</v>
      </c>
      <c r="P497" s="4">
        <f t="shared" si="22"/>
        <v>2024</v>
      </c>
      <c r="Q497" s="4" t="str">
        <f t="shared" si="23"/>
        <v/>
      </c>
      <c r="R497" t="s">
        <v>24</v>
      </c>
    </row>
    <row r="498" spans="1:18" x14ac:dyDescent="0.3">
      <c r="A498" s="1" t="d">
        <v>2024-08-06</v>
      </c>
      <c r="B498">
        <v>45503</v>
      </c>
      <c r="C498" t="str">
        <f>VLOOKUP(Fato_Producao[[#This Row],[referencia]], Dim_Produtos!A:B,2,FALSE)</f>
        <v>sardinha pequena</v>
      </c>
      <c r="D498">
        <v>4166</v>
      </c>
      <c r="E498">
        <v>3851</v>
      </c>
      <c r="F498" s="5">
        <v>7.5600000000000001E-2</v>
      </c>
      <c r="G498" s="6">
        <v>81.900000000000006</v>
      </c>
      <c r="H498">
        <v>9</v>
      </c>
      <c r="I498">
        <v>298</v>
      </c>
      <c r="J498">
        <v>8</v>
      </c>
      <c r="K498">
        <f>Fato_Producao[[#This Row],[embalagens_danificadas]]+Fato_Producao[[#This Row],[peso_errado]]+Fato_Producao[[#This Row],[impressao]]</f>
        <v>315</v>
      </c>
      <c r="L498" s="1" t="d">
        <v>2024-06-23</v>
      </c>
      <c r="M498">
        <v>44</v>
      </c>
      <c r="N498" s="7">
        <v>9.01</v>
      </c>
      <c r="O498" s="4" t="str">
        <f t="shared" si="21"/>
        <v>agosto</v>
      </c>
      <c r="P498" s="4">
        <f t="shared" si="22"/>
        <v>2024</v>
      </c>
      <c r="Q498" s="4" t="str">
        <f t="shared" si="23"/>
        <v/>
      </c>
      <c r="R498" t="s">
        <v>24</v>
      </c>
    </row>
    <row r="499" spans="1:18" x14ac:dyDescent="0.3">
      <c r="A499" s="1" t="d">
        <v>2024-08-07</v>
      </c>
      <c r="B499">
        <v>45502</v>
      </c>
      <c r="C499" t="str">
        <f>VLOOKUP(Fato_Producao[[#This Row],[referencia]], Dim_Produtos!A:B,2,FALSE)</f>
        <v>carapau pelim</v>
      </c>
      <c r="D499">
        <v>2293</v>
      </c>
      <c r="E499">
        <v>2081</v>
      </c>
      <c r="F499" s="5">
        <v>9.2499999999999999E-2</v>
      </c>
      <c r="G499" s="6">
        <v>63.6</v>
      </c>
      <c r="H499">
        <v>65</v>
      </c>
      <c r="I499">
        <v>141</v>
      </c>
      <c r="J499">
        <v>6</v>
      </c>
      <c r="K499">
        <f>Fato_Producao[[#This Row],[embalagens_danificadas]]+Fato_Producao[[#This Row],[peso_errado]]+Fato_Producao[[#This Row],[impressao]]</f>
        <v>212</v>
      </c>
      <c r="L499" s="1" t="d">
        <v>2024-06-23</v>
      </c>
      <c r="M499">
        <v>45</v>
      </c>
      <c r="N499" s="7">
        <v>8.27</v>
      </c>
      <c r="O499" s="4" t="str">
        <f t="shared" si="21"/>
        <v>agosto</v>
      </c>
      <c r="P499" s="4">
        <f t="shared" si="22"/>
        <v>2024</v>
      </c>
      <c r="Q499" s="4" t="str">
        <f t="shared" si="23"/>
        <v/>
      </c>
      <c r="R499" t="s">
        <v>24</v>
      </c>
    </row>
    <row r="500" spans="1:18" x14ac:dyDescent="0.3">
      <c r="A500" s="1" t="d">
        <v>2024-08-07</v>
      </c>
      <c r="B500">
        <v>45508</v>
      </c>
      <c r="C500" t="str">
        <f>VLOOKUP(Fato_Producao[[#This Row],[referencia]], Dim_Produtos!A:B,2,FALSE)</f>
        <v>lula suja</v>
      </c>
      <c r="D500">
        <v>2094</v>
      </c>
      <c r="E500">
        <v>1875</v>
      </c>
      <c r="F500" s="5">
        <v>0.1046</v>
      </c>
      <c r="G500" s="6">
        <v>70.08</v>
      </c>
      <c r="H500">
        <v>27</v>
      </c>
      <c r="I500">
        <v>186</v>
      </c>
      <c r="J500">
        <v>6</v>
      </c>
      <c r="K500">
        <f>Fato_Producao[[#This Row],[embalagens_danificadas]]+Fato_Producao[[#This Row],[peso_errado]]+Fato_Producao[[#This Row],[impressao]]</f>
        <v>219</v>
      </c>
      <c r="L500" s="1" t="d">
        <v>2024-06-23</v>
      </c>
      <c r="M500">
        <v>45</v>
      </c>
      <c r="N500" s="7">
        <v>9.81</v>
      </c>
      <c r="O500" s="4" t="str">
        <f t="shared" si="21"/>
        <v>agosto</v>
      </c>
      <c r="P500" s="4">
        <f t="shared" si="22"/>
        <v>2024</v>
      </c>
      <c r="Q500" s="4" t="str">
        <f t="shared" si="23"/>
        <v/>
      </c>
      <c r="R500" t="s">
        <v>24</v>
      </c>
    </row>
    <row r="501" spans="1:18" x14ac:dyDescent="0.3">
      <c r="A501" s="1" t="d">
        <v>2024-08-08</v>
      </c>
      <c r="B501">
        <v>45512</v>
      </c>
      <c r="C501" t="str">
        <f>VLOOKUP(Fato_Producao[[#This Row],[referencia]], Dim_Produtos!A:B,2,FALSE)</f>
        <v>red-fish posta</v>
      </c>
      <c r="D501">
        <v>2162</v>
      </c>
      <c r="E501">
        <v>2018</v>
      </c>
      <c r="F501" s="5">
        <v>6.6600000000000006E-2</v>
      </c>
      <c r="G501" s="6">
        <v>48.96</v>
      </c>
      <c r="H501">
        <v>4</v>
      </c>
      <c r="I501">
        <v>137</v>
      </c>
      <c r="J501">
        <v>3</v>
      </c>
      <c r="K501">
        <f>Fato_Producao[[#This Row],[embalagens_danificadas]]+Fato_Producao[[#This Row],[peso_errado]]+Fato_Producao[[#This Row],[impressao]]</f>
        <v>144</v>
      </c>
      <c r="L501" s="1" t="d">
        <v>2024-06-23</v>
      </c>
      <c r="M501">
        <v>46</v>
      </c>
      <c r="N501" s="7">
        <v>6.85</v>
      </c>
      <c r="O501" s="4" t="str">
        <f t="shared" si="21"/>
        <v>agosto</v>
      </c>
      <c r="P501" s="4">
        <f t="shared" si="22"/>
        <v>2024</v>
      </c>
      <c r="Q501" s="4" t="str">
        <f t="shared" si="23"/>
        <v/>
      </c>
      <c r="R501" t="s">
        <v>24</v>
      </c>
    </row>
    <row r="502" spans="1:18" x14ac:dyDescent="0.3">
      <c r="A502" s="1" t="d">
        <v>2024-08-08</v>
      </c>
      <c r="B502">
        <v>45501</v>
      </c>
      <c r="C502" t="str">
        <f>VLOOKUP(Fato_Producao[[#This Row],[referencia]], Dim_Produtos!A:B,2,FALSE)</f>
        <v>pescada posta cozer</v>
      </c>
      <c r="D502">
        <v>3442</v>
      </c>
      <c r="E502">
        <v>3157</v>
      </c>
      <c r="F502" s="5">
        <v>8.2799999999999999E-2</v>
      </c>
      <c r="G502" s="6">
        <v>91.2</v>
      </c>
      <c r="H502">
        <v>20</v>
      </c>
      <c r="I502">
        <v>260</v>
      </c>
      <c r="J502">
        <v>5</v>
      </c>
      <c r="K502">
        <f>Fato_Producao[[#This Row],[embalagens_danificadas]]+Fato_Producao[[#This Row],[peso_errado]]+Fato_Producao[[#This Row],[impressao]]</f>
        <v>285</v>
      </c>
      <c r="L502" s="1" t="d">
        <v>2024-06-23</v>
      </c>
      <c r="M502">
        <v>46</v>
      </c>
      <c r="N502" s="7">
        <v>12.77</v>
      </c>
      <c r="O502" s="4" t="str">
        <f t="shared" si="21"/>
        <v>agosto</v>
      </c>
      <c r="P502" s="4">
        <f t="shared" si="22"/>
        <v>2024</v>
      </c>
      <c r="Q502" s="4" t="str">
        <f t="shared" si="23"/>
        <v/>
      </c>
      <c r="R502" t="s">
        <v>24</v>
      </c>
    </row>
    <row r="503" spans="1:18" x14ac:dyDescent="0.3">
      <c r="A503" s="1" t="d">
        <v>2024-08-09</v>
      </c>
      <c r="B503">
        <v>45512</v>
      </c>
      <c r="C503" t="str">
        <f>VLOOKUP(Fato_Producao[[#This Row],[referencia]], Dim_Produtos!A:B,2,FALSE)</f>
        <v>red-fish posta</v>
      </c>
      <c r="D503">
        <v>2674</v>
      </c>
      <c r="E503">
        <v>2434</v>
      </c>
      <c r="F503" s="5">
        <v>8.9800000000000005E-2</v>
      </c>
      <c r="G503" s="6">
        <v>81.599999999999994</v>
      </c>
      <c r="H503">
        <v>7</v>
      </c>
      <c r="I503">
        <v>230</v>
      </c>
      <c r="J503">
        <v>3</v>
      </c>
      <c r="K503">
        <f>Fato_Producao[[#This Row],[embalagens_danificadas]]+Fato_Producao[[#This Row],[peso_errado]]+Fato_Producao[[#This Row],[impressao]]</f>
        <v>240</v>
      </c>
      <c r="L503" s="1" t="d">
        <v>2024-06-23</v>
      </c>
      <c r="M503">
        <v>47</v>
      </c>
      <c r="N503" s="7">
        <v>11.42</v>
      </c>
      <c r="O503" s="4" t="str">
        <f t="shared" si="21"/>
        <v>agosto</v>
      </c>
      <c r="P503" s="4">
        <f t="shared" si="22"/>
        <v>2024</v>
      </c>
      <c r="Q503" s="4" t="str">
        <f t="shared" si="23"/>
        <v/>
      </c>
      <c r="R503" t="s">
        <v>24</v>
      </c>
    </row>
    <row r="504" spans="1:18" x14ac:dyDescent="0.3">
      <c r="A504" s="1" t="d">
        <v>2024-08-09</v>
      </c>
      <c r="B504">
        <v>45506</v>
      </c>
      <c r="C504" t="str">
        <f>VLOOKUP(Fato_Producao[[#This Row],[referencia]], Dim_Produtos!A:B,2,FALSE)</f>
        <v>perca posta</v>
      </c>
      <c r="D504">
        <v>2773</v>
      </c>
      <c r="E504">
        <v>2549</v>
      </c>
      <c r="F504" s="5">
        <v>8.0799999999999997E-2</v>
      </c>
      <c r="G504" s="6">
        <v>78.400000000000006</v>
      </c>
      <c r="H504">
        <v>14</v>
      </c>
      <c r="I504">
        <v>205</v>
      </c>
      <c r="J504">
        <v>5</v>
      </c>
      <c r="K504">
        <f>Fato_Producao[[#This Row],[embalagens_danificadas]]+Fato_Producao[[#This Row],[peso_errado]]+Fato_Producao[[#This Row],[impressao]]</f>
        <v>224</v>
      </c>
      <c r="L504" s="1" t="d">
        <v>2024-06-23</v>
      </c>
      <c r="M504">
        <v>47</v>
      </c>
      <c r="N504" s="7">
        <v>11.76</v>
      </c>
      <c r="O504" s="4" t="str">
        <f t="shared" si="21"/>
        <v>agosto</v>
      </c>
      <c r="P504" s="4">
        <f t="shared" si="22"/>
        <v>2024</v>
      </c>
      <c r="Q504" s="4" t="str">
        <f t="shared" si="23"/>
        <v/>
      </c>
      <c r="R504" t="s">
        <v>24</v>
      </c>
    </row>
    <row r="505" spans="1:18" x14ac:dyDescent="0.3">
      <c r="A505" s="1" t="d">
        <v>2024-08-10</v>
      </c>
      <c r="B505">
        <v>45511</v>
      </c>
      <c r="C505" t="str">
        <f>VLOOKUP(Fato_Producao[[#This Row],[referencia]], Dim_Produtos!A:B,2,FALSE)</f>
        <v>lula limpa</v>
      </c>
      <c r="D505">
        <v>3868</v>
      </c>
      <c r="E505">
        <v>3468</v>
      </c>
      <c r="F505" s="5">
        <v>0.10340000000000001</v>
      </c>
      <c r="G505" s="6">
        <v>128</v>
      </c>
      <c r="H505">
        <v>52</v>
      </c>
      <c r="I505">
        <v>337</v>
      </c>
      <c r="J505">
        <v>11</v>
      </c>
      <c r="K505">
        <f>Fato_Producao[[#This Row],[embalagens_danificadas]]+Fato_Producao[[#This Row],[peso_errado]]+Fato_Producao[[#This Row],[impressao]]</f>
        <v>400</v>
      </c>
      <c r="L505" s="1" t="d">
        <v>2024-06-23</v>
      </c>
      <c r="M505">
        <v>48</v>
      </c>
      <c r="N505" s="7">
        <v>17.920000000000002</v>
      </c>
      <c r="O505" s="4" t="str">
        <f t="shared" si="21"/>
        <v>agosto</v>
      </c>
      <c r="P505" s="4">
        <f t="shared" si="22"/>
        <v>2024</v>
      </c>
      <c r="Q505" s="4" t="str">
        <f t="shared" si="23"/>
        <v/>
      </c>
      <c r="R505" t="s">
        <v>24</v>
      </c>
    </row>
    <row r="506" spans="1:18" x14ac:dyDescent="0.3">
      <c r="A506" s="1" t="d">
        <v>2024-08-10</v>
      </c>
      <c r="B506">
        <v>45502</v>
      </c>
      <c r="C506" t="str">
        <f>VLOOKUP(Fato_Producao[[#This Row],[referencia]], Dim_Produtos!A:B,2,FALSE)</f>
        <v>carapau pelim</v>
      </c>
      <c r="D506">
        <v>2602</v>
      </c>
      <c r="E506">
        <v>2363</v>
      </c>
      <c r="F506" s="5">
        <v>9.1899999999999996E-2</v>
      </c>
      <c r="G506" s="6">
        <v>71.7</v>
      </c>
      <c r="H506">
        <v>51</v>
      </c>
      <c r="I506">
        <v>180</v>
      </c>
      <c r="J506">
        <v>8</v>
      </c>
      <c r="K506">
        <f>Fato_Producao[[#This Row],[embalagens_danificadas]]+Fato_Producao[[#This Row],[peso_errado]]+Fato_Producao[[#This Row],[impressao]]</f>
        <v>239</v>
      </c>
      <c r="L506" s="1" t="d">
        <v>2024-06-23</v>
      </c>
      <c r="M506">
        <v>48</v>
      </c>
      <c r="N506" s="7">
        <v>9.32</v>
      </c>
      <c r="O506" s="4" t="str">
        <f t="shared" si="21"/>
        <v>agosto</v>
      </c>
      <c r="P506" s="4">
        <f t="shared" si="22"/>
        <v>2024</v>
      </c>
      <c r="Q506" s="4" t="str">
        <f t="shared" si="23"/>
        <v/>
      </c>
      <c r="R506" t="s">
        <v>24</v>
      </c>
    </row>
    <row r="507" spans="1:18" x14ac:dyDescent="0.3">
      <c r="A507" s="1" t="d">
        <v>2024-08-11</v>
      </c>
      <c r="B507">
        <v>45507</v>
      </c>
      <c r="C507" t="str">
        <f>VLOOKUP(Fato_Producao[[#This Row],[referencia]], Dim_Produtos!A:B,2,FALSE)</f>
        <v>salmao posta</v>
      </c>
      <c r="D507">
        <v>4000</v>
      </c>
      <c r="E507">
        <v>3637</v>
      </c>
      <c r="F507" s="5">
        <v>9.0700000000000003E-2</v>
      </c>
      <c r="G507" s="6">
        <v>127.05</v>
      </c>
      <c r="H507">
        <v>19</v>
      </c>
      <c r="I507">
        <v>334</v>
      </c>
      <c r="J507">
        <v>10</v>
      </c>
      <c r="K507">
        <f>Fato_Producao[[#This Row],[embalagens_danificadas]]+Fato_Producao[[#This Row],[peso_errado]]+Fato_Producao[[#This Row],[impressao]]</f>
        <v>363</v>
      </c>
      <c r="L507" s="1" t="d">
        <v>2024-06-23</v>
      </c>
      <c r="M507">
        <v>49</v>
      </c>
      <c r="N507" s="7">
        <v>20.329999999999998</v>
      </c>
      <c r="O507" s="4" t="str">
        <f t="shared" si="21"/>
        <v>agosto</v>
      </c>
      <c r="P507" s="4">
        <f t="shared" si="22"/>
        <v>2024</v>
      </c>
      <c r="Q507" s="4" t="str">
        <f t="shared" si="23"/>
        <v/>
      </c>
      <c r="R507" t="s">
        <v>24</v>
      </c>
    </row>
    <row r="508" spans="1:18" x14ac:dyDescent="0.3">
      <c r="A508" s="1" t="d">
        <v>2024-08-12</v>
      </c>
      <c r="B508">
        <v>45513</v>
      </c>
      <c r="C508" t="str">
        <f>VLOOKUP(Fato_Producao[[#This Row],[referencia]], Dim_Produtos!A:B,2,FALSE)</f>
        <v>filete pescada</v>
      </c>
      <c r="D508">
        <v>3825</v>
      </c>
      <c r="E508">
        <v>3559</v>
      </c>
      <c r="F508" s="5">
        <v>6.9500000000000006E-2</v>
      </c>
      <c r="G508" s="6">
        <v>85.12</v>
      </c>
      <c r="H508">
        <v>13</v>
      </c>
      <c r="I508">
        <v>246</v>
      </c>
      <c r="J508">
        <v>7</v>
      </c>
      <c r="K508">
        <f>Fato_Producao[[#This Row],[embalagens_danificadas]]+Fato_Producao[[#This Row],[peso_errado]]+Fato_Producao[[#This Row],[impressao]]</f>
        <v>266</v>
      </c>
      <c r="L508" s="1" t="d">
        <v>2024-06-23</v>
      </c>
      <c r="M508">
        <v>50</v>
      </c>
      <c r="N508" s="7">
        <v>11.07</v>
      </c>
      <c r="O508" s="4" t="str">
        <f t="shared" si="21"/>
        <v>agosto</v>
      </c>
      <c r="P508" s="4">
        <f t="shared" si="22"/>
        <v>2024</v>
      </c>
      <c r="Q508" s="4" t="str">
        <f t="shared" si="23"/>
        <v/>
      </c>
      <c r="R508" t="s">
        <v>24</v>
      </c>
    </row>
    <row r="509" spans="1:18" x14ac:dyDescent="0.3">
      <c r="A509" s="1" t="d">
        <v>2024-08-12</v>
      </c>
      <c r="B509">
        <v>45505</v>
      </c>
      <c r="C509" t="str">
        <f>VLOOKUP(Fato_Producao[[#This Row],[referencia]], Dim_Produtos!A:B,2,FALSE)</f>
        <v>camarao</v>
      </c>
      <c r="D509">
        <v>3956</v>
      </c>
      <c r="E509">
        <v>3612</v>
      </c>
      <c r="F509" s="5">
        <v>8.6999999999999994E-2</v>
      </c>
      <c r="G509" s="6">
        <v>103.2</v>
      </c>
      <c r="H509">
        <v>72</v>
      </c>
      <c r="I509">
        <v>260</v>
      </c>
      <c r="J509">
        <v>12</v>
      </c>
      <c r="K509">
        <f>Fato_Producao[[#This Row],[embalagens_danificadas]]+Fato_Producao[[#This Row],[peso_errado]]+Fato_Producao[[#This Row],[impressao]]</f>
        <v>344</v>
      </c>
      <c r="L509" s="1" t="d">
        <v>2024-06-23</v>
      </c>
      <c r="M509">
        <v>50</v>
      </c>
      <c r="N509" s="7">
        <v>15.48</v>
      </c>
      <c r="O509" s="4" t="str">
        <f t="shared" si="21"/>
        <v>agosto</v>
      </c>
      <c r="P509" s="4">
        <f t="shared" si="22"/>
        <v>2024</v>
      </c>
      <c r="Q509" s="4">
        <f t="shared" si="23"/>
        <v>50</v>
      </c>
      <c r="R509" t="s">
        <v>24</v>
      </c>
    </row>
    <row r="510" spans="1:18" x14ac:dyDescent="0.3">
      <c r="A510" s="1" t="d">
        <v>2024-08-13</v>
      </c>
      <c r="B510">
        <v>45500</v>
      </c>
      <c r="C510" t="str">
        <f>VLOOKUP(Fato_Producao[[#This Row],[referencia]], Dim_Produtos!A:B,2,FALSE)</f>
        <v>filete pescada</v>
      </c>
      <c r="D510">
        <v>3923</v>
      </c>
      <c r="E510">
        <v>3769</v>
      </c>
      <c r="F510" s="5">
        <v>3.9300000000000002E-2</v>
      </c>
      <c r="G510" s="6">
        <v>43.12</v>
      </c>
      <c r="H510">
        <v>7</v>
      </c>
      <c r="I510">
        <v>145</v>
      </c>
      <c r="J510">
        <v>2</v>
      </c>
      <c r="K510">
        <f>Fato_Producao[[#This Row],[embalagens_danificadas]]+Fato_Producao[[#This Row],[peso_errado]]+Fato_Producao[[#This Row],[impressao]]</f>
        <v>154</v>
      </c>
      <c r="L510" s="1" t="d">
        <v>2024-08-13</v>
      </c>
      <c r="M510">
        <v>0</v>
      </c>
      <c r="N510" s="7">
        <v>5.17</v>
      </c>
      <c r="O510" s="4" t="str">
        <f t="shared" si="21"/>
        <v>agosto</v>
      </c>
      <c r="P510" s="4">
        <f t="shared" si="22"/>
        <v>2024</v>
      </c>
      <c r="Q510" s="4" t="str">
        <f t="shared" si="23"/>
        <v/>
      </c>
      <c r="R510" t="s">
        <v>24</v>
      </c>
    </row>
    <row r="511" spans="1:18" x14ac:dyDescent="0.3">
      <c r="A511" s="1" t="d">
        <v>2024-08-13</v>
      </c>
      <c r="B511">
        <v>45504</v>
      </c>
      <c r="C511" t="str">
        <f>VLOOKUP(Fato_Producao[[#This Row],[referencia]], Dim_Produtos!A:B,2,FALSE)</f>
        <v>pescada posta fritar</v>
      </c>
      <c r="D511">
        <v>2294</v>
      </c>
      <c r="E511">
        <v>2165</v>
      </c>
      <c r="F511" s="5">
        <v>5.62E-2</v>
      </c>
      <c r="G511" s="6">
        <v>41.28</v>
      </c>
      <c r="H511">
        <v>6</v>
      </c>
      <c r="I511">
        <v>120</v>
      </c>
      <c r="J511">
        <v>3</v>
      </c>
      <c r="K511">
        <f>Fato_Producao[[#This Row],[embalagens_danificadas]]+Fato_Producao[[#This Row],[peso_errado]]+Fato_Producao[[#This Row],[impressao]]</f>
        <v>129</v>
      </c>
      <c r="L511" s="1" t="d">
        <v>2024-08-13</v>
      </c>
      <c r="M511">
        <v>0</v>
      </c>
      <c r="N511" s="7">
        <v>5.78</v>
      </c>
      <c r="O511" s="4" t="str">
        <f t="shared" si="21"/>
        <v>agosto</v>
      </c>
      <c r="P511" s="4">
        <f t="shared" si="22"/>
        <v>2024</v>
      </c>
      <c r="Q511" s="4" t="str">
        <f t="shared" si="23"/>
        <v/>
      </c>
      <c r="R511" t="s">
        <v>24</v>
      </c>
    </row>
    <row r="512" spans="1:18" x14ac:dyDescent="0.3">
      <c r="A512" s="1" t="d">
        <v>2024-08-14</v>
      </c>
      <c r="B512">
        <v>45504</v>
      </c>
      <c r="C512" t="str">
        <f>VLOOKUP(Fato_Producao[[#This Row],[referencia]], Dim_Produtos!A:B,2,FALSE)</f>
        <v>pescada posta fritar</v>
      </c>
      <c r="D512">
        <v>2445</v>
      </c>
      <c r="E512">
        <v>2337</v>
      </c>
      <c r="F512" s="5">
        <v>4.4200000000000003E-2</v>
      </c>
      <c r="G512" s="6">
        <v>34.56</v>
      </c>
      <c r="H512">
        <v>6</v>
      </c>
      <c r="I512">
        <v>100</v>
      </c>
      <c r="J512">
        <v>2</v>
      </c>
      <c r="K512">
        <f>Fato_Producao[[#This Row],[embalagens_danificadas]]+Fato_Producao[[#This Row],[peso_errado]]+Fato_Producao[[#This Row],[impressao]]</f>
        <v>108</v>
      </c>
      <c r="L512" s="1" t="d">
        <v>2024-08-13</v>
      </c>
      <c r="M512">
        <v>1</v>
      </c>
      <c r="N512" s="7">
        <v>4.84</v>
      </c>
      <c r="O512" s="4" t="str">
        <f t="shared" si="21"/>
        <v>agosto</v>
      </c>
      <c r="P512" s="4">
        <f t="shared" si="22"/>
        <v>2024</v>
      </c>
      <c r="Q512" s="4" t="str">
        <f t="shared" si="23"/>
        <v/>
      </c>
      <c r="R512" t="s">
        <v>24</v>
      </c>
    </row>
    <row r="513" spans="1:18" x14ac:dyDescent="0.3">
      <c r="A513" s="1" t="d">
        <v>2024-08-14</v>
      </c>
      <c r="B513">
        <v>45509</v>
      </c>
      <c r="C513" t="str">
        <f>VLOOKUP(Fato_Producao[[#This Row],[referencia]], Dim_Produtos!A:B,2,FALSE)</f>
        <v>lascas bacalhau</v>
      </c>
      <c r="D513">
        <v>2298</v>
      </c>
      <c r="E513">
        <v>2152</v>
      </c>
      <c r="F513" s="5">
        <v>6.3500000000000001E-2</v>
      </c>
      <c r="G513" s="6">
        <v>40.880000000000003</v>
      </c>
      <c r="H513">
        <v>9</v>
      </c>
      <c r="I513">
        <v>135</v>
      </c>
      <c r="J513">
        <v>2</v>
      </c>
      <c r="K513">
        <f>Fato_Producao[[#This Row],[embalagens_danificadas]]+Fato_Producao[[#This Row],[peso_errado]]+Fato_Producao[[#This Row],[impressao]]</f>
        <v>146</v>
      </c>
      <c r="L513" s="1" t="d">
        <v>2024-08-13</v>
      </c>
      <c r="M513">
        <v>1</v>
      </c>
      <c r="N513" s="7">
        <v>5.31</v>
      </c>
      <c r="O513" s="4" t="str">
        <f t="shared" si="21"/>
        <v>agosto</v>
      </c>
      <c r="P513" s="4">
        <f t="shared" si="22"/>
        <v>2024</v>
      </c>
      <c r="Q513" s="4" t="str">
        <f t="shared" si="23"/>
        <v/>
      </c>
      <c r="R513" t="s">
        <v>24</v>
      </c>
    </row>
    <row r="514" spans="1:18" x14ac:dyDescent="0.3">
      <c r="A514" s="1" t="d">
        <v>2024-08-15</v>
      </c>
      <c r="B514">
        <v>45508</v>
      </c>
      <c r="C514" t="str">
        <f>VLOOKUP(Fato_Producao[[#This Row],[referencia]], Dim_Produtos!A:B,2,FALSE)</f>
        <v>lula suja</v>
      </c>
      <c r="D514">
        <v>3057</v>
      </c>
      <c r="E514">
        <v>2866</v>
      </c>
      <c r="F514" s="5">
        <v>6.25E-2</v>
      </c>
      <c r="G514" s="6">
        <v>61.12</v>
      </c>
      <c r="H514">
        <v>20</v>
      </c>
      <c r="I514">
        <v>168</v>
      </c>
      <c r="J514">
        <v>3</v>
      </c>
      <c r="K514">
        <f>Fato_Producao[[#This Row],[embalagens_danificadas]]+Fato_Producao[[#This Row],[peso_errado]]+Fato_Producao[[#This Row],[impressao]]</f>
        <v>191</v>
      </c>
      <c r="L514" s="1" t="d">
        <v>2024-08-13</v>
      </c>
      <c r="M514">
        <v>2</v>
      </c>
      <c r="N514" s="7">
        <v>8.56</v>
      </c>
      <c r="O514" s="4" t="str">
        <f t="shared" ref="O514:O577" si="24">TEXT(A514, "mmmm")</f>
        <v>agosto</v>
      </c>
      <c r="P514" s="4">
        <f t="shared" ref="P514:P577" si="25">YEAR(A514)</f>
        <v>2024</v>
      </c>
      <c r="Q514" s="4" t="str">
        <f t="shared" ref="Q514:Q577" si="26">IF(M515 &gt;= M514, "", M514)</f>
        <v/>
      </c>
      <c r="R514" t="s">
        <v>24</v>
      </c>
    </row>
    <row r="515" spans="1:18" x14ac:dyDescent="0.3">
      <c r="A515" s="1" t="d">
        <v>2024-08-16</v>
      </c>
      <c r="B515">
        <v>45511</v>
      </c>
      <c r="C515" t="str">
        <f>VLOOKUP(Fato_Producao[[#This Row],[referencia]], Dim_Produtos!A:B,2,FALSE)</f>
        <v>lula limpa</v>
      </c>
      <c r="D515">
        <v>3487</v>
      </c>
      <c r="E515">
        <v>3231</v>
      </c>
      <c r="F515" s="5">
        <v>7.3400000000000007E-2</v>
      </c>
      <c r="G515" s="6">
        <v>81.92</v>
      </c>
      <c r="H515">
        <v>30</v>
      </c>
      <c r="I515">
        <v>221</v>
      </c>
      <c r="J515">
        <v>5</v>
      </c>
      <c r="K515">
        <f>Fato_Producao[[#This Row],[embalagens_danificadas]]+Fato_Producao[[#This Row],[peso_errado]]+Fato_Producao[[#This Row],[impressao]]</f>
        <v>256</v>
      </c>
      <c r="L515" s="1" t="d">
        <v>2024-08-13</v>
      </c>
      <c r="M515">
        <v>3</v>
      </c>
      <c r="N515" s="7">
        <v>11.47</v>
      </c>
      <c r="O515" s="4" t="str">
        <f t="shared" si="24"/>
        <v>agosto</v>
      </c>
      <c r="P515" s="4">
        <f t="shared" si="25"/>
        <v>2024</v>
      </c>
      <c r="Q515" s="4" t="str">
        <f t="shared" si="26"/>
        <v/>
      </c>
      <c r="R515" t="s">
        <v>24</v>
      </c>
    </row>
    <row r="516" spans="1:18" x14ac:dyDescent="0.3">
      <c r="A516" s="1" t="d">
        <v>2024-08-17</v>
      </c>
      <c r="B516">
        <v>45502</v>
      </c>
      <c r="C516" t="str">
        <f>VLOOKUP(Fato_Producao[[#This Row],[referencia]], Dim_Produtos!A:B,2,FALSE)</f>
        <v>carapau pelim</v>
      </c>
      <c r="D516">
        <v>4042</v>
      </c>
      <c r="E516">
        <v>3770</v>
      </c>
      <c r="F516" s="5">
        <v>6.7299999999999999E-2</v>
      </c>
      <c r="G516" s="6">
        <v>81.599999999999994</v>
      </c>
      <c r="H516">
        <v>68</v>
      </c>
      <c r="I516">
        <v>198</v>
      </c>
      <c r="J516">
        <v>6</v>
      </c>
      <c r="K516">
        <f>Fato_Producao[[#This Row],[embalagens_danificadas]]+Fato_Producao[[#This Row],[peso_errado]]+Fato_Producao[[#This Row],[impressao]]</f>
        <v>272</v>
      </c>
      <c r="L516" s="1" t="d">
        <v>2024-08-13</v>
      </c>
      <c r="M516">
        <v>4</v>
      </c>
      <c r="N516" s="7">
        <v>10.61</v>
      </c>
      <c r="O516" s="4" t="str">
        <f t="shared" si="24"/>
        <v>agosto</v>
      </c>
      <c r="P516" s="4">
        <f t="shared" si="25"/>
        <v>2024</v>
      </c>
      <c r="Q516" s="4" t="str">
        <f t="shared" si="26"/>
        <v/>
      </c>
      <c r="R516" t="s">
        <v>24</v>
      </c>
    </row>
    <row r="517" spans="1:18" x14ac:dyDescent="0.3">
      <c r="A517" s="1" t="d">
        <v>2024-08-17</v>
      </c>
      <c r="B517">
        <v>45505</v>
      </c>
      <c r="C517" t="str">
        <f>VLOOKUP(Fato_Producao[[#This Row],[referencia]], Dim_Produtos!A:B,2,FALSE)</f>
        <v>camarao</v>
      </c>
      <c r="D517">
        <v>3720</v>
      </c>
      <c r="E517">
        <v>3471</v>
      </c>
      <c r="F517" s="5">
        <v>6.6900000000000001E-2</v>
      </c>
      <c r="G517" s="6">
        <v>74.7</v>
      </c>
      <c r="H517">
        <v>64</v>
      </c>
      <c r="I517">
        <v>182</v>
      </c>
      <c r="J517">
        <v>3</v>
      </c>
      <c r="K517">
        <f>Fato_Producao[[#This Row],[embalagens_danificadas]]+Fato_Producao[[#This Row],[peso_errado]]+Fato_Producao[[#This Row],[impressao]]</f>
        <v>249</v>
      </c>
      <c r="L517" s="1" t="d">
        <v>2024-08-13</v>
      </c>
      <c r="M517">
        <v>4</v>
      </c>
      <c r="N517" s="7">
        <v>11.21</v>
      </c>
      <c r="O517" s="4" t="str">
        <f t="shared" si="24"/>
        <v>agosto</v>
      </c>
      <c r="P517" s="4">
        <f t="shared" si="25"/>
        <v>2024</v>
      </c>
      <c r="Q517" s="4" t="str">
        <f t="shared" si="26"/>
        <v/>
      </c>
      <c r="R517" t="s">
        <v>24</v>
      </c>
    </row>
    <row r="518" spans="1:18" x14ac:dyDescent="0.3">
      <c r="A518" s="1" t="d">
        <v>2024-08-18</v>
      </c>
      <c r="B518">
        <v>45512</v>
      </c>
      <c r="C518" t="str">
        <f>VLOOKUP(Fato_Producao[[#This Row],[referencia]], Dim_Produtos!A:B,2,FALSE)</f>
        <v>red-fish posta</v>
      </c>
      <c r="D518">
        <v>2094</v>
      </c>
      <c r="E518">
        <v>1988</v>
      </c>
      <c r="F518" s="5">
        <v>5.0599999999999999E-2</v>
      </c>
      <c r="G518" s="6">
        <v>36.04</v>
      </c>
      <c r="H518">
        <v>4</v>
      </c>
      <c r="I518">
        <v>99</v>
      </c>
      <c r="J518">
        <v>3</v>
      </c>
      <c r="K518">
        <f>Fato_Producao[[#This Row],[embalagens_danificadas]]+Fato_Producao[[#This Row],[peso_errado]]+Fato_Producao[[#This Row],[impressao]]</f>
        <v>106</v>
      </c>
      <c r="L518" s="1" t="d">
        <v>2024-08-13</v>
      </c>
      <c r="M518">
        <v>5</v>
      </c>
      <c r="N518" s="7">
        <v>5.05</v>
      </c>
      <c r="O518" s="4" t="str">
        <f t="shared" si="24"/>
        <v>agosto</v>
      </c>
      <c r="P518" s="4">
        <f t="shared" si="25"/>
        <v>2024</v>
      </c>
      <c r="Q518" s="4" t="str">
        <f t="shared" si="26"/>
        <v/>
      </c>
      <c r="R518" t="s">
        <v>24</v>
      </c>
    </row>
    <row r="519" spans="1:18" x14ac:dyDescent="0.3">
      <c r="A519" s="1" t="d">
        <v>2024-08-18</v>
      </c>
      <c r="B519">
        <v>45506</v>
      </c>
      <c r="C519" t="str">
        <f>VLOOKUP(Fato_Producao[[#This Row],[referencia]], Dim_Produtos!A:B,2,FALSE)</f>
        <v>perca posta</v>
      </c>
      <c r="D519">
        <v>3137</v>
      </c>
      <c r="E519">
        <v>3017</v>
      </c>
      <c r="F519" s="5">
        <v>3.8300000000000001E-2</v>
      </c>
      <c r="G519" s="6">
        <v>42</v>
      </c>
      <c r="H519">
        <v>7</v>
      </c>
      <c r="I519">
        <v>112</v>
      </c>
      <c r="J519">
        <v>1</v>
      </c>
      <c r="K519">
        <f>Fato_Producao[[#This Row],[embalagens_danificadas]]+Fato_Producao[[#This Row],[peso_errado]]+Fato_Producao[[#This Row],[impressao]]</f>
        <v>120</v>
      </c>
      <c r="L519" s="1" t="d">
        <v>2024-08-13</v>
      </c>
      <c r="M519">
        <v>5</v>
      </c>
      <c r="N519" s="7">
        <v>6.3</v>
      </c>
      <c r="O519" s="4" t="str">
        <f t="shared" si="24"/>
        <v>agosto</v>
      </c>
      <c r="P519" s="4">
        <f t="shared" si="25"/>
        <v>2024</v>
      </c>
      <c r="Q519" s="4" t="str">
        <f t="shared" si="26"/>
        <v/>
      </c>
      <c r="R519" t="s">
        <v>24</v>
      </c>
    </row>
    <row r="520" spans="1:18" x14ac:dyDescent="0.3">
      <c r="A520" s="1" t="d">
        <v>2024-08-19</v>
      </c>
      <c r="B520">
        <v>45508</v>
      </c>
      <c r="C520" t="str">
        <f>VLOOKUP(Fato_Producao[[#This Row],[referencia]], Dim_Produtos!A:B,2,FALSE)</f>
        <v>lula suja</v>
      </c>
      <c r="D520">
        <v>2050</v>
      </c>
      <c r="E520">
        <v>1832</v>
      </c>
      <c r="F520" s="5">
        <v>0.10630000000000001</v>
      </c>
      <c r="G520" s="6">
        <v>69.760000000000005</v>
      </c>
      <c r="H520">
        <v>28</v>
      </c>
      <c r="I520">
        <v>187</v>
      </c>
      <c r="J520">
        <v>3</v>
      </c>
      <c r="K520">
        <f>Fato_Producao[[#This Row],[embalagens_danificadas]]+Fato_Producao[[#This Row],[peso_errado]]+Fato_Producao[[#This Row],[impressao]]</f>
        <v>218</v>
      </c>
      <c r="L520" s="1" t="d">
        <v>2024-08-13</v>
      </c>
      <c r="M520">
        <v>6</v>
      </c>
      <c r="N520" s="7">
        <v>9.77</v>
      </c>
      <c r="O520" s="4" t="str">
        <f t="shared" si="24"/>
        <v>agosto</v>
      </c>
      <c r="P520" s="4">
        <f t="shared" si="25"/>
        <v>2024</v>
      </c>
      <c r="Q520" s="4" t="str">
        <f t="shared" si="26"/>
        <v/>
      </c>
      <c r="R520" t="s">
        <v>24</v>
      </c>
    </row>
    <row r="521" spans="1:18" x14ac:dyDescent="0.3">
      <c r="A521" s="1" t="d">
        <v>2024-08-19</v>
      </c>
      <c r="B521">
        <v>45508</v>
      </c>
      <c r="C521" t="str">
        <f>VLOOKUP(Fato_Producao[[#This Row],[referencia]], Dim_Produtos!A:B,2,FALSE)</f>
        <v>lula suja</v>
      </c>
      <c r="D521">
        <v>2896</v>
      </c>
      <c r="E521">
        <v>2697</v>
      </c>
      <c r="F521" s="5">
        <v>6.8699999999999997E-2</v>
      </c>
      <c r="G521" s="6">
        <v>63.68</v>
      </c>
      <c r="H521">
        <v>28</v>
      </c>
      <c r="I521">
        <v>166</v>
      </c>
      <c r="J521">
        <v>5</v>
      </c>
      <c r="K521">
        <f>Fato_Producao[[#This Row],[embalagens_danificadas]]+Fato_Producao[[#This Row],[peso_errado]]+Fato_Producao[[#This Row],[impressao]]</f>
        <v>199</v>
      </c>
      <c r="L521" s="1" t="d">
        <v>2024-08-13</v>
      </c>
      <c r="M521">
        <v>6</v>
      </c>
      <c r="N521" s="7">
        <v>8.92</v>
      </c>
      <c r="O521" s="4" t="str">
        <f t="shared" si="24"/>
        <v>agosto</v>
      </c>
      <c r="P521" s="4">
        <f t="shared" si="25"/>
        <v>2024</v>
      </c>
      <c r="Q521" s="4" t="str">
        <f t="shared" si="26"/>
        <v/>
      </c>
      <c r="R521" t="s">
        <v>24</v>
      </c>
    </row>
    <row r="522" spans="1:18" x14ac:dyDescent="0.3">
      <c r="A522" s="1" t="d">
        <v>2024-08-20</v>
      </c>
      <c r="B522">
        <v>45502</v>
      </c>
      <c r="C522" t="str">
        <f>VLOOKUP(Fato_Producao[[#This Row],[referencia]], Dim_Produtos!A:B,2,FALSE)</f>
        <v>carapau pelim</v>
      </c>
      <c r="D522">
        <v>3187</v>
      </c>
      <c r="E522">
        <v>2965</v>
      </c>
      <c r="F522" s="5">
        <v>6.9699999999999998E-2</v>
      </c>
      <c r="G522" s="6">
        <v>66.599999999999994</v>
      </c>
      <c r="H522">
        <v>46</v>
      </c>
      <c r="I522">
        <v>168</v>
      </c>
      <c r="J522">
        <v>8</v>
      </c>
      <c r="K522">
        <f>Fato_Producao[[#This Row],[embalagens_danificadas]]+Fato_Producao[[#This Row],[peso_errado]]+Fato_Producao[[#This Row],[impressao]]</f>
        <v>222</v>
      </c>
      <c r="L522" s="1" t="d">
        <v>2024-08-13</v>
      </c>
      <c r="M522">
        <v>7</v>
      </c>
      <c r="N522" s="7">
        <v>8.66</v>
      </c>
      <c r="O522" s="4" t="str">
        <f t="shared" si="24"/>
        <v>agosto</v>
      </c>
      <c r="P522" s="4">
        <f t="shared" si="25"/>
        <v>2024</v>
      </c>
      <c r="Q522" s="4" t="str">
        <f t="shared" si="26"/>
        <v/>
      </c>
      <c r="R522" t="s">
        <v>24</v>
      </c>
    </row>
    <row r="523" spans="1:18" x14ac:dyDescent="0.3">
      <c r="A523" s="1" t="d">
        <v>2024-08-20</v>
      </c>
      <c r="B523">
        <v>45512</v>
      </c>
      <c r="C523" t="str">
        <f>VLOOKUP(Fato_Producao[[#This Row],[referencia]], Dim_Produtos!A:B,2,FALSE)</f>
        <v>red-fish posta</v>
      </c>
      <c r="D523">
        <v>2698</v>
      </c>
      <c r="E523">
        <v>2586</v>
      </c>
      <c r="F523" s="5">
        <v>4.1500000000000002E-2</v>
      </c>
      <c r="G523" s="6">
        <v>38.08</v>
      </c>
      <c r="H523">
        <v>42</v>
      </c>
      <c r="I523">
        <v>19</v>
      </c>
      <c r="J523">
        <v>51</v>
      </c>
      <c r="K523">
        <f>Fato_Producao[[#This Row],[embalagens_danificadas]]+Fato_Producao[[#This Row],[peso_errado]]+Fato_Producao[[#This Row],[impressao]]</f>
        <v>112</v>
      </c>
      <c r="L523" s="1" t="d">
        <v>2024-08-13</v>
      </c>
      <c r="M523">
        <v>7</v>
      </c>
      <c r="N523" s="7">
        <v>5.33</v>
      </c>
      <c r="O523" s="4" t="str">
        <f t="shared" si="24"/>
        <v>agosto</v>
      </c>
      <c r="P523" s="4">
        <f t="shared" si="25"/>
        <v>2024</v>
      </c>
      <c r="Q523" s="4" t="str">
        <f t="shared" si="26"/>
        <v/>
      </c>
      <c r="R523" t="s">
        <v>50</v>
      </c>
    </row>
    <row r="524" spans="1:18" x14ac:dyDescent="0.3">
      <c r="A524" s="1" t="d">
        <v>2024-08-21</v>
      </c>
      <c r="B524">
        <v>45501</v>
      </c>
      <c r="C524" t="str">
        <f>VLOOKUP(Fato_Producao[[#This Row],[referencia]], Dim_Produtos!A:B,2,FALSE)</f>
        <v>pescada posta cozer</v>
      </c>
      <c r="D524">
        <v>4032</v>
      </c>
      <c r="E524">
        <v>3777</v>
      </c>
      <c r="F524" s="5">
        <v>6.3200000000000006E-2</v>
      </c>
      <c r="G524" s="6">
        <v>81.599999999999994</v>
      </c>
      <c r="H524">
        <v>5</v>
      </c>
      <c r="I524">
        <v>245</v>
      </c>
      <c r="J524">
        <v>5</v>
      </c>
      <c r="K524">
        <f>Fato_Producao[[#This Row],[embalagens_danificadas]]+Fato_Producao[[#This Row],[peso_errado]]+Fato_Producao[[#This Row],[impressao]]</f>
        <v>255</v>
      </c>
      <c r="L524" s="1" t="d">
        <v>2024-08-13</v>
      </c>
      <c r="M524">
        <v>8</v>
      </c>
      <c r="N524" s="7">
        <v>11.42</v>
      </c>
      <c r="O524" s="4" t="str">
        <f t="shared" si="24"/>
        <v>agosto</v>
      </c>
      <c r="P524" s="4">
        <f t="shared" si="25"/>
        <v>2024</v>
      </c>
      <c r="Q524" s="4" t="str">
        <f t="shared" si="26"/>
        <v/>
      </c>
      <c r="R524" t="s">
        <v>24</v>
      </c>
    </row>
    <row r="525" spans="1:18" x14ac:dyDescent="0.3">
      <c r="A525" s="1" t="d">
        <v>2024-08-22</v>
      </c>
      <c r="B525">
        <v>45505</v>
      </c>
      <c r="C525" t="str">
        <f>VLOOKUP(Fato_Producao[[#This Row],[referencia]], Dim_Produtos!A:B,2,FALSE)</f>
        <v>camarao</v>
      </c>
      <c r="D525">
        <v>4182</v>
      </c>
      <c r="E525">
        <v>3910</v>
      </c>
      <c r="F525" s="5">
        <v>6.5000000000000002E-2</v>
      </c>
      <c r="G525" s="6">
        <v>81.599999999999994</v>
      </c>
      <c r="H525">
        <v>85</v>
      </c>
      <c r="I525">
        <v>184</v>
      </c>
      <c r="J525">
        <v>3</v>
      </c>
      <c r="K525">
        <f>Fato_Producao[[#This Row],[embalagens_danificadas]]+Fato_Producao[[#This Row],[peso_errado]]+Fato_Producao[[#This Row],[impressao]]</f>
        <v>272</v>
      </c>
      <c r="L525" s="1" t="d">
        <v>2024-08-13</v>
      </c>
      <c r="M525">
        <v>9</v>
      </c>
      <c r="N525" s="7">
        <v>12.24</v>
      </c>
      <c r="O525" s="4" t="str">
        <f t="shared" si="24"/>
        <v>agosto</v>
      </c>
      <c r="P525" s="4">
        <f t="shared" si="25"/>
        <v>2024</v>
      </c>
      <c r="Q525" s="4" t="str">
        <f t="shared" si="26"/>
        <v/>
      </c>
      <c r="R525" t="s">
        <v>24</v>
      </c>
    </row>
    <row r="526" spans="1:18" x14ac:dyDescent="0.3">
      <c r="A526" s="1" t="d">
        <v>2024-08-22</v>
      </c>
      <c r="B526">
        <v>45502</v>
      </c>
      <c r="C526" t="str">
        <f>VLOOKUP(Fato_Producao[[#This Row],[referencia]], Dim_Produtos!A:B,2,FALSE)</f>
        <v>carapau pelim</v>
      </c>
      <c r="D526">
        <v>3674</v>
      </c>
      <c r="E526">
        <v>3446</v>
      </c>
      <c r="F526" s="5">
        <v>6.2100000000000002E-2</v>
      </c>
      <c r="G526" s="6">
        <v>68.400000000000006</v>
      </c>
      <c r="H526">
        <v>63</v>
      </c>
      <c r="I526">
        <v>160</v>
      </c>
      <c r="J526">
        <v>5</v>
      </c>
      <c r="K526">
        <f>Fato_Producao[[#This Row],[embalagens_danificadas]]+Fato_Producao[[#This Row],[peso_errado]]+Fato_Producao[[#This Row],[impressao]]</f>
        <v>228</v>
      </c>
      <c r="L526" s="1" t="d">
        <v>2024-08-13</v>
      </c>
      <c r="M526">
        <v>9</v>
      </c>
      <c r="N526" s="7">
        <v>8.89</v>
      </c>
      <c r="O526" s="4" t="str">
        <f t="shared" si="24"/>
        <v>agosto</v>
      </c>
      <c r="P526" s="4">
        <f t="shared" si="25"/>
        <v>2024</v>
      </c>
      <c r="Q526" s="4" t="str">
        <f t="shared" si="26"/>
        <v/>
      </c>
      <c r="R526" t="s">
        <v>24</v>
      </c>
    </row>
    <row r="527" spans="1:18" x14ac:dyDescent="0.3">
      <c r="A527" s="1" t="d">
        <v>2024-08-23</v>
      </c>
      <c r="B527">
        <v>45510</v>
      </c>
      <c r="C527" t="str">
        <f>VLOOKUP(Fato_Producao[[#This Row],[referencia]], Dim_Produtos!A:B,2,FALSE)</f>
        <v>tiras pota</v>
      </c>
      <c r="D527">
        <v>3943</v>
      </c>
      <c r="E527">
        <v>3665</v>
      </c>
      <c r="F527" s="5">
        <v>7.0499999999999993E-2</v>
      </c>
      <c r="G527" s="6">
        <v>88.96</v>
      </c>
      <c r="H527">
        <v>107</v>
      </c>
      <c r="I527">
        <v>59</v>
      </c>
      <c r="J527">
        <v>112</v>
      </c>
      <c r="K527">
        <f>Fato_Producao[[#This Row],[embalagens_danificadas]]+Fato_Producao[[#This Row],[peso_errado]]+Fato_Producao[[#This Row],[impressao]]</f>
        <v>278</v>
      </c>
      <c r="L527" s="1" t="d">
        <v>2024-08-13</v>
      </c>
      <c r="M527">
        <v>10</v>
      </c>
      <c r="N527" s="7">
        <v>12.45</v>
      </c>
      <c r="O527" s="4" t="str">
        <f t="shared" si="24"/>
        <v>agosto</v>
      </c>
      <c r="P527" s="4">
        <f t="shared" si="25"/>
        <v>2024</v>
      </c>
      <c r="Q527" s="4" t="str">
        <f t="shared" si="26"/>
        <v/>
      </c>
      <c r="R527" t="s">
        <v>50</v>
      </c>
    </row>
    <row r="528" spans="1:18" x14ac:dyDescent="0.3">
      <c r="A528" s="1" t="d">
        <v>2024-08-24</v>
      </c>
      <c r="B528">
        <v>45511</v>
      </c>
      <c r="C528" t="str">
        <f>VLOOKUP(Fato_Producao[[#This Row],[referencia]], Dim_Produtos!A:B,2,FALSE)</f>
        <v>lula limpa</v>
      </c>
      <c r="D528">
        <v>2470</v>
      </c>
      <c r="E528">
        <v>2272</v>
      </c>
      <c r="F528" s="5">
        <v>8.0199999999999994E-2</v>
      </c>
      <c r="G528" s="6">
        <v>63.36</v>
      </c>
      <c r="H528">
        <v>17</v>
      </c>
      <c r="I528">
        <v>176</v>
      </c>
      <c r="J528">
        <v>5</v>
      </c>
      <c r="K528">
        <f>Fato_Producao[[#This Row],[embalagens_danificadas]]+Fato_Producao[[#This Row],[peso_errado]]+Fato_Producao[[#This Row],[impressao]]</f>
        <v>198</v>
      </c>
      <c r="L528" s="1" t="d">
        <v>2024-08-13</v>
      </c>
      <c r="M528">
        <v>11</v>
      </c>
      <c r="N528" s="7">
        <v>8.8699999999999992</v>
      </c>
      <c r="O528" s="4" t="str">
        <f t="shared" si="24"/>
        <v>agosto</v>
      </c>
      <c r="P528" s="4">
        <f t="shared" si="25"/>
        <v>2024</v>
      </c>
      <c r="Q528" s="4" t="str">
        <f t="shared" si="26"/>
        <v/>
      </c>
      <c r="R528" t="s">
        <v>24</v>
      </c>
    </row>
    <row r="529" spans="1:18" x14ac:dyDescent="0.3">
      <c r="A529" s="1" t="d">
        <v>2024-08-24</v>
      </c>
      <c r="B529">
        <v>45509</v>
      </c>
      <c r="C529" t="str">
        <f>VLOOKUP(Fato_Producao[[#This Row],[referencia]], Dim_Produtos!A:B,2,FALSE)</f>
        <v>lascas bacalhau</v>
      </c>
      <c r="D529">
        <v>4161</v>
      </c>
      <c r="E529">
        <v>3875</v>
      </c>
      <c r="F529" s="5">
        <v>6.8699999999999997E-2</v>
      </c>
      <c r="G529" s="6">
        <v>80.08</v>
      </c>
      <c r="H529">
        <v>8</v>
      </c>
      <c r="I529">
        <v>271</v>
      </c>
      <c r="J529">
        <v>7</v>
      </c>
      <c r="K529">
        <f>Fato_Producao[[#This Row],[embalagens_danificadas]]+Fato_Producao[[#This Row],[peso_errado]]+Fato_Producao[[#This Row],[impressao]]</f>
        <v>286</v>
      </c>
      <c r="L529" s="1" t="d">
        <v>2024-08-13</v>
      </c>
      <c r="M529">
        <v>11</v>
      </c>
      <c r="N529" s="7">
        <v>10.41</v>
      </c>
      <c r="O529" s="4" t="str">
        <f t="shared" si="24"/>
        <v>agosto</v>
      </c>
      <c r="P529" s="4">
        <f t="shared" si="25"/>
        <v>2024</v>
      </c>
      <c r="Q529" s="4" t="str">
        <f t="shared" si="26"/>
        <v/>
      </c>
      <c r="R529" t="s">
        <v>24</v>
      </c>
    </row>
    <row r="530" spans="1:18" x14ac:dyDescent="0.3">
      <c r="A530" s="1" t="d">
        <v>2024-08-25</v>
      </c>
      <c r="B530">
        <v>45500</v>
      </c>
      <c r="C530" t="str">
        <f>VLOOKUP(Fato_Producao[[#This Row],[referencia]], Dim_Produtos!A:B,2,FALSE)</f>
        <v>filete pescada</v>
      </c>
      <c r="D530">
        <v>3034</v>
      </c>
      <c r="E530">
        <v>2855</v>
      </c>
      <c r="F530" s="5">
        <v>5.8999999999999997E-2</v>
      </c>
      <c r="G530" s="6">
        <v>50.12</v>
      </c>
      <c r="H530">
        <v>9</v>
      </c>
      <c r="I530">
        <v>165</v>
      </c>
      <c r="J530">
        <v>5</v>
      </c>
      <c r="K530">
        <f>Fato_Producao[[#This Row],[embalagens_danificadas]]+Fato_Producao[[#This Row],[peso_errado]]+Fato_Producao[[#This Row],[impressao]]</f>
        <v>179</v>
      </c>
      <c r="L530" s="1" t="d">
        <v>2024-08-13</v>
      </c>
      <c r="M530">
        <v>12</v>
      </c>
      <c r="N530" s="7">
        <v>6.01</v>
      </c>
      <c r="O530" s="4" t="str">
        <f t="shared" si="24"/>
        <v>agosto</v>
      </c>
      <c r="P530" s="4">
        <f t="shared" si="25"/>
        <v>2024</v>
      </c>
      <c r="Q530" s="4" t="str">
        <f t="shared" si="26"/>
        <v/>
      </c>
      <c r="R530" t="s">
        <v>24</v>
      </c>
    </row>
    <row r="531" spans="1:18" x14ac:dyDescent="0.3">
      <c r="A531" s="1" t="d">
        <v>2024-08-25</v>
      </c>
      <c r="B531">
        <v>45512</v>
      </c>
      <c r="C531" t="str">
        <f>VLOOKUP(Fato_Producao[[#This Row],[referencia]], Dim_Produtos!A:B,2,FALSE)</f>
        <v>red-fish posta</v>
      </c>
      <c r="D531">
        <v>2790</v>
      </c>
      <c r="E531">
        <v>2625</v>
      </c>
      <c r="F531" s="5">
        <v>5.91E-2</v>
      </c>
      <c r="G531" s="6">
        <v>56.1</v>
      </c>
      <c r="H531">
        <v>4</v>
      </c>
      <c r="I531">
        <v>156</v>
      </c>
      <c r="J531">
        <v>5</v>
      </c>
      <c r="K531">
        <f>Fato_Producao[[#This Row],[embalagens_danificadas]]+Fato_Producao[[#This Row],[peso_errado]]+Fato_Producao[[#This Row],[impressao]]</f>
        <v>165</v>
      </c>
      <c r="L531" s="1" t="d">
        <v>2024-08-13</v>
      </c>
      <c r="M531">
        <v>12</v>
      </c>
      <c r="N531" s="7">
        <v>7.85</v>
      </c>
      <c r="O531" s="4" t="str">
        <f t="shared" si="24"/>
        <v>agosto</v>
      </c>
      <c r="P531" s="4">
        <f t="shared" si="25"/>
        <v>2024</v>
      </c>
      <c r="Q531" s="4" t="str">
        <f t="shared" si="26"/>
        <v/>
      </c>
      <c r="R531" t="s">
        <v>24</v>
      </c>
    </row>
    <row r="532" spans="1:18" x14ac:dyDescent="0.3">
      <c r="A532" s="1" t="d">
        <v>2024-08-26</v>
      </c>
      <c r="B532">
        <v>45505</v>
      </c>
      <c r="C532" t="str">
        <f>VLOOKUP(Fato_Producao[[#This Row],[referencia]], Dim_Produtos!A:B,2,FALSE)</f>
        <v>camarao</v>
      </c>
      <c r="D532">
        <v>3505</v>
      </c>
      <c r="E532">
        <v>3224</v>
      </c>
      <c r="F532" s="5">
        <v>8.0199999999999994E-2</v>
      </c>
      <c r="G532" s="6">
        <v>84.3</v>
      </c>
      <c r="H532">
        <v>74</v>
      </c>
      <c r="I532">
        <v>203</v>
      </c>
      <c r="J532">
        <v>4</v>
      </c>
      <c r="K532">
        <f>Fato_Producao[[#This Row],[embalagens_danificadas]]+Fato_Producao[[#This Row],[peso_errado]]+Fato_Producao[[#This Row],[impressao]]</f>
        <v>281</v>
      </c>
      <c r="L532" s="1" t="d">
        <v>2024-08-13</v>
      </c>
      <c r="M532">
        <v>13</v>
      </c>
      <c r="N532" s="7">
        <v>12.64</v>
      </c>
      <c r="O532" s="4" t="str">
        <f t="shared" si="24"/>
        <v>agosto</v>
      </c>
      <c r="P532" s="4">
        <f t="shared" si="25"/>
        <v>2024</v>
      </c>
      <c r="Q532" s="4" t="str">
        <f t="shared" si="26"/>
        <v/>
      </c>
      <c r="R532" t="s">
        <v>24</v>
      </c>
    </row>
    <row r="533" spans="1:18" x14ac:dyDescent="0.3">
      <c r="A533" s="1" t="d">
        <v>2024-08-26</v>
      </c>
      <c r="B533">
        <v>45512</v>
      </c>
      <c r="C533" t="str">
        <f>VLOOKUP(Fato_Producao[[#This Row],[referencia]], Dim_Produtos!A:B,2,FALSE)</f>
        <v>red-fish posta</v>
      </c>
      <c r="D533">
        <v>2754</v>
      </c>
      <c r="E533">
        <v>2627</v>
      </c>
      <c r="F533" s="5">
        <v>4.6100000000000002E-2</v>
      </c>
      <c r="G533" s="6">
        <v>43.18</v>
      </c>
      <c r="H533">
        <v>3</v>
      </c>
      <c r="I533">
        <v>121</v>
      </c>
      <c r="J533">
        <v>3</v>
      </c>
      <c r="K533">
        <f>Fato_Producao[[#This Row],[embalagens_danificadas]]+Fato_Producao[[#This Row],[peso_errado]]+Fato_Producao[[#This Row],[impressao]]</f>
        <v>127</v>
      </c>
      <c r="L533" s="1" t="d">
        <v>2024-08-13</v>
      </c>
      <c r="M533">
        <v>13</v>
      </c>
      <c r="N533" s="7">
        <v>6.05</v>
      </c>
      <c r="O533" s="4" t="str">
        <f t="shared" si="24"/>
        <v>agosto</v>
      </c>
      <c r="P533" s="4">
        <f t="shared" si="25"/>
        <v>2024</v>
      </c>
      <c r="Q533" s="4" t="str">
        <f t="shared" si="26"/>
        <v/>
      </c>
      <c r="R533" t="s">
        <v>24</v>
      </c>
    </row>
    <row r="534" spans="1:18" x14ac:dyDescent="0.3">
      <c r="A534" s="1" t="d">
        <v>2024-08-27</v>
      </c>
      <c r="B534">
        <v>45500</v>
      </c>
      <c r="C534" t="str">
        <f>VLOOKUP(Fato_Producao[[#This Row],[referencia]], Dim_Produtos!A:B,2,FALSE)</f>
        <v>filete pescada</v>
      </c>
      <c r="D534">
        <v>2170</v>
      </c>
      <c r="E534">
        <v>2058</v>
      </c>
      <c r="F534" s="5">
        <v>5.16E-2</v>
      </c>
      <c r="G534" s="6">
        <v>31.36</v>
      </c>
      <c r="H534">
        <v>6</v>
      </c>
      <c r="I534">
        <v>103</v>
      </c>
      <c r="J534">
        <v>3</v>
      </c>
      <c r="K534">
        <f>Fato_Producao[[#This Row],[embalagens_danificadas]]+Fato_Producao[[#This Row],[peso_errado]]+Fato_Producao[[#This Row],[impressao]]</f>
        <v>112</v>
      </c>
      <c r="L534" s="1" t="d">
        <v>2024-08-13</v>
      </c>
      <c r="M534">
        <v>14</v>
      </c>
      <c r="N534" s="7">
        <v>3.76</v>
      </c>
      <c r="O534" s="4" t="str">
        <f t="shared" si="24"/>
        <v>agosto</v>
      </c>
      <c r="P534" s="4">
        <f t="shared" si="25"/>
        <v>2024</v>
      </c>
      <c r="Q534" s="4" t="str">
        <f t="shared" si="26"/>
        <v/>
      </c>
      <c r="R534" t="s">
        <v>24</v>
      </c>
    </row>
    <row r="535" spans="1:18" x14ac:dyDescent="0.3">
      <c r="A535" s="1" t="d">
        <v>2024-08-27</v>
      </c>
      <c r="B535">
        <v>45514</v>
      </c>
      <c r="C535" t="str">
        <f>VLOOKUP(Fato_Producao[[#This Row],[referencia]], Dim_Produtos!A:B,2,FALSE)</f>
        <v>sardinha pequena</v>
      </c>
      <c r="D535">
        <v>1994</v>
      </c>
      <c r="E535">
        <v>1831</v>
      </c>
      <c r="F535" s="5">
        <v>8.1699999999999995E-2</v>
      </c>
      <c r="G535" s="6">
        <v>48.9</v>
      </c>
      <c r="H535">
        <v>6</v>
      </c>
      <c r="I535">
        <v>154</v>
      </c>
      <c r="J535">
        <v>3</v>
      </c>
      <c r="K535">
        <f>Fato_Producao[[#This Row],[embalagens_danificadas]]+Fato_Producao[[#This Row],[peso_errado]]+Fato_Producao[[#This Row],[impressao]]</f>
        <v>163</v>
      </c>
      <c r="L535" s="1" t="d">
        <v>2024-08-13</v>
      </c>
      <c r="M535">
        <v>14</v>
      </c>
      <c r="N535" s="7">
        <v>5.87</v>
      </c>
      <c r="O535" s="4" t="str">
        <f t="shared" si="24"/>
        <v>agosto</v>
      </c>
      <c r="P535" s="4">
        <f t="shared" si="25"/>
        <v>2024</v>
      </c>
      <c r="Q535" s="4" t="str">
        <f t="shared" si="26"/>
        <v/>
      </c>
      <c r="R535" t="s">
        <v>24</v>
      </c>
    </row>
    <row r="536" spans="1:18" x14ac:dyDescent="0.3">
      <c r="A536" s="1" t="d">
        <v>2024-08-28</v>
      </c>
      <c r="B536">
        <v>45511</v>
      </c>
      <c r="C536" t="str">
        <f>VLOOKUP(Fato_Producao[[#This Row],[referencia]], Dim_Produtos!A:B,2,FALSE)</f>
        <v>lula limpa</v>
      </c>
      <c r="D536">
        <v>2722</v>
      </c>
      <c r="E536">
        <v>2553</v>
      </c>
      <c r="F536" s="5">
        <v>6.2100000000000002E-2</v>
      </c>
      <c r="G536" s="6">
        <v>54.08</v>
      </c>
      <c r="H536">
        <v>23</v>
      </c>
      <c r="I536">
        <v>142</v>
      </c>
      <c r="J536">
        <v>4</v>
      </c>
      <c r="K536">
        <f>Fato_Producao[[#This Row],[embalagens_danificadas]]+Fato_Producao[[#This Row],[peso_errado]]+Fato_Producao[[#This Row],[impressao]]</f>
        <v>169</v>
      </c>
      <c r="L536" s="1" t="d">
        <v>2024-08-13</v>
      </c>
      <c r="M536">
        <v>15</v>
      </c>
      <c r="N536" s="7">
        <v>7.57</v>
      </c>
      <c r="O536" s="4" t="str">
        <f t="shared" si="24"/>
        <v>agosto</v>
      </c>
      <c r="P536" s="4">
        <f t="shared" si="25"/>
        <v>2024</v>
      </c>
      <c r="Q536" s="4" t="str">
        <f t="shared" si="26"/>
        <v/>
      </c>
      <c r="R536" t="s">
        <v>24</v>
      </c>
    </row>
    <row r="537" spans="1:18" x14ac:dyDescent="0.3">
      <c r="A537" s="1" t="d">
        <v>2024-08-29</v>
      </c>
      <c r="B537">
        <v>45505</v>
      </c>
      <c r="C537" t="str">
        <f>VLOOKUP(Fato_Producao[[#This Row],[referencia]], Dim_Produtos!A:B,2,FALSE)</f>
        <v>camarao</v>
      </c>
      <c r="D537">
        <v>3807</v>
      </c>
      <c r="E537">
        <v>3531</v>
      </c>
      <c r="F537" s="5">
        <v>7.2499999999999995E-2</v>
      </c>
      <c r="G537" s="6">
        <v>82.8</v>
      </c>
      <c r="H537">
        <v>76</v>
      </c>
      <c r="I537">
        <v>194</v>
      </c>
      <c r="J537">
        <v>6</v>
      </c>
      <c r="K537">
        <f>Fato_Producao[[#This Row],[embalagens_danificadas]]+Fato_Producao[[#This Row],[peso_errado]]+Fato_Producao[[#This Row],[impressao]]</f>
        <v>276</v>
      </c>
      <c r="L537" s="1" t="d">
        <v>2024-08-13</v>
      </c>
      <c r="M537">
        <v>16</v>
      </c>
      <c r="N537" s="7">
        <v>12.42</v>
      </c>
      <c r="O537" s="4" t="str">
        <f t="shared" si="24"/>
        <v>agosto</v>
      </c>
      <c r="P537" s="4">
        <f t="shared" si="25"/>
        <v>2024</v>
      </c>
      <c r="Q537" s="4" t="str">
        <f t="shared" si="26"/>
        <v/>
      </c>
      <c r="R537" t="s">
        <v>24</v>
      </c>
    </row>
    <row r="538" spans="1:18" x14ac:dyDescent="0.3">
      <c r="A538" s="1" t="d">
        <v>2024-08-29</v>
      </c>
      <c r="B538">
        <v>45511</v>
      </c>
      <c r="C538" t="str">
        <f>VLOOKUP(Fato_Producao[[#This Row],[referencia]], Dim_Produtos!A:B,2,FALSE)</f>
        <v>lula limpa</v>
      </c>
      <c r="D538">
        <v>2191</v>
      </c>
      <c r="E538">
        <v>2012</v>
      </c>
      <c r="F538" s="5">
        <v>8.1699999999999995E-2</v>
      </c>
      <c r="G538" s="6">
        <v>57.28</v>
      </c>
      <c r="H538">
        <v>57</v>
      </c>
      <c r="I538">
        <v>30</v>
      </c>
      <c r="J538">
        <v>92</v>
      </c>
      <c r="K538">
        <f>Fato_Producao[[#This Row],[embalagens_danificadas]]+Fato_Producao[[#This Row],[peso_errado]]+Fato_Producao[[#This Row],[impressao]]</f>
        <v>179</v>
      </c>
      <c r="L538" s="1" t="d">
        <v>2024-08-13</v>
      </c>
      <c r="M538">
        <v>16</v>
      </c>
      <c r="N538" s="7">
        <v>8.02</v>
      </c>
      <c r="O538" s="4" t="str">
        <f t="shared" si="24"/>
        <v>agosto</v>
      </c>
      <c r="P538" s="4">
        <f t="shared" si="25"/>
        <v>2024</v>
      </c>
      <c r="Q538" s="4" t="str">
        <f t="shared" si="26"/>
        <v/>
      </c>
      <c r="R538" t="s">
        <v>50</v>
      </c>
    </row>
    <row r="539" spans="1:18" x14ac:dyDescent="0.3">
      <c r="A539" s="1" t="d">
        <v>2024-08-30</v>
      </c>
      <c r="B539">
        <v>45510</v>
      </c>
      <c r="C539" t="str">
        <f>VLOOKUP(Fato_Producao[[#This Row],[referencia]], Dim_Produtos!A:B,2,FALSE)</f>
        <v>tiras pota</v>
      </c>
      <c r="D539">
        <v>2254</v>
      </c>
      <c r="E539">
        <v>2111</v>
      </c>
      <c r="F539" s="5">
        <v>6.3399999999999998E-2</v>
      </c>
      <c r="G539" s="6">
        <v>45.76</v>
      </c>
      <c r="H539">
        <v>20</v>
      </c>
      <c r="I539">
        <v>119</v>
      </c>
      <c r="J539">
        <v>4</v>
      </c>
      <c r="K539">
        <f>Fato_Producao[[#This Row],[embalagens_danificadas]]+Fato_Producao[[#This Row],[peso_errado]]+Fato_Producao[[#This Row],[impressao]]</f>
        <v>143</v>
      </c>
      <c r="L539" s="1" t="d">
        <v>2024-08-13</v>
      </c>
      <c r="M539">
        <v>17</v>
      </c>
      <c r="N539" s="7">
        <v>6.41</v>
      </c>
      <c r="O539" s="4" t="str">
        <f t="shared" si="24"/>
        <v>agosto</v>
      </c>
      <c r="P539" s="4">
        <f t="shared" si="25"/>
        <v>2024</v>
      </c>
      <c r="Q539" s="4" t="str">
        <f t="shared" si="26"/>
        <v/>
      </c>
      <c r="R539" t="s">
        <v>24</v>
      </c>
    </row>
    <row r="540" spans="1:18" x14ac:dyDescent="0.3">
      <c r="A540" s="1" t="d">
        <v>2024-08-30</v>
      </c>
      <c r="B540">
        <v>45510</v>
      </c>
      <c r="C540" t="str">
        <f>VLOOKUP(Fato_Producao[[#This Row],[referencia]], Dim_Produtos!A:B,2,FALSE)</f>
        <v>tiras pota</v>
      </c>
      <c r="D540">
        <v>3005</v>
      </c>
      <c r="E540">
        <v>2693</v>
      </c>
      <c r="F540" s="5">
        <v>0.1038</v>
      </c>
      <c r="G540" s="6">
        <v>99.84</v>
      </c>
      <c r="H540">
        <v>32</v>
      </c>
      <c r="I540">
        <v>271</v>
      </c>
      <c r="J540">
        <v>9</v>
      </c>
      <c r="K540">
        <f>Fato_Producao[[#This Row],[embalagens_danificadas]]+Fato_Producao[[#This Row],[peso_errado]]+Fato_Producao[[#This Row],[impressao]]</f>
        <v>312</v>
      </c>
      <c r="L540" s="1" t="d">
        <v>2024-08-13</v>
      </c>
      <c r="M540">
        <v>17</v>
      </c>
      <c r="N540" s="7">
        <v>13.98</v>
      </c>
      <c r="O540" s="4" t="str">
        <f t="shared" si="24"/>
        <v>agosto</v>
      </c>
      <c r="P540" s="4">
        <f t="shared" si="25"/>
        <v>2024</v>
      </c>
      <c r="Q540" s="4" t="str">
        <f t="shared" si="26"/>
        <v/>
      </c>
      <c r="R540" t="s">
        <v>24</v>
      </c>
    </row>
    <row r="541" spans="1:18" x14ac:dyDescent="0.3">
      <c r="A541" s="1" t="d">
        <v>2024-08-31</v>
      </c>
      <c r="B541">
        <v>45504</v>
      </c>
      <c r="C541" t="str">
        <f>VLOOKUP(Fato_Producao[[#This Row],[referencia]], Dim_Produtos!A:B,2,FALSE)</f>
        <v>pescada posta fritar</v>
      </c>
      <c r="D541">
        <v>2298</v>
      </c>
      <c r="E541">
        <v>2176</v>
      </c>
      <c r="F541" s="5">
        <v>5.3100000000000001E-2</v>
      </c>
      <c r="G541" s="6">
        <v>39.04</v>
      </c>
      <c r="H541">
        <v>10</v>
      </c>
      <c r="I541">
        <v>111</v>
      </c>
      <c r="J541">
        <v>1</v>
      </c>
      <c r="K541">
        <f>Fato_Producao[[#This Row],[embalagens_danificadas]]+Fato_Producao[[#This Row],[peso_errado]]+Fato_Producao[[#This Row],[impressao]]</f>
        <v>122</v>
      </c>
      <c r="L541" s="1" t="d">
        <v>2024-08-13</v>
      </c>
      <c r="M541">
        <v>18</v>
      </c>
      <c r="N541" s="7">
        <v>5.47</v>
      </c>
      <c r="O541" s="4" t="str">
        <f t="shared" si="24"/>
        <v>agosto</v>
      </c>
      <c r="P541" s="4">
        <f t="shared" si="25"/>
        <v>2024</v>
      </c>
      <c r="Q541" s="4" t="str">
        <f t="shared" si="26"/>
        <v/>
      </c>
      <c r="R541" t="s">
        <v>24</v>
      </c>
    </row>
    <row r="542" spans="1:18" x14ac:dyDescent="0.3">
      <c r="A542" s="1" t="d">
        <v>2024-08-31</v>
      </c>
      <c r="B542">
        <v>45504</v>
      </c>
      <c r="C542" t="str">
        <f>VLOOKUP(Fato_Producao[[#This Row],[referencia]], Dim_Produtos!A:B,2,FALSE)</f>
        <v>pescada posta fritar</v>
      </c>
      <c r="D542">
        <v>1965</v>
      </c>
      <c r="E542">
        <v>1858</v>
      </c>
      <c r="F542" s="5">
        <v>5.45E-2</v>
      </c>
      <c r="G542" s="6">
        <v>34.24</v>
      </c>
      <c r="H542">
        <v>6</v>
      </c>
      <c r="I542">
        <v>100</v>
      </c>
      <c r="J542">
        <v>1</v>
      </c>
      <c r="K542">
        <f>Fato_Producao[[#This Row],[embalagens_danificadas]]+Fato_Producao[[#This Row],[peso_errado]]+Fato_Producao[[#This Row],[impressao]]</f>
        <v>107</v>
      </c>
      <c r="L542" s="1" t="d">
        <v>2024-08-13</v>
      </c>
      <c r="M542">
        <v>18</v>
      </c>
      <c r="N542" s="7">
        <v>4.79</v>
      </c>
      <c r="O542" s="4" t="str">
        <f t="shared" si="24"/>
        <v>agosto</v>
      </c>
      <c r="P542" s="4">
        <f t="shared" si="25"/>
        <v>2024</v>
      </c>
      <c r="Q542" s="4" t="str">
        <f t="shared" si="26"/>
        <v/>
      </c>
      <c r="R542" t="s">
        <v>24</v>
      </c>
    </row>
    <row r="543" spans="1:18" x14ac:dyDescent="0.3">
      <c r="A543" s="1" t="d">
        <v>2024-09-01</v>
      </c>
      <c r="B543">
        <v>45504</v>
      </c>
      <c r="C543" t="str">
        <f>VLOOKUP(Fato_Producao[[#This Row],[referencia]], Dim_Produtos!A:B,2,FALSE)</f>
        <v>pescada posta fritar</v>
      </c>
      <c r="D543">
        <v>3985</v>
      </c>
      <c r="E543">
        <v>3678</v>
      </c>
      <c r="F543" s="5">
        <v>7.6999999999999999E-2</v>
      </c>
      <c r="G543" s="6">
        <v>98.24</v>
      </c>
      <c r="H543">
        <v>20</v>
      </c>
      <c r="I543">
        <v>280</v>
      </c>
      <c r="J543">
        <v>7</v>
      </c>
      <c r="K543">
        <f>Fato_Producao[[#This Row],[embalagens_danificadas]]+Fato_Producao[[#This Row],[peso_errado]]+Fato_Producao[[#This Row],[impressao]]</f>
        <v>307</v>
      </c>
      <c r="L543" s="1" t="d">
        <v>2024-08-13</v>
      </c>
      <c r="M543">
        <v>19</v>
      </c>
      <c r="N543" s="7">
        <v>13.75</v>
      </c>
      <c r="O543" s="4" t="str">
        <f t="shared" si="24"/>
        <v>setembro</v>
      </c>
      <c r="P543" s="4">
        <f t="shared" si="25"/>
        <v>2024</v>
      </c>
      <c r="Q543" s="4" t="str">
        <f t="shared" si="26"/>
        <v/>
      </c>
      <c r="R543" t="s">
        <v>24</v>
      </c>
    </row>
    <row r="544" spans="1:18" x14ac:dyDescent="0.3">
      <c r="A544" s="1" t="d">
        <v>2024-09-01</v>
      </c>
      <c r="B544">
        <v>45502</v>
      </c>
      <c r="C544" t="str">
        <f>VLOOKUP(Fato_Producao[[#This Row],[referencia]], Dim_Produtos!A:B,2,FALSE)</f>
        <v>carapau pelim</v>
      </c>
      <c r="D544">
        <v>3921</v>
      </c>
      <c r="E544">
        <v>3642</v>
      </c>
      <c r="F544" s="5">
        <v>7.1199999999999999E-2</v>
      </c>
      <c r="G544" s="6">
        <v>83.7</v>
      </c>
      <c r="H544">
        <v>84</v>
      </c>
      <c r="I544">
        <v>189</v>
      </c>
      <c r="J544">
        <v>6</v>
      </c>
      <c r="K544">
        <f>Fato_Producao[[#This Row],[embalagens_danificadas]]+Fato_Producao[[#This Row],[peso_errado]]+Fato_Producao[[#This Row],[impressao]]</f>
        <v>279</v>
      </c>
      <c r="L544" s="1" t="d">
        <v>2024-08-13</v>
      </c>
      <c r="M544">
        <v>19</v>
      </c>
      <c r="N544" s="7">
        <v>10.88</v>
      </c>
      <c r="O544" s="4" t="str">
        <f t="shared" si="24"/>
        <v>setembro</v>
      </c>
      <c r="P544" s="4">
        <f t="shared" si="25"/>
        <v>2024</v>
      </c>
      <c r="Q544" s="4" t="str">
        <f t="shared" si="26"/>
        <v/>
      </c>
      <c r="R544" t="s">
        <v>24</v>
      </c>
    </row>
    <row r="545" spans="1:18" x14ac:dyDescent="0.3">
      <c r="A545" s="1" t="d">
        <v>2024-09-02</v>
      </c>
      <c r="B545">
        <v>45511</v>
      </c>
      <c r="C545" t="str">
        <f>VLOOKUP(Fato_Producao[[#This Row],[referencia]], Dim_Produtos!A:B,2,FALSE)</f>
        <v>lula limpa</v>
      </c>
      <c r="D545">
        <v>3138</v>
      </c>
      <c r="E545">
        <v>2915</v>
      </c>
      <c r="F545" s="5">
        <v>7.1099999999999997E-2</v>
      </c>
      <c r="G545" s="6">
        <v>71.36</v>
      </c>
      <c r="H545">
        <v>25</v>
      </c>
      <c r="I545">
        <v>194</v>
      </c>
      <c r="J545">
        <v>4</v>
      </c>
      <c r="K545">
        <f>Fato_Producao[[#This Row],[embalagens_danificadas]]+Fato_Producao[[#This Row],[peso_errado]]+Fato_Producao[[#This Row],[impressao]]</f>
        <v>223</v>
      </c>
      <c r="L545" s="1" t="d">
        <v>2024-08-13</v>
      </c>
      <c r="M545">
        <v>20</v>
      </c>
      <c r="N545" s="7">
        <v>9.99</v>
      </c>
      <c r="O545" s="4" t="str">
        <f t="shared" si="24"/>
        <v>setembro</v>
      </c>
      <c r="P545" s="4">
        <f t="shared" si="25"/>
        <v>2024</v>
      </c>
      <c r="Q545" s="4" t="str">
        <f t="shared" si="26"/>
        <v/>
      </c>
      <c r="R545" t="s">
        <v>24</v>
      </c>
    </row>
    <row r="546" spans="1:18" x14ac:dyDescent="0.3">
      <c r="A546" s="1" t="d">
        <v>2024-09-03</v>
      </c>
      <c r="B546">
        <v>45509</v>
      </c>
      <c r="C546" t="str">
        <f>VLOOKUP(Fato_Producao[[#This Row],[referencia]], Dim_Produtos!A:B,2,FALSE)</f>
        <v>lascas bacalhau</v>
      </c>
      <c r="D546">
        <v>3744</v>
      </c>
      <c r="E546">
        <v>3456</v>
      </c>
      <c r="F546" s="5">
        <v>7.6899999999999996E-2</v>
      </c>
      <c r="G546" s="6">
        <v>80.64</v>
      </c>
      <c r="H546">
        <v>13</v>
      </c>
      <c r="I546">
        <v>267</v>
      </c>
      <c r="J546">
        <v>8</v>
      </c>
      <c r="K546">
        <f>Fato_Producao[[#This Row],[embalagens_danificadas]]+Fato_Producao[[#This Row],[peso_errado]]+Fato_Producao[[#This Row],[impressao]]</f>
        <v>288</v>
      </c>
      <c r="L546" s="1" t="d">
        <v>2024-08-13</v>
      </c>
      <c r="M546">
        <v>21</v>
      </c>
      <c r="N546" s="7">
        <v>10.48</v>
      </c>
      <c r="O546" s="4" t="str">
        <f t="shared" si="24"/>
        <v>setembro</v>
      </c>
      <c r="P546" s="4">
        <f t="shared" si="25"/>
        <v>2024</v>
      </c>
      <c r="Q546" s="4" t="str">
        <f t="shared" si="26"/>
        <v/>
      </c>
      <c r="R546" t="s">
        <v>24</v>
      </c>
    </row>
    <row r="547" spans="1:18" x14ac:dyDescent="0.3">
      <c r="A547" s="1" t="d">
        <v>2024-09-03</v>
      </c>
      <c r="B547">
        <v>45507</v>
      </c>
      <c r="C547" t="str">
        <f>VLOOKUP(Fato_Producao[[#This Row],[referencia]], Dim_Produtos!A:B,2,FALSE)</f>
        <v>salmao posta</v>
      </c>
      <c r="D547">
        <v>2898</v>
      </c>
      <c r="E547">
        <v>2725</v>
      </c>
      <c r="F547" s="5">
        <v>5.9700000000000003E-2</v>
      </c>
      <c r="G547" s="6">
        <v>60.55</v>
      </c>
      <c r="H547">
        <v>7</v>
      </c>
      <c r="I547">
        <v>162</v>
      </c>
      <c r="J547">
        <v>4</v>
      </c>
      <c r="K547">
        <f>Fato_Producao[[#This Row],[embalagens_danificadas]]+Fato_Producao[[#This Row],[peso_errado]]+Fato_Producao[[#This Row],[impressao]]</f>
        <v>173</v>
      </c>
      <c r="L547" s="1" t="d">
        <v>2024-08-13</v>
      </c>
      <c r="M547">
        <v>21</v>
      </c>
      <c r="N547" s="7">
        <v>9.69</v>
      </c>
      <c r="O547" s="4" t="str">
        <f t="shared" si="24"/>
        <v>setembro</v>
      </c>
      <c r="P547" s="4">
        <f t="shared" si="25"/>
        <v>2024</v>
      </c>
      <c r="Q547" s="4" t="str">
        <f t="shared" si="26"/>
        <v/>
      </c>
      <c r="R547" t="s">
        <v>24</v>
      </c>
    </row>
    <row r="548" spans="1:18" x14ac:dyDescent="0.3">
      <c r="A548" s="1" t="d">
        <v>2024-09-04</v>
      </c>
      <c r="B548">
        <v>45508</v>
      </c>
      <c r="C548" t="str">
        <f>VLOOKUP(Fato_Producao[[#This Row],[referencia]], Dim_Produtos!A:B,2,FALSE)</f>
        <v>lula suja</v>
      </c>
      <c r="D548">
        <v>3005</v>
      </c>
      <c r="E548">
        <v>2747</v>
      </c>
      <c r="F548" s="5">
        <v>8.5900000000000004E-2</v>
      </c>
      <c r="G548" s="6">
        <v>82.56</v>
      </c>
      <c r="H548">
        <v>31</v>
      </c>
      <c r="I548">
        <v>223</v>
      </c>
      <c r="J548">
        <v>4</v>
      </c>
      <c r="K548">
        <f>Fato_Producao[[#This Row],[embalagens_danificadas]]+Fato_Producao[[#This Row],[peso_errado]]+Fato_Producao[[#This Row],[impressao]]</f>
        <v>258</v>
      </c>
      <c r="L548" s="1" t="d">
        <v>2024-08-13</v>
      </c>
      <c r="M548">
        <v>22</v>
      </c>
      <c r="N548" s="7">
        <v>11.56</v>
      </c>
      <c r="O548" s="4" t="str">
        <f t="shared" si="24"/>
        <v>setembro</v>
      </c>
      <c r="P548" s="4">
        <f t="shared" si="25"/>
        <v>2024</v>
      </c>
      <c r="Q548" s="4" t="str">
        <f t="shared" si="26"/>
        <v/>
      </c>
      <c r="R548" t="s">
        <v>24</v>
      </c>
    </row>
    <row r="549" spans="1:18" x14ac:dyDescent="0.3">
      <c r="A549" s="1" t="d">
        <v>2024-09-04</v>
      </c>
      <c r="B549">
        <v>45511</v>
      </c>
      <c r="C549" t="str">
        <f>VLOOKUP(Fato_Producao[[#This Row],[referencia]], Dim_Produtos!A:B,2,FALSE)</f>
        <v>lula limpa</v>
      </c>
      <c r="D549">
        <v>2205</v>
      </c>
      <c r="E549">
        <v>2032</v>
      </c>
      <c r="F549" s="5">
        <v>7.85E-2</v>
      </c>
      <c r="G549" s="6">
        <v>55.36</v>
      </c>
      <c r="H549">
        <v>22</v>
      </c>
      <c r="I549">
        <v>146</v>
      </c>
      <c r="J549">
        <v>5</v>
      </c>
      <c r="K549">
        <f>Fato_Producao[[#This Row],[embalagens_danificadas]]+Fato_Producao[[#This Row],[peso_errado]]+Fato_Producao[[#This Row],[impressao]]</f>
        <v>173</v>
      </c>
      <c r="L549" s="1" t="d">
        <v>2024-08-13</v>
      </c>
      <c r="M549">
        <v>22</v>
      </c>
      <c r="N549" s="7">
        <v>7.75</v>
      </c>
      <c r="O549" s="4" t="str">
        <f t="shared" si="24"/>
        <v>setembro</v>
      </c>
      <c r="P549" s="4">
        <f t="shared" si="25"/>
        <v>2024</v>
      </c>
      <c r="Q549" s="4" t="str">
        <f t="shared" si="26"/>
        <v/>
      </c>
      <c r="R549" t="s">
        <v>24</v>
      </c>
    </row>
    <row r="550" spans="1:18" x14ac:dyDescent="0.3">
      <c r="A550" s="1" t="d">
        <v>2024-09-05</v>
      </c>
      <c r="B550">
        <v>45503</v>
      </c>
      <c r="C550" t="str">
        <f>VLOOKUP(Fato_Producao[[#This Row],[referencia]], Dim_Produtos!A:B,2,FALSE)</f>
        <v>sardinha pequena</v>
      </c>
      <c r="D550">
        <v>2233</v>
      </c>
      <c r="E550">
        <v>2060</v>
      </c>
      <c r="F550" s="5">
        <v>7.7499999999999999E-2</v>
      </c>
      <c r="G550" s="6">
        <v>44.98</v>
      </c>
      <c r="H550">
        <v>3</v>
      </c>
      <c r="I550">
        <v>165</v>
      </c>
      <c r="J550">
        <v>5</v>
      </c>
      <c r="K550">
        <f>Fato_Producao[[#This Row],[embalagens_danificadas]]+Fato_Producao[[#This Row],[peso_errado]]+Fato_Producao[[#This Row],[impressao]]</f>
        <v>173</v>
      </c>
      <c r="L550" s="1" t="d">
        <v>2024-08-13</v>
      </c>
      <c r="M550">
        <v>23</v>
      </c>
      <c r="N550" s="7">
        <v>4.95</v>
      </c>
      <c r="O550" s="4" t="str">
        <f t="shared" si="24"/>
        <v>setembro</v>
      </c>
      <c r="P550" s="4">
        <f t="shared" si="25"/>
        <v>2024</v>
      </c>
      <c r="Q550" s="4" t="str">
        <f t="shared" si="26"/>
        <v/>
      </c>
      <c r="R550" t="s">
        <v>24</v>
      </c>
    </row>
    <row r="551" spans="1:18" x14ac:dyDescent="0.3">
      <c r="A551" s="1" t="d">
        <v>2024-09-06</v>
      </c>
      <c r="B551">
        <v>45502</v>
      </c>
      <c r="C551" t="str">
        <f>VLOOKUP(Fato_Producao[[#This Row],[referencia]], Dim_Produtos!A:B,2,FALSE)</f>
        <v>carapau pelim</v>
      </c>
      <c r="D551">
        <v>1889</v>
      </c>
      <c r="E551">
        <v>1726</v>
      </c>
      <c r="F551" s="5">
        <v>8.6300000000000002E-2</v>
      </c>
      <c r="G551" s="6">
        <v>48.9</v>
      </c>
      <c r="H551">
        <v>33</v>
      </c>
      <c r="I551">
        <v>126</v>
      </c>
      <c r="J551">
        <v>4</v>
      </c>
      <c r="K551">
        <f>Fato_Producao[[#This Row],[embalagens_danificadas]]+Fato_Producao[[#This Row],[peso_errado]]+Fato_Producao[[#This Row],[impressao]]</f>
        <v>163</v>
      </c>
      <c r="L551" s="1" t="d">
        <v>2024-08-13</v>
      </c>
      <c r="M551">
        <v>24</v>
      </c>
      <c r="N551" s="7">
        <v>6.36</v>
      </c>
      <c r="O551" s="4" t="str">
        <f t="shared" si="24"/>
        <v>setembro</v>
      </c>
      <c r="P551" s="4">
        <f t="shared" si="25"/>
        <v>2024</v>
      </c>
      <c r="Q551" s="4" t="str">
        <f t="shared" si="26"/>
        <v/>
      </c>
      <c r="R551" t="s">
        <v>24</v>
      </c>
    </row>
    <row r="552" spans="1:18" x14ac:dyDescent="0.3">
      <c r="A552" s="1" t="d">
        <v>2024-09-06</v>
      </c>
      <c r="B552">
        <v>45505</v>
      </c>
      <c r="C552" t="str">
        <f>VLOOKUP(Fato_Producao[[#This Row],[referencia]], Dim_Produtos!A:B,2,FALSE)</f>
        <v>camarao</v>
      </c>
      <c r="D552">
        <v>3657</v>
      </c>
      <c r="E552">
        <v>3385</v>
      </c>
      <c r="F552" s="5">
        <v>7.4399999999999994E-2</v>
      </c>
      <c r="G552" s="6">
        <v>81.599999999999994</v>
      </c>
      <c r="H552">
        <v>63</v>
      </c>
      <c r="I552">
        <v>206</v>
      </c>
      <c r="J552">
        <v>3</v>
      </c>
      <c r="K552">
        <f>Fato_Producao[[#This Row],[embalagens_danificadas]]+Fato_Producao[[#This Row],[peso_errado]]+Fato_Producao[[#This Row],[impressao]]</f>
        <v>272</v>
      </c>
      <c r="L552" s="1" t="d">
        <v>2024-08-13</v>
      </c>
      <c r="M552">
        <v>24</v>
      </c>
      <c r="N552" s="7">
        <v>12.24</v>
      </c>
      <c r="O552" s="4" t="str">
        <f t="shared" si="24"/>
        <v>setembro</v>
      </c>
      <c r="P552" s="4">
        <f t="shared" si="25"/>
        <v>2024</v>
      </c>
      <c r="Q552" s="4" t="str">
        <f t="shared" si="26"/>
        <v/>
      </c>
      <c r="R552" t="s">
        <v>24</v>
      </c>
    </row>
    <row r="553" spans="1:18" x14ac:dyDescent="0.3">
      <c r="A553" s="1" t="d">
        <v>2024-09-07</v>
      </c>
      <c r="B553">
        <v>45507</v>
      </c>
      <c r="C553" t="str">
        <f>VLOOKUP(Fato_Producao[[#This Row],[referencia]], Dim_Produtos!A:B,2,FALSE)</f>
        <v>salmao posta</v>
      </c>
      <c r="D553">
        <v>2725</v>
      </c>
      <c r="E553">
        <v>2533</v>
      </c>
      <c r="F553" s="5">
        <v>7.0499999999999993E-2</v>
      </c>
      <c r="G553" s="6">
        <v>67.2</v>
      </c>
      <c r="H553">
        <v>8</v>
      </c>
      <c r="I553">
        <v>181</v>
      </c>
      <c r="J553">
        <v>3</v>
      </c>
      <c r="K553">
        <f>Fato_Producao[[#This Row],[embalagens_danificadas]]+Fato_Producao[[#This Row],[peso_errado]]+Fato_Producao[[#This Row],[impressao]]</f>
        <v>192</v>
      </c>
      <c r="L553" s="1" t="d">
        <v>2024-08-13</v>
      </c>
      <c r="M553">
        <v>25</v>
      </c>
      <c r="N553" s="7">
        <v>10.75</v>
      </c>
      <c r="O553" s="4" t="str">
        <f t="shared" si="24"/>
        <v>setembro</v>
      </c>
      <c r="P553" s="4">
        <f t="shared" si="25"/>
        <v>2024</v>
      </c>
      <c r="Q553" s="4" t="str">
        <f t="shared" si="26"/>
        <v/>
      </c>
      <c r="R553" t="s">
        <v>24</v>
      </c>
    </row>
    <row r="554" spans="1:18" x14ac:dyDescent="0.3">
      <c r="A554" s="1" t="d">
        <v>2024-09-08</v>
      </c>
      <c r="B554">
        <v>45510</v>
      </c>
      <c r="C554" t="str">
        <f>VLOOKUP(Fato_Producao[[#This Row],[referencia]], Dim_Produtos!A:B,2,FALSE)</f>
        <v>tiras pota</v>
      </c>
      <c r="D554">
        <v>2775</v>
      </c>
      <c r="E554">
        <v>2517</v>
      </c>
      <c r="F554" s="5">
        <v>9.2999999999999999E-2</v>
      </c>
      <c r="G554" s="6">
        <v>82.56</v>
      </c>
      <c r="H554">
        <v>35</v>
      </c>
      <c r="I554">
        <v>215</v>
      </c>
      <c r="J554">
        <v>8</v>
      </c>
      <c r="K554">
        <f>Fato_Producao[[#This Row],[embalagens_danificadas]]+Fato_Producao[[#This Row],[peso_errado]]+Fato_Producao[[#This Row],[impressao]]</f>
        <v>258</v>
      </c>
      <c r="L554" s="1" t="d">
        <v>2024-08-13</v>
      </c>
      <c r="M554">
        <v>26</v>
      </c>
      <c r="N554" s="7">
        <v>11.56</v>
      </c>
      <c r="O554" s="4" t="str">
        <f t="shared" si="24"/>
        <v>setembro</v>
      </c>
      <c r="P554" s="4">
        <f t="shared" si="25"/>
        <v>2024</v>
      </c>
      <c r="Q554" s="4" t="str">
        <f t="shared" si="26"/>
        <v/>
      </c>
      <c r="R554" t="s">
        <v>24</v>
      </c>
    </row>
    <row r="555" spans="1:18" x14ac:dyDescent="0.3">
      <c r="A555" s="1" t="d">
        <v>2024-09-08</v>
      </c>
      <c r="B555">
        <v>45503</v>
      </c>
      <c r="C555" t="str">
        <f>VLOOKUP(Fato_Producao[[#This Row],[referencia]], Dim_Produtos!A:B,2,FALSE)</f>
        <v>sardinha pequena</v>
      </c>
      <c r="D555">
        <v>3628</v>
      </c>
      <c r="E555">
        <v>3386</v>
      </c>
      <c r="F555" s="5">
        <v>6.6699999999999995E-2</v>
      </c>
      <c r="G555" s="6">
        <v>62.92</v>
      </c>
      <c r="H555">
        <v>7</v>
      </c>
      <c r="I555">
        <v>228</v>
      </c>
      <c r="J555">
        <v>7</v>
      </c>
      <c r="K555">
        <f>Fato_Producao[[#This Row],[embalagens_danificadas]]+Fato_Producao[[#This Row],[peso_errado]]+Fato_Producao[[#This Row],[impressao]]</f>
        <v>242</v>
      </c>
      <c r="L555" s="1" t="d">
        <v>2024-08-13</v>
      </c>
      <c r="M555">
        <v>26</v>
      </c>
      <c r="N555" s="7">
        <v>6.92</v>
      </c>
      <c r="O555" s="4" t="str">
        <f t="shared" si="24"/>
        <v>setembro</v>
      </c>
      <c r="P555" s="4">
        <f t="shared" si="25"/>
        <v>2024</v>
      </c>
      <c r="Q555" s="4" t="str">
        <f t="shared" si="26"/>
        <v/>
      </c>
      <c r="R555" t="s">
        <v>24</v>
      </c>
    </row>
    <row r="556" spans="1:18" x14ac:dyDescent="0.3">
      <c r="A556" s="1" t="d">
        <v>2024-09-09</v>
      </c>
      <c r="B556">
        <v>45514</v>
      </c>
      <c r="C556" t="str">
        <f>VLOOKUP(Fato_Producao[[#This Row],[referencia]], Dim_Produtos!A:B,2,FALSE)</f>
        <v>sardinha pequena</v>
      </c>
      <c r="D556">
        <v>2684</v>
      </c>
      <c r="E556">
        <v>2467</v>
      </c>
      <c r="F556" s="5">
        <v>8.0799999999999997E-2</v>
      </c>
      <c r="G556" s="6">
        <v>65.099999999999994</v>
      </c>
      <c r="H556">
        <v>3</v>
      </c>
      <c r="I556">
        <v>208</v>
      </c>
      <c r="J556">
        <v>6</v>
      </c>
      <c r="K556">
        <f>Fato_Producao[[#This Row],[embalagens_danificadas]]+Fato_Producao[[#This Row],[peso_errado]]+Fato_Producao[[#This Row],[impressao]]</f>
        <v>217</v>
      </c>
      <c r="L556" s="1" t="d">
        <v>2024-08-13</v>
      </c>
      <c r="M556">
        <v>27</v>
      </c>
      <c r="N556" s="7">
        <v>7.81</v>
      </c>
      <c r="O556" s="4" t="str">
        <f t="shared" si="24"/>
        <v>setembro</v>
      </c>
      <c r="P556" s="4">
        <f t="shared" si="25"/>
        <v>2024</v>
      </c>
      <c r="Q556" s="4" t="str">
        <f t="shared" si="26"/>
        <v/>
      </c>
      <c r="R556" t="s">
        <v>24</v>
      </c>
    </row>
    <row r="557" spans="1:18" x14ac:dyDescent="0.3">
      <c r="A557" s="1" t="d">
        <v>2024-09-09</v>
      </c>
      <c r="B557">
        <v>45509</v>
      </c>
      <c r="C557" t="str">
        <f>VLOOKUP(Fato_Producao[[#This Row],[referencia]], Dim_Produtos!A:B,2,FALSE)</f>
        <v>lascas bacalhau</v>
      </c>
      <c r="D557">
        <v>2724</v>
      </c>
      <c r="E557">
        <v>2532</v>
      </c>
      <c r="F557" s="5">
        <v>7.0499999999999993E-2</v>
      </c>
      <c r="G557" s="6">
        <v>53.76</v>
      </c>
      <c r="H557">
        <v>12</v>
      </c>
      <c r="I557">
        <v>178</v>
      </c>
      <c r="J557">
        <v>2</v>
      </c>
      <c r="K557">
        <f>Fato_Producao[[#This Row],[embalagens_danificadas]]+Fato_Producao[[#This Row],[peso_errado]]+Fato_Producao[[#This Row],[impressao]]</f>
        <v>192</v>
      </c>
      <c r="L557" s="1" t="d">
        <v>2024-08-13</v>
      </c>
      <c r="M557">
        <v>27</v>
      </c>
      <c r="N557" s="7">
        <v>6.99</v>
      </c>
      <c r="O557" s="4" t="str">
        <f t="shared" si="24"/>
        <v>setembro</v>
      </c>
      <c r="P557" s="4">
        <f t="shared" si="25"/>
        <v>2024</v>
      </c>
      <c r="Q557" s="4" t="str">
        <f t="shared" si="26"/>
        <v/>
      </c>
      <c r="R557" t="s">
        <v>24</v>
      </c>
    </row>
    <row r="558" spans="1:18" x14ac:dyDescent="0.3">
      <c r="A558" s="1" t="d">
        <v>2024-09-10</v>
      </c>
      <c r="B558">
        <v>45501</v>
      </c>
      <c r="C558" t="str">
        <f>VLOOKUP(Fato_Producao[[#This Row],[referencia]], Dim_Produtos!A:B,2,FALSE)</f>
        <v>pescada posta cozer</v>
      </c>
      <c r="D558">
        <v>2562</v>
      </c>
      <c r="E558">
        <v>2418</v>
      </c>
      <c r="F558" s="5">
        <v>5.62E-2</v>
      </c>
      <c r="G558" s="6">
        <v>46.08</v>
      </c>
      <c r="H558">
        <v>10</v>
      </c>
      <c r="I558">
        <v>132</v>
      </c>
      <c r="J558">
        <v>2</v>
      </c>
      <c r="K558">
        <f>Fato_Producao[[#This Row],[embalagens_danificadas]]+Fato_Producao[[#This Row],[peso_errado]]+Fato_Producao[[#This Row],[impressao]]</f>
        <v>144</v>
      </c>
      <c r="L558" s="1" t="d">
        <v>2024-08-13</v>
      </c>
      <c r="M558">
        <v>28</v>
      </c>
      <c r="N558" s="7">
        <v>6.45</v>
      </c>
      <c r="O558" s="4" t="str">
        <f t="shared" si="24"/>
        <v>setembro</v>
      </c>
      <c r="P558" s="4">
        <f t="shared" si="25"/>
        <v>2024</v>
      </c>
      <c r="Q558" s="4" t="str">
        <f t="shared" si="26"/>
        <v/>
      </c>
      <c r="R558" t="s">
        <v>24</v>
      </c>
    </row>
    <row r="559" spans="1:18" x14ac:dyDescent="0.3">
      <c r="A559" s="1" t="d">
        <v>2024-09-11</v>
      </c>
      <c r="B559">
        <v>45513</v>
      </c>
      <c r="C559" t="str">
        <f>VLOOKUP(Fato_Producao[[#This Row],[referencia]], Dim_Produtos!A:B,2,FALSE)</f>
        <v>filete pescada</v>
      </c>
      <c r="D559">
        <v>3840</v>
      </c>
      <c r="E559">
        <v>3595</v>
      </c>
      <c r="F559" s="5">
        <v>6.3799999999999996E-2</v>
      </c>
      <c r="G559" s="6">
        <v>78.400000000000006</v>
      </c>
      <c r="H559">
        <v>13</v>
      </c>
      <c r="I559">
        <v>228</v>
      </c>
      <c r="J559">
        <v>4</v>
      </c>
      <c r="K559">
        <f>Fato_Producao[[#This Row],[embalagens_danificadas]]+Fato_Producao[[#This Row],[peso_errado]]+Fato_Producao[[#This Row],[impressao]]</f>
        <v>245</v>
      </c>
      <c r="L559" s="1" t="d">
        <v>2024-08-13</v>
      </c>
      <c r="M559">
        <v>29</v>
      </c>
      <c r="N559" s="7">
        <v>10.19</v>
      </c>
      <c r="O559" s="4" t="str">
        <f t="shared" si="24"/>
        <v>setembro</v>
      </c>
      <c r="P559" s="4">
        <f t="shared" si="25"/>
        <v>2024</v>
      </c>
      <c r="Q559" s="4" t="str">
        <f t="shared" si="26"/>
        <v/>
      </c>
      <c r="R559" t="s">
        <v>24</v>
      </c>
    </row>
    <row r="560" spans="1:18" x14ac:dyDescent="0.3">
      <c r="A560" s="1" t="d">
        <v>2024-09-11</v>
      </c>
      <c r="B560">
        <v>45507</v>
      </c>
      <c r="C560" t="str">
        <f>VLOOKUP(Fato_Producao[[#This Row],[referencia]], Dim_Produtos!A:B,2,FALSE)</f>
        <v>salmao posta</v>
      </c>
      <c r="D560">
        <v>3730</v>
      </c>
      <c r="E560">
        <v>3528</v>
      </c>
      <c r="F560" s="5">
        <v>5.4199999999999998E-2</v>
      </c>
      <c r="G560" s="6">
        <v>70.7</v>
      </c>
      <c r="H560">
        <v>14</v>
      </c>
      <c r="I560">
        <v>185</v>
      </c>
      <c r="J560">
        <v>3</v>
      </c>
      <c r="K560">
        <f>Fato_Producao[[#This Row],[embalagens_danificadas]]+Fato_Producao[[#This Row],[peso_errado]]+Fato_Producao[[#This Row],[impressao]]</f>
        <v>202</v>
      </c>
      <c r="L560" s="1" t="d">
        <v>2024-08-13</v>
      </c>
      <c r="M560">
        <v>29</v>
      </c>
      <c r="N560" s="7">
        <v>11.31</v>
      </c>
      <c r="O560" s="4" t="str">
        <f t="shared" si="24"/>
        <v>setembro</v>
      </c>
      <c r="P560" s="4">
        <f t="shared" si="25"/>
        <v>2024</v>
      </c>
      <c r="Q560" s="4" t="str">
        <f t="shared" si="26"/>
        <v/>
      </c>
      <c r="R560" t="s">
        <v>24</v>
      </c>
    </row>
    <row r="561" spans="1:18" x14ac:dyDescent="0.3">
      <c r="A561" s="1" t="d">
        <v>2024-09-12</v>
      </c>
      <c r="B561">
        <v>45512</v>
      </c>
      <c r="C561" t="str">
        <f>VLOOKUP(Fato_Producao[[#This Row],[referencia]], Dim_Produtos!A:B,2,FALSE)</f>
        <v>red-fish posta</v>
      </c>
      <c r="D561">
        <v>2836</v>
      </c>
      <c r="E561">
        <v>2676</v>
      </c>
      <c r="F561" s="5">
        <v>5.6399999999999999E-2</v>
      </c>
      <c r="G561" s="6">
        <v>54.4</v>
      </c>
      <c r="H561">
        <v>9</v>
      </c>
      <c r="I561">
        <v>147</v>
      </c>
      <c r="J561">
        <v>4</v>
      </c>
      <c r="K561">
        <f>Fato_Producao[[#This Row],[embalagens_danificadas]]+Fato_Producao[[#This Row],[peso_errado]]+Fato_Producao[[#This Row],[impressao]]</f>
        <v>160</v>
      </c>
      <c r="L561" s="1" t="d">
        <v>2024-08-13</v>
      </c>
      <c r="M561">
        <v>30</v>
      </c>
      <c r="N561" s="7">
        <v>7.62</v>
      </c>
      <c r="O561" s="4" t="str">
        <f t="shared" si="24"/>
        <v>setembro</v>
      </c>
      <c r="P561" s="4">
        <f t="shared" si="25"/>
        <v>2024</v>
      </c>
      <c r="Q561" s="4" t="str">
        <f t="shared" si="26"/>
        <v/>
      </c>
      <c r="R561" t="s">
        <v>24</v>
      </c>
    </row>
    <row r="562" spans="1:18" x14ac:dyDescent="0.3">
      <c r="A562" s="1" t="d">
        <v>2024-09-13</v>
      </c>
      <c r="B562">
        <v>45505</v>
      </c>
      <c r="C562" t="str">
        <f>VLOOKUP(Fato_Producao[[#This Row],[referencia]], Dim_Produtos!A:B,2,FALSE)</f>
        <v>camarao</v>
      </c>
      <c r="D562">
        <v>3679</v>
      </c>
      <c r="E562">
        <v>3460</v>
      </c>
      <c r="F562" s="5">
        <v>5.9499999999999997E-2</v>
      </c>
      <c r="G562" s="6">
        <v>65.7</v>
      </c>
      <c r="H562">
        <v>64</v>
      </c>
      <c r="I562">
        <v>152</v>
      </c>
      <c r="J562">
        <v>3</v>
      </c>
      <c r="K562">
        <f>Fato_Producao[[#This Row],[embalagens_danificadas]]+Fato_Producao[[#This Row],[peso_errado]]+Fato_Producao[[#This Row],[impressao]]</f>
        <v>219</v>
      </c>
      <c r="L562" s="1" t="d">
        <v>2024-08-13</v>
      </c>
      <c r="M562">
        <v>31</v>
      </c>
      <c r="N562" s="7">
        <v>9.86</v>
      </c>
      <c r="O562" s="4" t="str">
        <f t="shared" si="24"/>
        <v>setembro</v>
      </c>
      <c r="P562" s="4">
        <f t="shared" si="25"/>
        <v>2024</v>
      </c>
      <c r="Q562" s="4" t="str">
        <f t="shared" si="26"/>
        <v/>
      </c>
      <c r="R562" t="s">
        <v>24</v>
      </c>
    </row>
    <row r="563" spans="1:18" x14ac:dyDescent="0.3">
      <c r="A563" s="1" t="d">
        <v>2024-09-14</v>
      </c>
      <c r="B563">
        <v>45507</v>
      </c>
      <c r="C563" t="str">
        <f>VLOOKUP(Fato_Producao[[#This Row],[referencia]], Dim_Produtos!A:B,2,FALSE)</f>
        <v>salmao posta</v>
      </c>
      <c r="D563">
        <v>4085</v>
      </c>
      <c r="E563">
        <v>3811</v>
      </c>
      <c r="F563" s="5">
        <v>6.7100000000000007E-2</v>
      </c>
      <c r="G563" s="6">
        <v>95.9</v>
      </c>
      <c r="H563">
        <v>21</v>
      </c>
      <c r="I563">
        <v>249</v>
      </c>
      <c r="J563">
        <v>4</v>
      </c>
      <c r="K563">
        <f>Fato_Producao[[#This Row],[embalagens_danificadas]]+Fato_Producao[[#This Row],[peso_errado]]+Fato_Producao[[#This Row],[impressao]]</f>
        <v>274</v>
      </c>
      <c r="L563" s="1" t="d">
        <v>2024-08-13</v>
      </c>
      <c r="M563">
        <v>32</v>
      </c>
      <c r="N563" s="7">
        <v>15.34</v>
      </c>
      <c r="O563" s="4" t="str">
        <f t="shared" si="24"/>
        <v>setembro</v>
      </c>
      <c r="P563" s="4">
        <f t="shared" si="25"/>
        <v>2024</v>
      </c>
      <c r="Q563" s="4" t="str">
        <f t="shared" si="26"/>
        <v/>
      </c>
      <c r="R563" t="s">
        <v>24</v>
      </c>
    </row>
    <row r="564" spans="1:18" x14ac:dyDescent="0.3">
      <c r="A564" s="1" t="d">
        <v>2024-09-14</v>
      </c>
      <c r="B564">
        <v>45506</v>
      </c>
      <c r="C564" t="str">
        <f>VLOOKUP(Fato_Producao[[#This Row],[referencia]], Dim_Produtos!A:B,2,FALSE)</f>
        <v>perca posta</v>
      </c>
      <c r="D564">
        <v>2790</v>
      </c>
      <c r="E564">
        <v>2555</v>
      </c>
      <c r="F564" s="5">
        <v>8.4199999999999997E-2</v>
      </c>
      <c r="G564" s="6">
        <v>82.25</v>
      </c>
      <c r="H564">
        <v>14</v>
      </c>
      <c r="I564">
        <v>218</v>
      </c>
      <c r="J564">
        <v>3</v>
      </c>
      <c r="K564">
        <f>Fato_Producao[[#This Row],[embalagens_danificadas]]+Fato_Producao[[#This Row],[peso_errado]]+Fato_Producao[[#This Row],[impressao]]</f>
        <v>235</v>
      </c>
      <c r="L564" s="1" t="d">
        <v>2024-08-13</v>
      </c>
      <c r="M564">
        <v>32</v>
      </c>
      <c r="N564" s="7">
        <v>12.34</v>
      </c>
      <c r="O564" s="4" t="str">
        <f t="shared" si="24"/>
        <v>setembro</v>
      </c>
      <c r="P564" s="4">
        <f t="shared" si="25"/>
        <v>2024</v>
      </c>
      <c r="Q564" s="4" t="str">
        <f t="shared" si="26"/>
        <v/>
      </c>
      <c r="R564" t="s">
        <v>24</v>
      </c>
    </row>
    <row r="565" spans="1:18" x14ac:dyDescent="0.3">
      <c r="A565" s="1" t="d">
        <v>2024-09-15</v>
      </c>
      <c r="B565">
        <v>45501</v>
      </c>
      <c r="C565" t="str">
        <f>VLOOKUP(Fato_Producao[[#This Row],[referencia]], Dim_Produtos!A:B,2,FALSE)</f>
        <v>pescada posta cozer</v>
      </c>
      <c r="D565">
        <v>2771</v>
      </c>
      <c r="E565">
        <v>2577</v>
      </c>
      <c r="F565" s="5">
        <v>7.0000000000000007E-2</v>
      </c>
      <c r="G565" s="6">
        <v>62.08</v>
      </c>
      <c r="H565">
        <v>6</v>
      </c>
      <c r="I565">
        <v>185</v>
      </c>
      <c r="J565">
        <v>3</v>
      </c>
      <c r="K565">
        <f>Fato_Producao[[#This Row],[embalagens_danificadas]]+Fato_Producao[[#This Row],[peso_errado]]+Fato_Producao[[#This Row],[impressao]]</f>
        <v>194</v>
      </c>
      <c r="L565" s="1" t="d">
        <v>2024-08-13</v>
      </c>
      <c r="M565">
        <v>33</v>
      </c>
      <c r="N565" s="7">
        <v>8.69</v>
      </c>
      <c r="O565" s="4" t="str">
        <f t="shared" si="24"/>
        <v>setembro</v>
      </c>
      <c r="P565" s="4">
        <f t="shared" si="25"/>
        <v>2024</v>
      </c>
      <c r="Q565" s="4" t="str">
        <f t="shared" si="26"/>
        <v/>
      </c>
      <c r="R565" t="s">
        <v>24</v>
      </c>
    </row>
    <row r="566" spans="1:18" x14ac:dyDescent="0.3">
      <c r="A566" s="1" t="d">
        <v>2024-09-16</v>
      </c>
      <c r="B566">
        <v>45506</v>
      </c>
      <c r="C566" t="str">
        <f>VLOOKUP(Fato_Producao[[#This Row],[referencia]], Dim_Produtos!A:B,2,FALSE)</f>
        <v>perca posta</v>
      </c>
      <c r="D566">
        <v>1839</v>
      </c>
      <c r="E566">
        <v>1731</v>
      </c>
      <c r="F566" s="5">
        <v>5.8700000000000002E-2</v>
      </c>
      <c r="G566" s="6">
        <v>37.799999999999997</v>
      </c>
      <c r="H566">
        <v>4</v>
      </c>
      <c r="I566">
        <v>102</v>
      </c>
      <c r="J566">
        <v>2</v>
      </c>
      <c r="K566">
        <f>Fato_Producao[[#This Row],[embalagens_danificadas]]+Fato_Producao[[#This Row],[peso_errado]]+Fato_Producao[[#This Row],[impressao]]</f>
        <v>108</v>
      </c>
      <c r="L566" s="1" t="d">
        <v>2024-08-13</v>
      </c>
      <c r="M566">
        <v>34</v>
      </c>
      <c r="N566" s="7">
        <v>5.67</v>
      </c>
      <c r="O566" s="4" t="str">
        <f t="shared" si="24"/>
        <v>setembro</v>
      </c>
      <c r="P566" s="4">
        <f t="shared" si="25"/>
        <v>2024</v>
      </c>
      <c r="Q566" s="4" t="str">
        <f t="shared" si="26"/>
        <v/>
      </c>
      <c r="R566" t="s">
        <v>24</v>
      </c>
    </row>
    <row r="567" spans="1:18" x14ac:dyDescent="0.3">
      <c r="A567" s="1" t="d">
        <v>2024-09-16</v>
      </c>
      <c r="B567">
        <v>45511</v>
      </c>
      <c r="C567" t="str">
        <f>VLOOKUP(Fato_Producao[[#This Row],[referencia]], Dim_Produtos!A:B,2,FALSE)</f>
        <v>lula limpa</v>
      </c>
      <c r="D567">
        <v>3034</v>
      </c>
      <c r="E567">
        <v>2766</v>
      </c>
      <c r="F567" s="5">
        <v>8.8300000000000003E-2</v>
      </c>
      <c r="G567" s="6">
        <v>85.76</v>
      </c>
      <c r="H567">
        <v>24</v>
      </c>
      <c r="I567">
        <v>237</v>
      </c>
      <c r="J567">
        <v>7</v>
      </c>
      <c r="K567">
        <f>Fato_Producao[[#This Row],[embalagens_danificadas]]+Fato_Producao[[#This Row],[peso_errado]]+Fato_Producao[[#This Row],[impressao]]</f>
        <v>268</v>
      </c>
      <c r="L567" s="1" t="d">
        <v>2024-08-13</v>
      </c>
      <c r="M567">
        <v>34</v>
      </c>
      <c r="N567" s="7">
        <v>12.01</v>
      </c>
      <c r="O567" s="4" t="str">
        <f t="shared" si="24"/>
        <v>setembro</v>
      </c>
      <c r="P567" s="4">
        <f t="shared" si="25"/>
        <v>2024</v>
      </c>
      <c r="Q567" s="4" t="str">
        <f t="shared" si="26"/>
        <v/>
      </c>
      <c r="R567" t="s">
        <v>24</v>
      </c>
    </row>
    <row r="568" spans="1:18" x14ac:dyDescent="0.3">
      <c r="A568" s="1" t="d">
        <v>2024-09-17</v>
      </c>
      <c r="B568">
        <v>45506</v>
      </c>
      <c r="C568" t="str">
        <f>VLOOKUP(Fato_Producao[[#This Row],[referencia]], Dim_Produtos!A:B,2,FALSE)</f>
        <v>perca posta</v>
      </c>
      <c r="D568">
        <v>1986</v>
      </c>
      <c r="E568">
        <v>1854</v>
      </c>
      <c r="F568" s="5">
        <v>6.6500000000000004E-2</v>
      </c>
      <c r="G568" s="6">
        <v>46.2</v>
      </c>
      <c r="H568">
        <v>4</v>
      </c>
      <c r="I568">
        <v>126</v>
      </c>
      <c r="J568">
        <v>2</v>
      </c>
      <c r="K568">
        <f>Fato_Producao[[#This Row],[embalagens_danificadas]]+Fato_Producao[[#This Row],[peso_errado]]+Fato_Producao[[#This Row],[impressao]]</f>
        <v>132</v>
      </c>
      <c r="L568" s="1" t="d">
        <v>2024-08-13</v>
      </c>
      <c r="M568">
        <v>35</v>
      </c>
      <c r="N568" s="7">
        <v>6.93</v>
      </c>
      <c r="O568" s="4" t="str">
        <f t="shared" si="24"/>
        <v>setembro</v>
      </c>
      <c r="P568" s="4">
        <f t="shared" si="25"/>
        <v>2024</v>
      </c>
      <c r="Q568" s="4" t="str">
        <f t="shared" si="26"/>
        <v/>
      </c>
      <c r="R568" t="s">
        <v>24</v>
      </c>
    </row>
    <row r="569" spans="1:18" x14ac:dyDescent="0.3">
      <c r="A569" s="1" t="d">
        <v>2024-09-18</v>
      </c>
      <c r="B569">
        <v>45508</v>
      </c>
      <c r="C569" t="str">
        <f>VLOOKUP(Fato_Producao[[#This Row],[referencia]], Dim_Produtos!A:B,2,FALSE)</f>
        <v>lula suja</v>
      </c>
      <c r="D569">
        <v>4035</v>
      </c>
      <c r="E569">
        <v>3597</v>
      </c>
      <c r="F569" s="5">
        <v>0.1086</v>
      </c>
      <c r="G569" s="6">
        <v>140.16</v>
      </c>
      <c r="H569">
        <v>55</v>
      </c>
      <c r="I569">
        <v>377</v>
      </c>
      <c r="J569">
        <v>6</v>
      </c>
      <c r="K569">
        <f>Fato_Producao[[#This Row],[embalagens_danificadas]]+Fato_Producao[[#This Row],[peso_errado]]+Fato_Producao[[#This Row],[impressao]]</f>
        <v>438</v>
      </c>
      <c r="L569" s="1" t="d">
        <v>2024-08-13</v>
      </c>
      <c r="M569">
        <v>36</v>
      </c>
      <c r="N569" s="7">
        <v>19.62</v>
      </c>
      <c r="O569" s="4" t="str">
        <f t="shared" si="24"/>
        <v>setembro</v>
      </c>
      <c r="P569" s="4">
        <f t="shared" si="25"/>
        <v>2024</v>
      </c>
      <c r="Q569" s="4" t="str">
        <f t="shared" si="26"/>
        <v/>
      </c>
      <c r="R569" t="s">
        <v>24</v>
      </c>
    </row>
    <row r="570" spans="1:18" x14ac:dyDescent="0.3">
      <c r="A570" s="1" t="d">
        <v>2024-09-18</v>
      </c>
      <c r="B570">
        <v>45506</v>
      </c>
      <c r="C570" t="str">
        <f>VLOOKUP(Fato_Producao[[#This Row],[referencia]], Dim_Produtos!A:B,2,FALSE)</f>
        <v>perca posta</v>
      </c>
      <c r="D570">
        <v>2895</v>
      </c>
      <c r="E570">
        <v>2644</v>
      </c>
      <c r="F570" s="5">
        <v>8.6699999999999999E-2</v>
      </c>
      <c r="G570" s="6">
        <v>87.85</v>
      </c>
      <c r="H570">
        <v>12</v>
      </c>
      <c r="I570">
        <v>236</v>
      </c>
      <c r="J570">
        <v>3</v>
      </c>
      <c r="K570">
        <f>Fato_Producao[[#This Row],[embalagens_danificadas]]+Fato_Producao[[#This Row],[peso_errado]]+Fato_Producao[[#This Row],[impressao]]</f>
        <v>251</v>
      </c>
      <c r="L570" s="1" t="d">
        <v>2024-08-13</v>
      </c>
      <c r="M570">
        <v>36</v>
      </c>
      <c r="N570" s="7">
        <v>13.18</v>
      </c>
      <c r="O570" s="4" t="str">
        <f t="shared" si="24"/>
        <v>setembro</v>
      </c>
      <c r="P570" s="4">
        <f t="shared" si="25"/>
        <v>2024</v>
      </c>
      <c r="Q570" s="4" t="str">
        <f t="shared" si="26"/>
        <v/>
      </c>
      <c r="R570" t="s">
        <v>24</v>
      </c>
    </row>
    <row r="571" spans="1:18" x14ac:dyDescent="0.3">
      <c r="A571" s="1" t="d">
        <v>2024-09-19</v>
      </c>
      <c r="B571">
        <v>45511</v>
      </c>
      <c r="C571" t="str">
        <f>VLOOKUP(Fato_Producao[[#This Row],[referencia]], Dim_Produtos!A:B,2,FALSE)</f>
        <v>lula limpa</v>
      </c>
      <c r="D571">
        <v>3466</v>
      </c>
      <c r="E571">
        <v>3174</v>
      </c>
      <c r="F571" s="5">
        <v>8.4199999999999997E-2</v>
      </c>
      <c r="G571" s="6">
        <v>93.44</v>
      </c>
      <c r="H571">
        <v>40</v>
      </c>
      <c r="I571">
        <v>247</v>
      </c>
      <c r="J571">
        <v>5</v>
      </c>
      <c r="K571">
        <f>Fato_Producao[[#This Row],[embalagens_danificadas]]+Fato_Producao[[#This Row],[peso_errado]]+Fato_Producao[[#This Row],[impressao]]</f>
        <v>292</v>
      </c>
      <c r="L571" s="1" t="d">
        <v>2024-08-13</v>
      </c>
      <c r="M571">
        <v>37</v>
      </c>
      <c r="N571" s="7">
        <v>13.08</v>
      </c>
      <c r="O571" s="4" t="str">
        <f t="shared" si="24"/>
        <v>setembro</v>
      </c>
      <c r="P571" s="4">
        <f t="shared" si="25"/>
        <v>2024</v>
      </c>
      <c r="Q571" s="4" t="str">
        <f t="shared" si="26"/>
        <v/>
      </c>
      <c r="R571" t="s">
        <v>24</v>
      </c>
    </row>
    <row r="572" spans="1:18" x14ac:dyDescent="0.3">
      <c r="A572" s="1" t="d">
        <v>2024-09-20</v>
      </c>
      <c r="B572">
        <v>45507</v>
      </c>
      <c r="C572" t="str">
        <f>VLOOKUP(Fato_Producao[[#This Row],[referencia]], Dim_Produtos!A:B,2,FALSE)</f>
        <v>salmao posta</v>
      </c>
      <c r="D572">
        <v>4094</v>
      </c>
      <c r="E572">
        <v>3838</v>
      </c>
      <c r="F572" s="5">
        <v>6.25E-2</v>
      </c>
      <c r="G572" s="6">
        <v>89.6</v>
      </c>
      <c r="H572">
        <v>9</v>
      </c>
      <c r="I572">
        <v>243</v>
      </c>
      <c r="J572">
        <v>4</v>
      </c>
      <c r="K572">
        <f>Fato_Producao[[#This Row],[embalagens_danificadas]]+Fato_Producao[[#This Row],[peso_errado]]+Fato_Producao[[#This Row],[impressao]]</f>
        <v>256</v>
      </c>
      <c r="L572" s="1" t="d">
        <v>2024-08-13</v>
      </c>
      <c r="M572">
        <v>38</v>
      </c>
      <c r="N572" s="7">
        <v>14.34</v>
      </c>
      <c r="O572" s="4" t="str">
        <f t="shared" si="24"/>
        <v>setembro</v>
      </c>
      <c r="P572" s="4">
        <f t="shared" si="25"/>
        <v>2024</v>
      </c>
      <c r="Q572" s="4" t="str">
        <f t="shared" si="26"/>
        <v/>
      </c>
      <c r="R572" t="s">
        <v>24</v>
      </c>
    </row>
    <row r="573" spans="1:18" x14ac:dyDescent="0.3">
      <c r="A573" s="1" t="d">
        <v>2024-09-20</v>
      </c>
      <c r="B573">
        <v>45510</v>
      </c>
      <c r="C573" t="str">
        <f>VLOOKUP(Fato_Producao[[#This Row],[referencia]], Dim_Produtos!A:B,2,FALSE)</f>
        <v>tiras pota</v>
      </c>
      <c r="D573">
        <v>3000</v>
      </c>
      <c r="E573">
        <v>2703</v>
      </c>
      <c r="F573" s="5">
        <v>9.9000000000000005E-2</v>
      </c>
      <c r="G573" s="6">
        <v>95.04</v>
      </c>
      <c r="H573">
        <v>36</v>
      </c>
      <c r="I573">
        <v>256</v>
      </c>
      <c r="J573">
        <v>5</v>
      </c>
      <c r="K573">
        <f>Fato_Producao[[#This Row],[embalagens_danificadas]]+Fato_Producao[[#This Row],[peso_errado]]+Fato_Producao[[#This Row],[impressao]]</f>
        <v>297</v>
      </c>
      <c r="L573" s="1" t="d">
        <v>2024-08-13</v>
      </c>
      <c r="M573">
        <v>38</v>
      </c>
      <c r="N573" s="7">
        <v>13.31</v>
      </c>
      <c r="O573" s="4" t="str">
        <f t="shared" si="24"/>
        <v>setembro</v>
      </c>
      <c r="P573" s="4">
        <f t="shared" si="25"/>
        <v>2024</v>
      </c>
      <c r="Q573" s="4" t="str">
        <f t="shared" si="26"/>
        <v/>
      </c>
      <c r="R573" t="s">
        <v>24</v>
      </c>
    </row>
    <row r="574" spans="1:18" x14ac:dyDescent="0.3">
      <c r="A574" s="1" t="d">
        <v>2024-09-21</v>
      </c>
      <c r="B574">
        <v>45514</v>
      </c>
      <c r="C574" t="str">
        <f>VLOOKUP(Fato_Producao[[#This Row],[referencia]], Dim_Produtos!A:B,2,FALSE)</f>
        <v>sardinha pequena</v>
      </c>
      <c r="D574">
        <v>3760</v>
      </c>
      <c r="E574">
        <v>3407</v>
      </c>
      <c r="F574" s="5">
        <v>9.3899999999999997E-2</v>
      </c>
      <c r="G574" s="6">
        <v>105.9</v>
      </c>
      <c r="H574">
        <v>12</v>
      </c>
      <c r="I574">
        <v>332</v>
      </c>
      <c r="J574">
        <v>9</v>
      </c>
      <c r="K574">
        <f>Fato_Producao[[#This Row],[embalagens_danificadas]]+Fato_Producao[[#This Row],[peso_errado]]+Fato_Producao[[#This Row],[impressao]]</f>
        <v>353</v>
      </c>
      <c r="L574" s="1" t="d">
        <v>2024-08-13</v>
      </c>
      <c r="M574">
        <v>39</v>
      </c>
      <c r="N574" s="7">
        <v>12.71</v>
      </c>
      <c r="O574" s="4" t="str">
        <f t="shared" si="24"/>
        <v>setembro</v>
      </c>
      <c r="P574" s="4">
        <f t="shared" si="25"/>
        <v>2024</v>
      </c>
      <c r="Q574" s="4" t="str">
        <f t="shared" si="26"/>
        <v/>
      </c>
      <c r="R574" t="s">
        <v>24</v>
      </c>
    </row>
    <row r="575" spans="1:18" x14ac:dyDescent="0.3">
      <c r="A575" s="1" t="d">
        <v>2024-09-21</v>
      </c>
      <c r="B575">
        <v>45512</v>
      </c>
      <c r="C575" t="str">
        <f>VLOOKUP(Fato_Producao[[#This Row],[referencia]], Dim_Produtos!A:B,2,FALSE)</f>
        <v>red-fish posta</v>
      </c>
      <c r="D575">
        <v>2075</v>
      </c>
      <c r="E575">
        <v>1955</v>
      </c>
      <c r="F575" s="5">
        <v>5.7799999999999997E-2</v>
      </c>
      <c r="G575" s="6">
        <v>40.799999999999997</v>
      </c>
      <c r="H575">
        <v>7</v>
      </c>
      <c r="I575">
        <v>111</v>
      </c>
      <c r="J575">
        <v>2</v>
      </c>
      <c r="K575">
        <f>Fato_Producao[[#This Row],[embalagens_danificadas]]+Fato_Producao[[#This Row],[peso_errado]]+Fato_Producao[[#This Row],[impressao]]</f>
        <v>120</v>
      </c>
      <c r="L575" s="1" t="d">
        <v>2024-08-13</v>
      </c>
      <c r="M575">
        <v>39</v>
      </c>
      <c r="N575" s="7">
        <v>5.71</v>
      </c>
      <c r="O575" s="4" t="str">
        <f t="shared" si="24"/>
        <v>setembro</v>
      </c>
      <c r="P575" s="4">
        <f t="shared" si="25"/>
        <v>2024</v>
      </c>
      <c r="Q575" s="4" t="str">
        <f t="shared" si="26"/>
        <v/>
      </c>
      <c r="R575" t="s">
        <v>24</v>
      </c>
    </row>
    <row r="576" spans="1:18" x14ac:dyDescent="0.3">
      <c r="A576" s="1" t="d">
        <v>2024-09-22</v>
      </c>
      <c r="B576">
        <v>45512</v>
      </c>
      <c r="C576" t="str">
        <f>VLOOKUP(Fato_Producao[[#This Row],[referencia]], Dim_Produtos!A:B,2,FALSE)</f>
        <v>red-fish posta</v>
      </c>
      <c r="D576">
        <v>3151</v>
      </c>
      <c r="E576">
        <v>2943</v>
      </c>
      <c r="F576" s="5">
        <v>6.6000000000000003E-2</v>
      </c>
      <c r="G576" s="6">
        <v>70.72</v>
      </c>
      <c r="H576">
        <v>5</v>
      </c>
      <c r="I576">
        <v>199</v>
      </c>
      <c r="J576">
        <v>4</v>
      </c>
      <c r="K576">
        <f>Fato_Producao[[#This Row],[embalagens_danificadas]]+Fato_Producao[[#This Row],[peso_errado]]+Fato_Producao[[#This Row],[impressao]]</f>
        <v>208</v>
      </c>
      <c r="L576" s="1" t="d">
        <v>2024-08-13</v>
      </c>
      <c r="M576">
        <v>40</v>
      </c>
      <c r="N576" s="7">
        <v>9.9</v>
      </c>
      <c r="O576" s="4" t="str">
        <f t="shared" si="24"/>
        <v>setembro</v>
      </c>
      <c r="P576" s="4">
        <f t="shared" si="25"/>
        <v>2024</v>
      </c>
      <c r="Q576" s="4" t="str">
        <f t="shared" si="26"/>
        <v/>
      </c>
      <c r="R576" t="s">
        <v>24</v>
      </c>
    </row>
    <row r="577" spans="1:18" x14ac:dyDescent="0.3">
      <c r="A577" s="1" t="d">
        <v>2024-09-22</v>
      </c>
      <c r="B577">
        <v>45500</v>
      </c>
      <c r="C577" t="str">
        <f>VLOOKUP(Fato_Producao[[#This Row],[referencia]], Dim_Produtos!A:B,2,FALSE)</f>
        <v>filete pescada</v>
      </c>
      <c r="D577">
        <v>1955</v>
      </c>
      <c r="E577">
        <v>1834</v>
      </c>
      <c r="F577" s="5">
        <v>6.1899999999999997E-2</v>
      </c>
      <c r="G577" s="6">
        <v>33.880000000000003</v>
      </c>
      <c r="H577">
        <v>8</v>
      </c>
      <c r="I577">
        <v>111</v>
      </c>
      <c r="J577">
        <v>2</v>
      </c>
      <c r="K577">
        <f>Fato_Producao[[#This Row],[embalagens_danificadas]]+Fato_Producao[[#This Row],[peso_errado]]+Fato_Producao[[#This Row],[impressao]]</f>
        <v>121</v>
      </c>
      <c r="L577" s="1" t="d">
        <v>2024-08-13</v>
      </c>
      <c r="M577">
        <v>40</v>
      </c>
      <c r="N577" s="7">
        <v>4.07</v>
      </c>
      <c r="O577" s="4" t="str">
        <f t="shared" si="24"/>
        <v>setembro</v>
      </c>
      <c r="P577" s="4">
        <f t="shared" si="25"/>
        <v>2024</v>
      </c>
      <c r="Q577" s="4" t="str">
        <f t="shared" si="26"/>
        <v/>
      </c>
      <c r="R577" t="s">
        <v>24</v>
      </c>
    </row>
    <row r="578" spans="1:18" x14ac:dyDescent="0.3">
      <c r="A578" s="1" t="d">
        <v>2024-09-23</v>
      </c>
      <c r="B578">
        <v>45500</v>
      </c>
      <c r="C578" t="str">
        <f>VLOOKUP(Fato_Producao[[#This Row],[referencia]], Dim_Produtos!A:B,2,FALSE)</f>
        <v>filete pescada</v>
      </c>
      <c r="D578">
        <v>2670</v>
      </c>
      <c r="E578">
        <v>2490</v>
      </c>
      <c r="F578" s="5">
        <v>6.7400000000000002E-2</v>
      </c>
      <c r="G578" s="6">
        <v>50.4</v>
      </c>
      <c r="H578">
        <v>8</v>
      </c>
      <c r="I578">
        <v>168</v>
      </c>
      <c r="J578">
        <v>4</v>
      </c>
      <c r="K578">
        <f>Fato_Producao[[#This Row],[embalagens_danificadas]]+Fato_Producao[[#This Row],[peso_errado]]+Fato_Producao[[#This Row],[impressao]]</f>
        <v>180</v>
      </c>
      <c r="L578" s="1" t="d">
        <v>2024-08-13</v>
      </c>
      <c r="M578">
        <v>41</v>
      </c>
      <c r="N578" s="7">
        <v>6.05</v>
      </c>
      <c r="O578" s="4" t="str">
        <f t="shared" ref="O578:O641" si="27">TEXT(A578, "mmmm")</f>
        <v>setembro</v>
      </c>
      <c r="P578" s="4">
        <f t="shared" ref="P578:P641" si="28">YEAR(A578)</f>
        <v>2024</v>
      </c>
      <c r="Q578" s="4" t="str">
        <f t="shared" ref="Q578:Q641" si="29">IF(M579 &gt;= M578, "", M578)</f>
        <v/>
      </c>
      <c r="R578" t="s">
        <v>24</v>
      </c>
    </row>
    <row r="579" spans="1:18" x14ac:dyDescent="0.3">
      <c r="A579" s="1" t="d">
        <v>2024-09-23</v>
      </c>
      <c r="B579">
        <v>45513</v>
      </c>
      <c r="C579" t="str">
        <f>VLOOKUP(Fato_Producao[[#This Row],[referencia]], Dim_Produtos!A:B,2,FALSE)</f>
        <v>filete pescada</v>
      </c>
      <c r="D579">
        <v>3447</v>
      </c>
      <c r="E579">
        <v>3164</v>
      </c>
      <c r="F579" s="5">
        <v>8.2100000000000006E-2</v>
      </c>
      <c r="G579" s="6">
        <v>90.56</v>
      </c>
      <c r="H579">
        <v>12</v>
      </c>
      <c r="I579">
        <v>265</v>
      </c>
      <c r="J579">
        <v>6</v>
      </c>
      <c r="K579">
        <f>Fato_Producao[[#This Row],[embalagens_danificadas]]+Fato_Producao[[#This Row],[peso_errado]]+Fato_Producao[[#This Row],[impressao]]</f>
        <v>283</v>
      </c>
      <c r="L579" s="1" t="d">
        <v>2024-08-13</v>
      </c>
      <c r="M579">
        <v>41</v>
      </c>
      <c r="N579" s="7">
        <v>11.77</v>
      </c>
      <c r="O579" s="4" t="str">
        <f t="shared" si="27"/>
        <v>setembro</v>
      </c>
      <c r="P579" s="4">
        <f t="shared" si="28"/>
        <v>2024</v>
      </c>
      <c r="Q579" s="4" t="str">
        <f t="shared" si="29"/>
        <v/>
      </c>
      <c r="R579" t="s">
        <v>24</v>
      </c>
    </row>
    <row r="580" spans="1:18" x14ac:dyDescent="0.3">
      <c r="A580" s="1" t="d">
        <v>2024-09-24</v>
      </c>
      <c r="B580">
        <v>45509</v>
      </c>
      <c r="C580" t="str">
        <f>VLOOKUP(Fato_Producao[[#This Row],[referencia]], Dim_Produtos!A:B,2,FALSE)</f>
        <v>lascas bacalhau</v>
      </c>
      <c r="D580">
        <v>2364</v>
      </c>
      <c r="E580">
        <v>2205</v>
      </c>
      <c r="F580" s="5">
        <v>6.7299999999999999E-2</v>
      </c>
      <c r="G580" s="6">
        <v>44.52</v>
      </c>
      <c r="H580">
        <v>11</v>
      </c>
      <c r="I580">
        <v>146</v>
      </c>
      <c r="J580">
        <v>2</v>
      </c>
      <c r="K580">
        <f>Fato_Producao[[#This Row],[embalagens_danificadas]]+Fato_Producao[[#This Row],[peso_errado]]+Fato_Producao[[#This Row],[impressao]]</f>
        <v>159</v>
      </c>
      <c r="L580" s="1" t="d">
        <v>2024-08-13</v>
      </c>
      <c r="M580">
        <v>42</v>
      </c>
      <c r="N580" s="7">
        <v>5.79</v>
      </c>
      <c r="O580" s="4" t="str">
        <f t="shared" si="27"/>
        <v>setembro</v>
      </c>
      <c r="P580" s="4">
        <f t="shared" si="28"/>
        <v>2024</v>
      </c>
      <c r="Q580" s="4" t="str">
        <f t="shared" si="29"/>
        <v/>
      </c>
      <c r="R580" t="s">
        <v>24</v>
      </c>
    </row>
    <row r="581" spans="1:18" x14ac:dyDescent="0.3">
      <c r="A581" s="1" t="d">
        <v>2024-09-24</v>
      </c>
      <c r="B581">
        <v>45501</v>
      </c>
      <c r="C581" t="str">
        <f>VLOOKUP(Fato_Producao[[#This Row],[referencia]], Dim_Produtos!A:B,2,FALSE)</f>
        <v>pescada posta cozer</v>
      </c>
      <c r="D581">
        <v>3088</v>
      </c>
      <c r="E581">
        <v>2772</v>
      </c>
      <c r="F581" s="5">
        <v>0.1023</v>
      </c>
      <c r="G581" s="6">
        <v>101.12</v>
      </c>
      <c r="H581">
        <v>13</v>
      </c>
      <c r="I581">
        <v>295</v>
      </c>
      <c r="J581">
        <v>8</v>
      </c>
      <c r="K581">
        <f>Fato_Producao[[#This Row],[embalagens_danificadas]]+Fato_Producao[[#This Row],[peso_errado]]+Fato_Producao[[#This Row],[impressao]]</f>
        <v>316</v>
      </c>
      <c r="L581" s="1" t="d">
        <v>2024-08-13</v>
      </c>
      <c r="M581">
        <v>42</v>
      </c>
      <c r="N581" s="7">
        <v>14.16</v>
      </c>
      <c r="O581" s="4" t="str">
        <f t="shared" si="27"/>
        <v>setembro</v>
      </c>
      <c r="P581" s="4">
        <f t="shared" si="28"/>
        <v>2024</v>
      </c>
      <c r="Q581" s="4" t="str">
        <f t="shared" si="29"/>
        <v/>
      </c>
      <c r="R581" t="s">
        <v>24</v>
      </c>
    </row>
    <row r="582" spans="1:18" x14ac:dyDescent="0.3">
      <c r="A582" s="1" t="d">
        <v>2024-09-25</v>
      </c>
      <c r="B582">
        <v>45507</v>
      </c>
      <c r="C582" t="str">
        <f>VLOOKUP(Fato_Producao[[#This Row],[referencia]], Dim_Produtos!A:B,2,FALSE)</f>
        <v>salmao posta</v>
      </c>
      <c r="D582">
        <v>1871</v>
      </c>
      <c r="E582">
        <v>1721</v>
      </c>
      <c r="F582" s="5">
        <v>8.0199999999999994E-2</v>
      </c>
      <c r="G582" s="6">
        <v>52.5</v>
      </c>
      <c r="H582">
        <v>10</v>
      </c>
      <c r="I582">
        <v>138</v>
      </c>
      <c r="J582">
        <v>2</v>
      </c>
      <c r="K582">
        <f>Fato_Producao[[#This Row],[embalagens_danificadas]]+Fato_Producao[[#This Row],[peso_errado]]+Fato_Producao[[#This Row],[impressao]]</f>
        <v>150</v>
      </c>
      <c r="L582" s="1" t="d">
        <v>2024-08-13</v>
      </c>
      <c r="M582">
        <v>43</v>
      </c>
      <c r="N582" s="7">
        <v>8.4</v>
      </c>
      <c r="O582" s="4" t="str">
        <f t="shared" si="27"/>
        <v>setembro</v>
      </c>
      <c r="P582" s="4">
        <f t="shared" si="28"/>
        <v>2024</v>
      </c>
      <c r="Q582" s="4" t="str">
        <f t="shared" si="29"/>
        <v/>
      </c>
      <c r="R582" t="s">
        <v>24</v>
      </c>
    </row>
    <row r="583" spans="1:18" x14ac:dyDescent="0.3">
      <c r="A583" s="1" t="d">
        <v>2024-09-25</v>
      </c>
      <c r="B583">
        <v>45506</v>
      </c>
      <c r="C583" t="str">
        <f>VLOOKUP(Fato_Producao[[#This Row],[referencia]], Dim_Produtos!A:B,2,FALSE)</f>
        <v>perca posta</v>
      </c>
      <c r="D583">
        <v>4120</v>
      </c>
      <c r="E583">
        <v>3779</v>
      </c>
      <c r="F583" s="5">
        <v>8.2799999999999999E-2</v>
      </c>
      <c r="G583" s="6">
        <v>119.35</v>
      </c>
      <c r="H583">
        <v>12</v>
      </c>
      <c r="I583">
        <v>320</v>
      </c>
      <c r="J583">
        <v>9</v>
      </c>
      <c r="K583">
        <f>Fato_Producao[[#This Row],[embalagens_danificadas]]+Fato_Producao[[#This Row],[peso_errado]]+Fato_Producao[[#This Row],[impressao]]</f>
        <v>341</v>
      </c>
      <c r="L583" s="1" t="d">
        <v>2024-08-13</v>
      </c>
      <c r="M583">
        <v>43</v>
      </c>
      <c r="N583" s="7">
        <v>17.899999999999999</v>
      </c>
      <c r="O583" s="4" t="str">
        <f t="shared" si="27"/>
        <v>setembro</v>
      </c>
      <c r="P583" s="4">
        <f t="shared" si="28"/>
        <v>2024</v>
      </c>
      <c r="Q583" s="4" t="str">
        <f t="shared" si="29"/>
        <v/>
      </c>
      <c r="R583" t="s">
        <v>24</v>
      </c>
    </row>
    <row r="584" spans="1:18" x14ac:dyDescent="0.3">
      <c r="A584" s="1" t="d">
        <v>2024-09-26</v>
      </c>
      <c r="B584">
        <v>45507</v>
      </c>
      <c r="C584" t="str">
        <f>VLOOKUP(Fato_Producao[[#This Row],[referencia]], Dim_Produtos!A:B,2,FALSE)</f>
        <v>salmao posta</v>
      </c>
      <c r="D584">
        <v>2189</v>
      </c>
      <c r="E584">
        <v>2048</v>
      </c>
      <c r="F584" s="5">
        <v>6.4399999999999999E-2</v>
      </c>
      <c r="G584" s="6">
        <v>49.35</v>
      </c>
      <c r="H584">
        <v>8</v>
      </c>
      <c r="I584">
        <v>131</v>
      </c>
      <c r="J584">
        <v>2</v>
      </c>
      <c r="K584">
        <f>Fato_Producao[[#This Row],[embalagens_danificadas]]+Fato_Producao[[#This Row],[peso_errado]]+Fato_Producao[[#This Row],[impressao]]</f>
        <v>141</v>
      </c>
      <c r="L584" s="1" t="d">
        <v>2024-08-13</v>
      </c>
      <c r="M584">
        <v>44</v>
      </c>
      <c r="N584" s="7">
        <v>7.9</v>
      </c>
      <c r="O584" s="4" t="str">
        <f t="shared" si="27"/>
        <v>setembro</v>
      </c>
      <c r="P584" s="4">
        <f t="shared" si="28"/>
        <v>2024</v>
      </c>
      <c r="Q584" s="4" t="str">
        <f t="shared" si="29"/>
        <v/>
      </c>
      <c r="R584" t="s">
        <v>24</v>
      </c>
    </row>
    <row r="585" spans="1:18" x14ac:dyDescent="0.3">
      <c r="A585" s="1" t="d">
        <v>2024-09-26</v>
      </c>
      <c r="B585">
        <v>45500</v>
      </c>
      <c r="C585" t="str">
        <f>VLOOKUP(Fato_Producao[[#This Row],[referencia]], Dim_Produtos!A:B,2,FALSE)</f>
        <v>filete pescada</v>
      </c>
      <c r="D585">
        <v>2026</v>
      </c>
      <c r="E585">
        <v>1902</v>
      </c>
      <c r="F585" s="5">
        <v>6.1199999999999997E-2</v>
      </c>
      <c r="G585" s="6">
        <v>34.72</v>
      </c>
      <c r="H585">
        <v>7</v>
      </c>
      <c r="I585">
        <v>115</v>
      </c>
      <c r="J585">
        <v>2</v>
      </c>
      <c r="K585">
        <f>Fato_Producao[[#This Row],[embalagens_danificadas]]+Fato_Producao[[#This Row],[peso_errado]]+Fato_Producao[[#This Row],[impressao]]</f>
        <v>124</v>
      </c>
      <c r="L585" s="1" t="d">
        <v>2024-08-13</v>
      </c>
      <c r="M585">
        <v>44</v>
      </c>
      <c r="N585" s="7">
        <v>4.17</v>
      </c>
      <c r="O585" s="4" t="str">
        <f t="shared" si="27"/>
        <v>setembro</v>
      </c>
      <c r="P585" s="4">
        <f t="shared" si="28"/>
        <v>2024</v>
      </c>
      <c r="Q585" s="4" t="str">
        <f t="shared" si="29"/>
        <v/>
      </c>
      <c r="R585" t="s">
        <v>24</v>
      </c>
    </row>
    <row r="586" spans="1:18" x14ac:dyDescent="0.3">
      <c r="A586" s="1" t="d">
        <v>2024-09-27</v>
      </c>
      <c r="B586">
        <v>45507</v>
      </c>
      <c r="C586" t="str">
        <f>VLOOKUP(Fato_Producao[[#This Row],[referencia]], Dim_Produtos!A:B,2,FALSE)</f>
        <v>salmao posta</v>
      </c>
      <c r="D586">
        <v>3674</v>
      </c>
      <c r="E586">
        <v>3338</v>
      </c>
      <c r="F586" s="5">
        <v>9.1499999999999998E-2</v>
      </c>
      <c r="G586" s="6">
        <v>117.6</v>
      </c>
      <c r="H586">
        <v>22</v>
      </c>
      <c r="I586">
        <v>309</v>
      </c>
      <c r="J586">
        <v>5</v>
      </c>
      <c r="K586">
        <f>Fato_Producao[[#This Row],[embalagens_danificadas]]+Fato_Producao[[#This Row],[peso_errado]]+Fato_Producao[[#This Row],[impressao]]</f>
        <v>336</v>
      </c>
      <c r="L586" s="1" t="d">
        <v>2024-08-13</v>
      </c>
      <c r="M586">
        <v>45</v>
      </c>
      <c r="N586" s="7">
        <v>18.82</v>
      </c>
      <c r="O586" s="4" t="str">
        <f t="shared" si="27"/>
        <v>setembro</v>
      </c>
      <c r="P586" s="4">
        <f t="shared" si="28"/>
        <v>2024</v>
      </c>
      <c r="Q586" s="4" t="str">
        <f t="shared" si="29"/>
        <v/>
      </c>
      <c r="R586" t="s">
        <v>24</v>
      </c>
    </row>
    <row r="587" spans="1:18" x14ac:dyDescent="0.3">
      <c r="A587" s="1" t="d">
        <v>2024-09-28</v>
      </c>
      <c r="B587">
        <v>45504</v>
      </c>
      <c r="C587" t="str">
        <f>VLOOKUP(Fato_Producao[[#This Row],[referencia]], Dim_Produtos!A:B,2,FALSE)</f>
        <v>pescada posta fritar</v>
      </c>
      <c r="D587">
        <v>4024</v>
      </c>
      <c r="E587">
        <v>3600</v>
      </c>
      <c r="F587" s="5">
        <v>0.10539999999999999</v>
      </c>
      <c r="G587" s="6">
        <v>135.68</v>
      </c>
      <c r="H587">
        <v>14</v>
      </c>
      <c r="I587">
        <v>406</v>
      </c>
      <c r="J587">
        <v>4</v>
      </c>
      <c r="K587">
        <f>Fato_Producao[[#This Row],[embalagens_danificadas]]+Fato_Producao[[#This Row],[peso_errado]]+Fato_Producao[[#This Row],[impressao]]</f>
        <v>424</v>
      </c>
      <c r="L587" s="1" t="d">
        <v>2024-08-13</v>
      </c>
      <c r="M587">
        <v>46</v>
      </c>
      <c r="N587" s="7">
        <v>19</v>
      </c>
      <c r="O587" s="4" t="str">
        <f t="shared" si="27"/>
        <v>setembro</v>
      </c>
      <c r="P587" s="4">
        <f t="shared" si="28"/>
        <v>2024</v>
      </c>
      <c r="Q587" s="4" t="str">
        <f t="shared" si="29"/>
        <v/>
      </c>
      <c r="R587" t="s">
        <v>24</v>
      </c>
    </row>
    <row r="588" spans="1:18" x14ac:dyDescent="0.3">
      <c r="A588" s="1" t="d">
        <v>2024-09-28</v>
      </c>
      <c r="B588">
        <v>45500</v>
      </c>
      <c r="C588" t="str">
        <f>VLOOKUP(Fato_Producao[[#This Row],[referencia]], Dim_Produtos!A:B,2,FALSE)</f>
        <v>filete pescada</v>
      </c>
      <c r="D588">
        <v>3051</v>
      </c>
      <c r="E588">
        <v>2860</v>
      </c>
      <c r="F588" s="5">
        <v>6.2600000000000003E-2</v>
      </c>
      <c r="G588" s="6">
        <v>53.48</v>
      </c>
      <c r="H588">
        <v>10</v>
      </c>
      <c r="I588">
        <v>178</v>
      </c>
      <c r="J588">
        <v>3</v>
      </c>
      <c r="K588">
        <f>Fato_Producao[[#This Row],[embalagens_danificadas]]+Fato_Producao[[#This Row],[peso_errado]]+Fato_Producao[[#This Row],[impressao]]</f>
        <v>191</v>
      </c>
      <c r="L588" s="1" t="d">
        <v>2024-08-13</v>
      </c>
      <c r="M588">
        <v>46</v>
      </c>
      <c r="N588" s="7">
        <v>6.42</v>
      </c>
      <c r="O588" s="4" t="str">
        <f t="shared" si="27"/>
        <v>setembro</v>
      </c>
      <c r="P588" s="4">
        <f t="shared" si="28"/>
        <v>2024</v>
      </c>
      <c r="Q588" s="4" t="str">
        <f t="shared" si="29"/>
        <v/>
      </c>
      <c r="R588" t="s">
        <v>24</v>
      </c>
    </row>
    <row r="589" spans="1:18" x14ac:dyDescent="0.3">
      <c r="A589" s="1" t="d">
        <v>2024-09-29</v>
      </c>
      <c r="B589">
        <v>45507</v>
      </c>
      <c r="C589" t="str">
        <f>VLOOKUP(Fato_Producao[[#This Row],[referencia]], Dim_Produtos!A:B,2,FALSE)</f>
        <v>salmao posta</v>
      </c>
      <c r="D589">
        <v>2767</v>
      </c>
      <c r="E589">
        <v>2578</v>
      </c>
      <c r="F589" s="5">
        <v>6.83E-2</v>
      </c>
      <c r="G589" s="6">
        <v>66.150000000000006</v>
      </c>
      <c r="H589">
        <v>10</v>
      </c>
      <c r="I589">
        <v>176</v>
      </c>
      <c r="J589">
        <v>3</v>
      </c>
      <c r="K589">
        <f>Fato_Producao[[#This Row],[embalagens_danificadas]]+Fato_Producao[[#This Row],[peso_errado]]+Fato_Producao[[#This Row],[impressao]]</f>
        <v>189</v>
      </c>
      <c r="L589" s="1" t="d">
        <v>2024-08-13</v>
      </c>
      <c r="M589">
        <v>47</v>
      </c>
      <c r="N589" s="7">
        <v>10.58</v>
      </c>
      <c r="O589" s="4" t="str">
        <f t="shared" si="27"/>
        <v>setembro</v>
      </c>
      <c r="P589" s="4">
        <f t="shared" si="28"/>
        <v>2024</v>
      </c>
      <c r="Q589" s="4" t="str">
        <f t="shared" si="29"/>
        <v/>
      </c>
      <c r="R589" t="s">
        <v>24</v>
      </c>
    </row>
    <row r="590" spans="1:18" x14ac:dyDescent="0.3">
      <c r="A590" s="1" t="d">
        <v>2024-09-30</v>
      </c>
      <c r="B590">
        <v>45514</v>
      </c>
      <c r="C590" t="str">
        <f>VLOOKUP(Fato_Producao[[#This Row],[referencia]], Dim_Produtos!A:B,2,FALSE)</f>
        <v>sardinha pequena</v>
      </c>
      <c r="D590">
        <v>1983</v>
      </c>
      <c r="E590">
        <v>1806</v>
      </c>
      <c r="F590" s="5">
        <v>8.9300000000000004E-2</v>
      </c>
      <c r="G590" s="6">
        <v>53.1</v>
      </c>
      <c r="H590">
        <v>8</v>
      </c>
      <c r="I590">
        <v>165</v>
      </c>
      <c r="J590">
        <v>4</v>
      </c>
      <c r="K590">
        <f>Fato_Producao[[#This Row],[embalagens_danificadas]]+Fato_Producao[[#This Row],[peso_errado]]+Fato_Producao[[#This Row],[impressao]]</f>
        <v>177</v>
      </c>
      <c r="L590" s="1" t="d">
        <v>2024-08-13</v>
      </c>
      <c r="M590">
        <v>48</v>
      </c>
      <c r="N590" s="7">
        <v>6.37</v>
      </c>
      <c r="O590" s="4" t="str">
        <f t="shared" si="27"/>
        <v>setembro</v>
      </c>
      <c r="P590" s="4">
        <f t="shared" si="28"/>
        <v>2024</v>
      </c>
      <c r="Q590" s="4" t="str">
        <f t="shared" si="29"/>
        <v/>
      </c>
      <c r="R590" t="s">
        <v>24</v>
      </c>
    </row>
    <row r="591" spans="1:18" x14ac:dyDescent="0.3">
      <c r="A591" s="1" t="d">
        <v>2024-10-01</v>
      </c>
      <c r="B591">
        <v>45513</v>
      </c>
      <c r="C591" t="str">
        <f>VLOOKUP(Fato_Producao[[#This Row],[referencia]], Dim_Produtos!A:B,2,FALSE)</f>
        <v>filete pescada</v>
      </c>
      <c r="D591">
        <v>2896</v>
      </c>
      <c r="E591">
        <v>2647</v>
      </c>
      <c r="F591" s="5">
        <v>8.5999999999999993E-2</v>
      </c>
      <c r="G591" s="6">
        <v>79.680000000000007</v>
      </c>
      <c r="H591">
        <v>8</v>
      </c>
      <c r="I591">
        <v>236</v>
      </c>
      <c r="J591">
        <v>5</v>
      </c>
      <c r="K591">
        <f>Fato_Producao[[#This Row],[embalagens_danificadas]]+Fato_Producao[[#This Row],[peso_errado]]+Fato_Producao[[#This Row],[impressao]]</f>
        <v>249</v>
      </c>
      <c r="L591" s="1" t="d">
        <v>2024-08-13</v>
      </c>
      <c r="M591">
        <v>49</v>
      </c>
      <c r="N591" s="7">
        <v>10.36</v>
      </c>
      <c r="O591" s="4" t="str">
        <f t="shared" si="27"/>
        <v>outubro</v>
      </c>
      <c r="P591" s="4">
        <f t="shared" si="28"/>
        <v>2024</v>
      </c>
      <c r="Q591" s="4" t="str">
        <f t="shared" si="29"/>
        <v/>
      </c>
      <c r="R591" t="s">
        <v>24</v>
      </c>
    </row>
    <row r="592" spans="1:18" x14ac:dyDescent="0.3">
      <c r="A592" s="1" t="d">
        <v>2024-10-02</v>
      </c>
      <c r="B592">
        <v>45504</v>
      </c>
      <c r="C592" t="str">
        <f>VLOOKUP(Fato_Producao[[#This Row],[referencia]], Dim_Produtos!A:B,2,FALSE)</f>
        <v>pescada posta fritar</v>
      </c>
      <c r="D592">
        <v>3018</v>
      </c>
      <c r="E592">
        <v>2770</v>
      </c>
      <c r="F592" s="5">
        <v>8.2199999999999995E-2</v>
      </c>
      <c r="G592" s="6">
        <v>79.36</v>
      </c>
      <c r="H592">
        <v>4</v>
      </c>
      <c r="I592">
        <v>237</v>
      </c>
      <c r="J592">
        <v>7</v>
      </c>
      <c r="K592">
        <f>Fato_Producao[[#This Row],[embalagens_danificadas]]+Fato_Producao[[#This Row],[peso_errado]]+Fato_Producao[[#This Row],[impressao]]</f>
        <v>248</v>
      </c>
      <c r="L592" s="1" t="d">
        <v>2024-08-13</v>
      </c>
      <c r="M592">
        <v>50</v>
      </c>
      <c r="N592" s="7">
        <v>11.11</v>
      </c>
      <c r="O592" s="4" t="str">
        <f t="shared" si="27"/>
        <v>outubro</v>
      </c>
      <c r="P592" s="4">
        <f t="shared" si="28"/>
        <v>2024</v>
      </c>
      <c r="Q592" s="4" t="str">
        <f t="shared" si="29"/>
        <v/>
      </c>
      <c r="R592" t="s">
        <v>24</v>
      </c>
    </row>
    <row r="593" spans="1:18" x14ac:dyDescent="0.3">
      <c r="A593" s="1" t="d">
        <v>2024-10-02</v>
      </c>
      <c r="B593">
        <v>45506</v>
      </c>
      <c r="C593" t="str">
        <f>VLOOKUP(Fato_Producao[[#This Row],[referencia]], Dim_Produtos!A:B,2,FALSE)</f>
        <v>perca posta</v>
      </c>
      <c r="D593">
        <v>1886</v>
      </c>
      <c r="E593">
        <v>1695</v>
      </c>
      <c r="F593" s="5">
        <v>0.1013</v>
      </c>
      <c r="G593" s="6">
        <v>66.849999999999994</v>
      </c>
      <c r="H593">
        <v>12</v>
      </c>
      <c r="I593">
        <v>175</v>
      </c>
      <c r="J593">
        <v>4</v>
      </c>
      <c r="K593">
        <f>Fato_Producao[[#This Row],[embalagens_danificadas]]+Fato_Producao[[#This Row],[peso_errado]]+Fato_Producao[[#This Row],[impressao]]</f>
        <v>191</v>
      </c>
      <c r="L593" s="1" t="d">
        <v>2024-08-13</v>
      </c>
      <c r="M593">
        <v>50</v>
      </c>
      <c r="N593" s="7">
        <v>10.029999999999999</v>
      </c>
      <c r="O593" s="4" t="str">
        <f t="shared" si="27"/>
        <v>outubro</v>
      </c>
      <c r="P593" s="4">
        <f t="shared" si="28"/>
        <v>2024</v>
      </c>
      <c r="Q593" s="4" t="str">
        <f t="shared" si="29"/>
        <v/>
      </c>
      <c r="R593" t="s">
        <v>24</v>
      </c>
    </row>
    <row r="594" spans="1:18" x14ac:dyDescent="0.3">
      <c r="A594" s="1" t="d">
        <v>2024-10-03</v>
      </c>
      <c r="B594">
        <v>45502</v>
      </c>
      <c r="C594" t="str">
        <f>VLOOKUP(Fato_Producao[[#This Row],[referencia]], Dim_Produtos!A:B,2,FALSE)</f>
        <v>carapau pelim</v>
      </c>
      <c r="D594">
        <v>1948</v>
      </c>
      <c r="E594">
        <v>1738</v>
      </c>
      <c r="F594" s="5">
        <v>0.10780000000000001</v>
      </c>
      <c r="G594" s="6">
        <v>63</v>
      </c>
      <c r="H594">
        <v>60</v>
      </c>
      <c r="I594">
        <v>145</v>
      </c>
      <c r="J594">
        <v>5</v>
      </c>
      <c r="K594">
        <f>Fato_Producao[[#This Row],[embalagens_danificadas]]+Fato_Producao[[#This Row],[peso_errado]]+Fato_Producao[[#This Row],[impressao]]</f>
        <v>210</v>
      </c>
      <c r="L594" s="1" t="d">
        <v>2024-08-13</v>
      </c>
      <c r="M594">
        <v>51</v>
      </c>
      <c r="N594" s="7">
        <v>8.19</v>
      </c>
      <c r="O594" s="4" t="str">
        <f t="shared" si="27"/>
        <v>outubro</v>
      </c>
      <c r="P594" s="4">
        <f t="shared" si="28"/>
        <v>2024</v>
      </c>
      <c r="Q594" s="4" t="str">
        <f t="shared" si="29"/>
        <v/>
      </c>
      <c r="R594" t="s">
        <v>24</v>
      </c>
    </row>
    <row r="595" spans="1:18" x14ac:dyDescent="0.3">
      <c r="A595" s="1" t="d">
        <v>2024-10-03</v>
      </c>
      <c r="B595">
        <v>45505</v>
      </c>
      <c r="C595" t="str">
        <f>VLOOKUP(Fato_Producao[[#This Row],[referencia]], Dim_Produtos!A:B,2,FALSE)</f>
        <v>camarao</v>
      </c>
      <c r="D595">
        <v>3588</v>
      </c>
      <c r="E595">
        <v>3255</v>
      </c>
      <c r="F595" s="5">
        <v>9.2799999999999994E-2</v>
      </c>
      <c r="G595" s="6">
        <v>99.9</v>
      </c>
      <c r="H595">
        <v>74</v>
      </c>
      <c r="I595">
        <v>250</v>
      </c>
      <c r="J595">
        <v>9</v>
      </c>
      <c r="K595">
        <f>Fato_Producao[[#This Row],[embalagens_danificadas]]+Fato_Producao[[#This Row],[peso_errado]]+Fato_Producao[[#This Row],[impressao]]</f>
        <v>333</v>
      </c>
      <c r="L595" s="1" t="d">
        <v>2024-08-13</v>
      </c>
      <c r="M595">
        <v>51</v>
      </c>
      <c r="N595" s="7">
        <v>14.98</v>
      </c>
      <c r="O595" s="4" t="str">
        <f t="shared" si="27"/>
        <v>outubro</v>
      </c>
      <c r="P595" s="4">
        <f t="shared" si="28"/>
        <v>2024</v>
      </c>
      <c r="Q595" s="4" t="str">
        <f t="shared" si="29"/>
        <v/>
      </c>
      <c r="R595" t="s">
        <v>24</v>
      </c>
    </row>
    <row r="596" spans="1:18" x14ac:dyDescent="0.3">
      <c r="A596" s="1" t="d">
        <v>2024-10-04</v>
      </c>
      <c r="B596">
        <v>45504</v>
      </c>
      <c r="C596" t="str">
        <f>VLOOKUP(Fato_Producao[[#This Row],[referencia]], Dim_Produtos!A:B,2,FALSE)</f>
        <v>pescada posta fritar</v>
      </c>
      <c r="D596">
        <v>2783</v>
      </c>
      <c r="E596">
        <v>2520</v>
      </c>
      <c r="F596" s="5">
        <v>9.4500000000000001E-2</v>
      </c>
      <c r="G596" s="6">
        <v>84.16</v>
      </c>
      <c r="H596">
        <v>13</v>
      </c>
      <c r="I596">
        <v>244</v>
      </c>
      <c r="J596">
        <v>6</v>
      </c>
      <c r="K596">
        <f>Fato_Producao[[#This Row],[embalagens_danificadas]]+Fato_Producao[[#This Row],[peso_errado]]+Fato_Producao[[#This Row],[impressao]]</f>
        <v>263</v>
      </c>
      <c r="L596" s="1" t="d">
        <v>2024-08-13</v>
      </c>
      <c r="M596">
        <v>52</v>
      </c>
      <c r="N596" s="7">
        <v>11.78</v>
      </c>
      <c r="O596" s="4" t="str">
        <f t="shared" si="27"/>
        <v>outubro</v>
      </c>
      <c r="P596" s="4">
        <f t="shared" si="28"/>
        <v>2024</v>
      </c>
      <c r="Q596" s="4" t="str">
        <f t="shared" si="29"/>
        <v/>
      </c>
      <c r="R596" t="s">
        <v>24</v>
      </c>
    </row>
    <row r="597" spans="1:18" x14ac:dyDescent="0.3">
      <c r="A597" s="1" t="d">
        <v>2024-10-04</v>
      </c>
      <c r="B597">
        <v>45503</v>
      </c>
      <c r="C597" t="str">
        <f>VLOOKUP(Fato_Producao[[#This Row],[referencia]], Dim_Produtos!A:B,2,FALSE)</f>
        <v>sardinha pequena</v>
      </c>
      <c r="D597">
        <v>1890</v>
      </c>
      <c r="E597">
        <v>1727</v>
      </c>
      <c r="F597" s="5">
        <v>8.6199999999999999E-2</v>
      </c>
      <c r="G597" s="6">
        <v>42.38</v>
      </c>
      <c r="H597">
        <v>5</v>
      </c>
      <c r="I597">
        <v>155</v>
      </c>
      <c r="J597">
        <v>3</v>
      </c>
      <c r="K597">
        <f>Fato_Producao[[#This Row],[embalagens_danificadas]]+Fato_Producao[[#This Row],[peso_errado]]+Fato_Producao[[#This Row],[impressao]]</f>
        <v>163</v>
      </c>
      <c r="L597" s="1" t="d">
        <v>2024-08-13</v>
      </c>
      <c r="M597">
        <v>52</v>
      </c>
      <c r="N597" s="7">
        <v>4.66</v>
      </c>
      <c r="O597" s="4" t="str">
        <f t="shared" si="27"/>
        <v>outubro</v>
      </c>
      <c r="P597" s="4">
        <f t="shared" si="28"/>
        <v>2024</v>
      </c>
      <c r="Q597" s="4" t="str">
        <f t="shared" si="29"/>
        <v/>
      </c>
      <c r="R597" t="s">
        <v>24</v>
      </c>
    </row>
    <row r="598" spans="1:18" x14ac:dyDescent="0.3">
      <c r="A598" s="1" t="d">
        <v>2024-10-05</v>
      </c>
      <c r="B598">
        <v>45502</v>
      </c>
      <c r="C598" t="str">
        <f>VLOOKUP(Fato_Producao[[#This Row],[referencia]], Dim_Produtos!A:B,2,FALSE)</f>
        <v>carapau pelim</v>
      </c>
      <c r="D598">
        <v>3985</v>
      </c>
      <c r="E598">
        <v>3579</v>
      </c>
      <c r="F598" s="5">
        <v>0.1019</v>
      </c>
      <c r="G598" s="6">
        <v>121.8</v>
      </c>
      <c r="H598">
        <v>106</v>
      </c>
      <c r="I598">
        <v>290</v>
      </c>
      <c r="J598">
        <v>10</v>
      </c>
      <c r="K598">
        <f>Fato_Producao[[#This Row],[embalagens_danificadas]]+Fato_Producao[[#This Row],[peso_errado]]+Fato_Producao[[#This Row],[impressao]]</f>
        <v>406</v>
      </c>
      <c r="L598" s="1" t="d">
        <v>2024-08-13</v>
      </c>
      <c r="M598">
        <v>53</v>
      </c>
      <c r="N598" s="7">
        <v>15.83</v>
      </c>
      <c r="O598" s="4" t="str">
        <f t="shared" si="27"/>
        <v>outubro</v>
      </c>
      <c r="P598" s="4">
        <f t="shared" si="28"/>
        <v>2024</v>
      </c>
      <c r="Q598" s="4" t="str">
        <f t="shared" si="29"/>
        <v/>
      </c>
      <c r="R598" t="s">
        <v>24</v>
      </c>
    </row>
    <row r="599" spans="1:18" x14ac:dyDescent="0.3">
      <c r="A599" s="1" t="d">
        <v>2024-10-05</v>
      </c>
      <c r="B599">
        <v>45507</v>
      </c>
      <c r="C599" t="str">
        <f>VLOOKUP(Fato_Producao[[#This Row],[referencia]], Dim_Produtos!A:B,2,FALSE)</f>
        <v>salmao posta</v>
      </c>
      <c r="D599">
        <v>2242</v>
      </c>
      <c r="E599">
        <v>2037</v>
      </c>
      <c r="F599" s="5">
        <v>9.1399999999999995E-2</v>
      </c>
      <c r="G599" s="6">
        <v>71.75</v>
      </c>
      <c r="H599">
        <v>14</v>
      </c>
      <c r="I599">
        <v>189</v>
      </c>
      <c r="J599">
        <v>2</v>
      </c>
      <c r="K599">
        <f>Fato_Producao[[#This Row],[embalagens_danificadas]]+Fato_Producao[[#This Row],[peso_errado]]+Fato_Producao[[#This Row],[impressao]]</f>
        <v>205</v>
      </c>
      <c r="L599" s="1" t="d">
        <v>2024-08-13</v>
      </c>
      <c r="M599">
        <v>53</v>
      </c>
      <c r="N599" s="7">
        <v>11.48</v>
      </c>
      <c r="O599" s="4" t="str">
        <f t="shared" si="27"/>
        <v>outubro</v>
      </c>
      <c r="P599" s="4">
        <f t="shared" si="28"/>
        <v>2024</v>
      </c>
      <c r="Q599" s="4" t="str">
        <f t="shared" si="29"/>
        <v/>
      </c>
      <c r="R599" t="s">
        <v>24</v>
      </c>
    </row>
    <row r="600" spans="1:18" x14ac:dyDescent="0.3">
      <c r="A600" s="1" t="d">
        <v>2024-10-06</v>
      </c>
      <c r="B600">
        <v>45500</v>
      </c>
      <c r="C600" t="str">
        <f>VLOOKUP(Fato_Producao[[#This Row],[referencia]], Dim_Produtos!A:B,2,FALSE)</f>
        <v>filete pescada</v>
      </c>
      <c r="D600">
        <v>2159</v>
      </c>
      <c r="E600">
        <v>1985</v>
      </c>
      <c r="F600" s="5">
        <v>8.0600000000000005E-2</v>
      </c>
      <c r="G600" s="6">
        <v>48.72</v>
      </c>
      <c r="H600">
        <v>13</v>
      </c>
      <c r="I600">
        <v>159</v>
      </c>
      <c r="J600">
        <v>2</v>
      </c>
      <c r="K600">
        <f>Fato_Producao[[#This Row],[embalagens_danificadas]]+Fato_Producao[[#This Row],[peso_errado]]+Fato_Producao[[#This Row],[impressao]]</f>
        <v>174</v>
      </c>
      <c r="L600" s="1" t="d">
        <v>2024-08-13</v>
      </c>
      <c r="M600">
        <v>54</v>
      </c>
      <c r="N600" s="7">
        <v>5.85</v>
      </c>
      <c r="O600" s="4" t="str">
        <f t="shared" si="27"/>
        <v>outubro</v>
      </c>
      <c r="P600" s="4">
        <f t="shared" si="28"/>
        <v>2024</v>
      </c>
      <c r="Q600" s="4" t="str">
        <f t="shared" si="29"/>
        <v/>
      </c>
      <c r="R600" t="s">
        <v>24</v>
      </c>
    </row>
    <row r="601" spans="1:18" x14ac:dyDescent="0.3">
      <c r="A601" s="1" t="d">
        <v>2024-10-06</v>
      </c>
      <c r="B601">
        <v>45510</v>
      </c>
      <c r="C601" t="str">
        <f>VLOOKUP(Fato_Producao[[#This Row],[referencia]], Dim_Produtos!A:B,2,FALSE)</f>
        <v>tiras pota</v>
      </c>
      <c r="D601">
        <v>3791</v>
      </c>
      <c r="E601">
        <v>3382</v>
      </c>
      <c r="F601" s="5">
        <v>0.1079</v>
      </c>
      <c r="G601" s="6">
        <v>130.88</v>
      </c>
      <c r="H601">
        <v>59</v>
      </c>
      <c r="I601">
        <v>339</v>
      </c>
      <c r="J601">
        <v>11</v>
      </c>
      <c r="K601">
        <f>Fato_Producao[[#This Row],[embalagens_danificadas]]+Fato_Producao[[#This Row],[peso_errado]]+Fato_Producao[[#This Row],[impressao]]</f>
        <v>409</v>
      </c>
      <c r="L601" s="1" t="d">
        <v>2024-08-13</v>
      </c>
      <c r="M601">
        <v>54</v>
      </c>
      <c r="N601" s="7">
        <v>18.32</v>
      </c>
      <c r="O601" s="4" t="str">
        <f t="shared" si="27"/>
        <v>outubro</v>
      </c>
      <c r="P601" s="4">
        <f t="shared" si="28"/>
        <v>2024</v>
      </c>
      <c r="Q601" s="4" t="str">
        <f t="shared" si="29"/>
        <v/>
      </c>
      <c r="R601" t="s">
        <v>24</v>
      </c>
    </row>
    <row r="602" spans="1:18" x14ac:dyDescent="0.3">
      <c r="A602" s="1" t="d">
        <v>2024-10-07</v>
      </c>
      <c r="B602">
        <v>45508</v>
      </c>
      <c r="C602" t="str">
        <f>VLOOKUP(Fato_Producao[[#This Row],[referencia]], Dim_Produtos!A:B,2,FALSE)</f>
        <v>lula suja</v>
      </c>
      <c r="D602">
        <v>2414</v>
      </c>
      <c r="E602">
        <v>2124</v>
      </c>
      <c r="F602" s="5">
        <v>0.1201</v>
      </c>
      <c r="G602" s="6">
        <v>92.8</v>
      </c>
      <c r="H602">
        <v>24</v>
      </c>
      <c r="I602">
        <v>263</v>
      </c>
      <c r="J602">
        <v>3</v>
      </c>
      <c r="K602">
        <f>Fato_Producao[[#This Row],[embalagens_danificadas]]+Fato_Producao[[#This Row],[peso_errado]]+Fato_Producao[[#This Row],[impressao]]</f>
        <v>290</v>
      </c>
      <c r="L602" s="1" t="d">
        <v>2024-08-13</v>
      </c>
      <c r="M602">
        <v>55</v>
      </c>
      <c r="N602" s="7">
        <v>12.99</v>
      </c>
      <c r="O602" s="4" t="str">
        <f t="shared" si="27"/>
        <v>outubro</v>
      </c>
      <c r="P602" s="4">
        <f t="shared" si="28"/>
        <v>2024</v>
      </c>
      <c r="Q602" s="4" t="str">
        <f t="shared" si="29"/>
        <v/>
      </c>
      <c r="R602" t="s">
        <v>24</v>
      </c>
    </row>
    <row r="603" spans="1:18" x14ac:dyDescent="0.3">
      <c r="A603" s="1" t="d">
        <v>2024-10-07</v>
      </c>
      <c r="B603">
        <v>45511</v>
      </c>
      <c r="C603" t="str">
        <f>VLOOKUP(Fato_Producao[[#This Row],[referencia]], Dim_Produtos!A:B,2,FALSE)</f>
        <v>lula limpa</v>
      </c>
      <c r="D603">
        <v>2696</v>
      </c>
      <c r="E603">
        <v>2385</v>
      </c>
      <c r="F603" s="5">
        <v>0.1154</v>
      </c>
      <c r="G603" s="6">
        <v>99.52</v>
      </c>
      <c r="H603">
        <v>30</v>
      </c>
      <c r="I603">
        <v>274</v>
      </c>
      <c r="J603">
        <v>7</v>
      </c>
      <c r="K603">
        <f>Fato_Producao[[#This Row],[embalagens_danificadas]]+Fato_Producao[[#This Row],[peso_errado]]+Fato_Producao[[#This Row],[impressao]]</f>
        <v>311</v>
      </c>
      <c r="L603" s="1" t="d">
        <v>2024-08-13</v>
      </c>
      <c r="M603">
        <v>55</v>
      </c>
      <c r="N603" s="7">
        <v>13.93</v>
      </c>
      <c r="O603" s="4" t="str">
        <f t="shared" si="27"/>
        <v>outubro</v>
      </c>
      <c r="P603" s="4">
        <f t="shared" si="28"/>
        <v>2024</v>
      </c>
      <c r="Q603" s="4" t="str">
        <f t="shared" si="29"/>
        <v/>
      </c>
      <c r="R603" t="s">
        <v>24</v>
      </c>
    </row>
    <row r="604" spans="1:18" x14ac:dyDescent="0.3">
      <c r="A604" s="1" t="d">
        <v>2024-10-08</v>
      </c>
      <c r="B604">
        <v>45514</v>
      </c>
      <c r="C604" t="str">
        <f>VLOOKUP(Fato_Producao[[#This Row],[referencia]], Dim_Produtos!A:B,2,FALSE)</f>
        <v>sardinha pequena</v>
      </c>
      <c r="D604">
        <v>3249</v>
      </c>
      <c r="E604">
        <v>2888</v>
      </c>
      <c r="F604" s="5">
        <v>0.1111</v>
      </c>
      <c r="G604" s="6">
        <v>108.3</v>
      </c>
      <c r="H604">
        <v>20</v>
      </c>
      <c r="I604">
        <v>335</v>
      </c>
      <c r="J604">
        <v>6</v>
      </c>
      <c r="K604">
        <f>Fato_Producao[[#This Row],[embalagens_danificadas]]+Fato_Producao[[#This Row],[peso_errado]]+Fato_Producao[[#This Row],[impressao]]</f>
        <v>361</v>
      </c>
      <c r="L604" s="1" t="d">
        <v>2024-08-13</v>
      </c>
      <c r="M604">
        <v>56</v>
      </c>
      <c r="N604" s="7">
        <v>13</v>
      </c>
      <c r="O604" s="4" t="str">
        <f t="shared" si="27"/>
        <v>outubro</v>
      </c>
      <c r="P604" s="4">
        <f t="shared" si="28"/>
        <v>2024</v>
      </c>
      <c r="Q604" s="4" t="str">
        <f t="shared" si="29"/>
        <v/>
      </c>
      <c r="R604" t="s">
        <v>24</v>
      </c>
    </row>
    <row r="605" spans="1:18" x14ac:dyDescent="0.3">
      <c r="A605" s="1" t="d">
        <v>2024-10-09</v>
      </c>
      <c r="B605">
        <v>45500</v>
      </c>
      <c r="C605" t="str">
        <f>VLOOKUP(Fato_Producao[[#This Row],[referencia]], Dim_Produtos!A:B,2,FALSE)</f>
        <v>filete pescada</v>
      </c>
      <c r="D605">
        <v>3837</v>
      </c>
      <c r="E605">
        <v>3504</v>
      </c>
      <c r="F605" s="5">
        <v>8.6800000000000002E-2</v>
      </c>
      <c r="G605" s="6">
        <v>93.24</v>
      </c>
      <c r="H605">
        <v>23</v>
      </c>
      <c r="I605">
        <v>304</v>
      </c>
      <c r="J605">
        <v>6</v>
      </c>
      <c r="K605">
        <f>Fato_Producao[[#This Row],[embalagens_danificadas]]+Fato_Producao[[#This Row],[peso_errado]]+Fato_Producao[[#This Row],[impressao]]</f>
        <v>333</v>
      </c>
      <c r="L605" s="1" t="d">
        <v>2024-08-13</v>
      </c>
      <c r="M605">
        <v>57</v>
      </c>
      <c r="N605" s="7">
        <v>11.19</v>
      </c>
      <c r="O605" s="4" t="str">
        <f t="shared" si="27"/>
        <v>outubro</v>
      </c>
      <c r="P605" s="4">
        <f t="shared" si="28"/>
        <v>2024</v>
      </c>
      <c r="Q605" s="4" t="str">
        <f t="shared" si="29"/>
        <v/>
      </c>
      <c r="R605" t="s">
        <v>24</v>
      </c>
    </row>
    <row r="606" spans="1:18" x14ac:dyDescent="0.3">
      <c r="A606" s="1" t="d">
        <v>2024-10-09</v>
      </c>
      <c r="B606">
        <v>45513</v>
      </c>
      <c r="C606" t="str">
        <f>VLOOKUP(Fato_Producao[[#This Row],[referencia]], Dim_Produtos!A:B,2,FALSE)</f>
        <v>filete pescada</v>
      </c>
      <c r="D606">
        <v>2228</v>
      </c>
      <c r="E606">
        <v>2039</v>
      </c>
      <c r="F606" s="5">
        <v>8.48E-2</v>
      </c>
      <c r="G606" s="6">
        <v>60.48</v>
      </c>
      <c r="H606">
        <v>4</v>
      </c>
      <c r="I606">
        <v>180</v>
      </c>
      <c r="J606">
        <v>5</v>
      </c>
      <c r="K606">
        <f>Fato_Producao[[#This Row],[embalagens_danificadas]]+Fato_Producao[[#This Row],[peso_errado]]+Fato_Producao[[#This Row],[impressao]]</f>
        <v>189</v>
      </c>
      <c r="L606" s="1" t="d">
        <v>2024-08-13</v>
      </c>
      <c r="M606">
        <v>57</v>
      </c>
      <c r="N606" s="7">
        <v>7.86</v>
      </c>
      <c r="O606" s="4" t="str">
        <f t="shared" si="27"/>
        <v>outubro</v>
      </c>
      <c r="P606" s="4">
        <f t="shared" si="28"/>
        <v>2024</v>
      </c>
      <c r="Q606" s="4" t="str">
        <f t="shared" si="29"/>
        <v/>
      </c>
      <c r="R606" t="s">
        <v>24</v>
      </c>
    </row>
    <row r="607" spans="1:18" x14ac:dyDescent="0.3">
      <c r="A607" s="1" t="d">
        <v>2024-10-10</v>
      </c>
      <c r="B607">
        <v>45500</v>
      </c>
      <c r="C607" t="str">
        <f>VLOOKUP(Fato_Producao[[#This Row],[referencia]], Dim_Produtos!A:B,2,FALSE)</f>
        <v>filete pescada</v>
      </c>
      <c r="D607">
        <v>3068</v>
      </c>
      <c r="E607">
        <v>2795</v>
      </c>
      <c r="F607" s="5">
        <v>8.8999999999999996E-2</v>
      </c>
      <c r="G607" s="6">
        <v>76.44</v>
      </c>
      <c r="H607">
        <v>18</v>
      </c>
      <c r="I607">
        <v>249</v>
      </c>
      <c r="J607">
        <v>6</v>
      </c>
      <c r="K607">
        <f>Fato_Producao[[#This Row],[embalagens_danificadas]]+Fato_Producao[[#This Row],[peso_errado]]+Fato_Producao[[#This Row],[impressao]]</f>
        <v>273</v>
      </c>
      <c r="L607" s="1" t="d">
        <v>2024-08-13</v>
      </c>
      <c r="M607">
        <v>58</v>
      </c>
      <c r="N607" s="7">
        <v>9.17</v>
      </c>
      <c r="O607" s="4" t="str">
        <f t="shared" si="27"/>
        <v>outubro</v>
      </c>
      <c r="P607" s="4">
        <f t="shared" si="28"/>
        <v>2024</v>
      </c>
      <c r="Q607" s="4" t="str">
        <f t="shared" si="29"/>
        <v/>
      </c>
      <c r="R607" t="s">
        <v>24</v>
      </c>
    </row>
    <row r="608" spans="1:18" x14ac:dyDescent="0.3">
      <c r="A608" s="1" t="d">
        <v>2024-10-11</v>
      </c>
      <c r="B608">
        <v>45506</v>
      </c>
      <c r="C608" t="str">
        <f>VLOOKUP(Fato_Producao[[#This Row],[referencia]], Dim_Produtos!A:B,2,FALSE)</f>
        <v>perca posta</v>
      </c>
      <c r="D608">
        <v>3753</v>
      </c>
      <c r="E608">
        <v>3412</v>
      </c>
      <c r="F608" s="5">
        <v>9.0899999999999995E-2</v>
      </c>
      <c r="G608" s="6">
        <v>119.35</v>
      </c>
      <c r="H608">
        <v>20</v>
      </c>
      <c r="I608">
        <v>313</v>
      </c>
      <c r="J608">
        <v>8</v>
      </c>
      <c r="K608">
        <f>Fato_Producao[[#This Row],[embalagens_danificadas]]+Fato_Producao[[#This Row],[peso_errado]]+Fato_Producao[[#This Row],[impressao]]</f>
        <v>341</v>
      </c>
      <c r="L608" s="1" t="d">
        <v>2024-08-13</v>
      </c>
      <c r="M608">
        <v>59</v>
      </c>
      <c r="N608" s="7">
        <v>17.899999999999999</v>
      </c>
      <c r="O608" s="4" t="str">
        <f t="shared" si="27"/>
        <v>outubro</v>
      </c>
      <c r="P608" s="4">
        <f t="shared" si="28"/>
        <v>2024</v>
      </c>
      <c r="Q608" s="4" t="str">
        <f t="shared" si="29"/>
        <v/>
      </c>
      <c r="R608" t="s">
        <v>24</v>
      </c>
    </row>
    <row r="609" spans="1:18" x14ac:dyDescent="0.3">
      <c r="A609" s="1" t="d">
        <v>2024-10-12</v>
      </c>
      <c r="B609">
        <v>45500</v>
      </c>
      <c r="C609" t="str">
        <f>VLOOKUP(Fato_Producao[[#This Row],[referencia]], Dim_Produtos!A:B,2,FALSE)</f>
        <v>filete pescada</v>
      </c>
      <c r="D609">
        <v>3072</v>
      </c>
      <c r="E609">
        <v>2827</v>
      </c>
      <c r="F609" s="5">
        <v>7.9799999999999996E-2</v>
      </c>
      <c r="G609" s="6">
        <v>68.599999999999994</v>
      </c>
      <c r="H609">
        <v>17</v>
      </c>
      <c r="I609">
        <v>224</v>
      </c>
      <c r="J609">
        <v>4</v>
      </c>
      <c r="K609">
        <f>Fato_Producao[[#This Row],[embalagens_danificadas]]+Fato_Producao[[#This Row],[peso_errado]]+Fato_Producao[[#This Row],[impressao]]</f>
        <v>245</v>
      </c>
      <c r="L609" s="1" t="d">
        <v>2024-08-13</v>
      </c>
      <c r="M609">
        <v>60</v>
      </c>
      <c r="N609" s="7">
        <v>8.23</v>
      </c>
      <c r="O609" s="4" t="str">
        <f t="shared" si="27"/>
        <v>outubro</v>
      </c>
      <c r="P609" s="4">
        <f t="shared" si="28"/>
        <v>2024</v>
      </c>
      <c r="Q609" s="4" t="str">
        <f t="shared" si="29"/>
        <v/>
      </c>
      <c r="R609" t="s">
        <v>24</v>
      </c>
    </row>
    <row r="610" spans="1:18" x14ac:dyDescent="0.3">
      <c r="A610" s="1" t="d">
        <v>2024-10-12</v>
      </c>
      <c r="B610">
        <v>45506</v>
      </c>
      <c r="C610" t="str">
        <f>VLOOKUP(Fato_Producao[[#This Row],[referencia]], Dim_Produtos!A:B,2,FALSE)</f>
        <v>perca posta</v>
      </c>
      <c r="D610">
        <v>1818</v>
      </c>
      <c r="E610">
        <v>1632</v>
      </c>
      <c r="F610" s="5">
        <v>0.1023</v>
      </c>
      <c r="G610" s="6">
        <v>65.099999999999994</v>
      </c>
      <c r="H610">
        <v>5</v>
      </c>
      <c r="I610">
        <v>176</v>
      </c>
      <c r="J610">
        <v>5</v>
      </c>
      <c r="K610">
        <f>Fato_Producao[[#This Row],[embalagens_danificadas]]+Fato_Producao[[#This Row],[peso_errado]]+Fato_Producao[[#This Row],[impressao]]</f>
        <v>186</v>
      </c>
      <c r="L610" s="1" t="d">
        <v>2024-08-13</v>
      </c>
      <c r="M610">
        <v>60</v>
      </c>
      <c r="N610" s="7">
        <v>9.76</v>
      </c>
      <c r="O610" s="4" t="str">
        <f t="shared" si="27"/>
        <v>outubro</v>
      </c>
      <c r="P610" s="4">
        <f t="shared" si="28"/>
        <v>2024</v>
      </c>
      <c r="Q610" s="4" t="str">
        <f t="shared" si="29"/>
        <v/>
      </c>
      <c r="R610" t="s">
        <v>24</v>
      </c>
    </row>
    <row r="611" spans="1:18" x14ac:dyDescent="0.3">
      <c r="A611" s="1" t="d">
        <v>2024-10-13</v>
      </c>
      <c r="B611">
        <v>45507</v>
      </c>
      <c r="C611" t="str">
        <f>VLOOKUP(Fato_Producao[[#This Row],[referencia]], Dim_Produtos!A:B,2,FALSE)</f>
        <v>salmao posta</v>
      </c>
      <c r="D611">
        <v>3140</v>
      </c>
      <c r="E611">
        <v>2806</v>
      </c>
      <c r="F611" s="5">
        <v>0.10639999999999999</v>
      </c>
      <c r="G611" s="6">
        <v>116.9</v>
      </c>
      <c r="H611">
        <v>5</v>
      </c>
      <c r="I611">
        <v>319</v>
      </c>
      <c r="J611">
        <v>10</v>
      </c>
      <c r="K611">
        <f>Fato_Producao[[#This Row],[embalagens_danificadas]]+Fato_Producao[[#This Row],[peso_errado]]+Fato_Producao[[#This Row],[impressao]]</f>
        <v>334</v>
      </c>
      <c r="L611" s="1" t="d">
        <v>2024-08-13</v>
      </c>
      <c r="M611">
        <v>61</v>
      </c>
      <c r="N611" s="7">
        <v>18.7</v>
      </c>
      <c r="O611" s="4" t="str">
        <f t="shared" si="27"/>
        <v>outubro</v>
      </c>
      <c r="P611" s="4">
        <f t="shared" si="28"/>
        <v>2024</v>
      </c>
      <c r="Q611" s="4" t="str">
        <f t="shared" si="29"/>
        <v/>
      </c>
      <c r="R611" t="s">
        <v>24</v>
      </c>
    </row>
    <row r="612" spans="1:18" x14ac:dyDescent="0.3">
      <c r="A612" s="1" t="d">
        <v>2024-10-14</v>
      </c>
      <c r="B612">
        <v>45503</v>
      </c>
      <c r="C612" t="str">
        <f>VLOOKUP(Fato_Producao[[#This Row],[referencia]], Dim_Produtos!A:B,2,FALSE)</f>
        <v>sardinha pequena</v>
      </c>
      <c r="D612">
        <v>2951</v>
      </c>
      <c r="E612">
        <v>2659</v>
      </c>
      <c r="F612" s="5">
        <v>9.8900000000000002E-2</v>
      </c>
      <c r="G612" s="6">
        <v>75.92</v>
      </c>
      <c r="H612">
        <v>20</v>
      </c>
      <c r="I612">
        <v>268</v>
      </c>
      <c r="J612">
        <v>4</v>
      </c>
      <c r="K612">
        <f>Fato_Producao[[#This Row],[embalagens_danificadas]]+Fato_Producao[[#This Row],[peso_errado]]+Fato_Producao[[#This Row],[impressao]]</f>
        <v>292</v>
      </c>
      <c r="L612" s="1" t="d">
        <v>2024-08-13</v>
      </c>
      <c r="M612">
        <v>62</v>
      </c>
      <c r="N612" s="7">
        <v>8.35</v>
      </c>
      <c r="O612" s="4" t="str">
        <f t="shared" si="27"/>
        <v>outubro</v>
      </c>
      <c r="P612" s="4">
        <f t="shared" si="28"/>
        <v>2024</v>
      </c>
      <c r="Q612" s="4" t="str">
        <f t="shared" si="29"/>
        <v/>
      </c>
      <c r="R612" t="s">
        <v>24</v>
      </c>
    </row>
    <row r="613" spans="1:18" x14ac:dyDescent="0.3">
      <c r="A613" s="1" t="d">
        <v>2024-10-14</v>
      </c>
      <c r="B613">
        <v>45511</v>
      </c>
      <c r="C613" t="str">
        <f>VLOOKUP(Fato_Producao[[#This Row],[referencia]], Dim_Produtos!A:B,2,FALSE)</f>
        <v>lula limpa</v>
      </c>
      <c r="D613">
        <v>3735</v>
      </c>
      <c r="E613">
        <v>3292</v>
      </c>
      <c r="F613" s="5">
        <v>0.1186</v>
      </c>
      <c r="G613" s="6">
        <v>141.76</v>
      </c>
      <c r="H613">
        <v>48</v>
      </c>
      <c r="I613">
        <v>389</v>
      </c>
      <c r="J613">
        <v>6</v>
      </c>
      <c r="K613">
        <f>Fato_Producao[[#This Row],[embalagens_danificadas]]+Fato_Producao[[#This Row],[peso_errado]]+Fato_Producao[[#This Row],[impressao]]</f>
        <v>443</v>
      </c>
      <c r="L613" s="1" t="d">
        <v>2024-08-13</v>
      </c>
      <c r="M613">
        <v>62</v>
      </c>
      <c r="N613" s="7">
        <v>19.850000000000001</v>
      </c>
      <c r="O613" s="4" t="str">
        <f t="shared" si="27"/>
        <v>outubro</v>
      </c>
      <c r="P613" s="4">
        <f t="shared" si="28"/>
        <v>2024</v>
      </c>
      <c r="Q613" s="4">
        <f t="shared" si="29"/>
        <v>62</v>
      </c>
      <c r="R613" t="s">
        <v>24</v>
      </c>
    </row>
    <row r="614" spans="1:18" x14ac:dyDescent="0.3">
      <c r="A614" s="1" t="d">
        <v>2024-10-15</v>
      </c>
      <c r="B614">
        <v>45514</v>
      </c>
      <c r="C614" t="str">
        <f>VLOOKUP(Fato_Producao[[#This Row],[referencia]], Dim_Produtos!A:B,2,FALSE)</f>
        <v>sardinha pequena</v>
      </c>
      <c r="D614">
        <v>2570</v>
      </c>
      <c r="E614">
        <v>2415</v>
      </c>
      <c r="F614" s="5">
        <v>6.0299999999999999E-2</v>
      </c>
      <c r="G614" s="6">
        <v>46.5</v>
      </c>
      <c r="H614">
        <v>5</v>
      </c>
      <c r="I614">
        <v>148</v>
      </c>
      <c r="J614">
        <v>2</v>
      </c>
      <c r="K614">
        <f>Fato_Producao[[#This Row],[embalagens_danificadas]]+Fato_Producao[[#This Row],[peso_errado]]+Fato_Producao[[#This Row],[impressao]]</f>
        <v>155</v>
      </c>
      <c r="L614" s="1" t="d">
        <v>2024-10-15</v>
      </c>
      <c r="M614">
        <v>0</v>
      </c>
      <c r="N614" s="7">
        <v>5.58</v>
      </c>
      <c r="O614" s="4" t="str">
        <f t="shared" si="27"/>
        <v>outubro</v>
      </c>
      <c r="P614" s="4">
        <f t="shared" si="28"/>
        <v>2024</v>
      </c>
      <c r="Q614" s="4" t="str">
        <f t="shared" si="29"/>
        <v/>
      </c>
      <c r="R614" t="s">
        <v>24</v>
      </c>
    </row>
    <row r="615" spans="1:18" x14ac:dyDescent="0.3">
      <c r="A615" s="1" t="d">
        <v>2024-10-15</v>
      </c>
      <c r="B615">
        <v>45507</v>
      </c>
      <c r="C615" t="str">
        <f>VLOOKUP(Fato_Producao[[#This Row],[referencia]], Dim_Produtos!A:B,2,FALSE)</f>
        <v>salmao posta</v>
      </c>
      <c r="D615">
        <v>2675</v>
      </c>
      <c r="E615">
        <v>2605</v>
      </c>
      <c r="F615" s="5">
        <v>2.6200000000000001E-2</v>
      </c>
      <c r="G615" s="6">
        <v>24.5</v>
      </c>
      <c r="H615">
        <v>2</v>
      </c>
      <c r="I615">
        <v>66</v>
      </c>
      <c r="J615">
        <v>2</v>
      </c>
      <c r="K615">
        <f>Fato_Producao[[#This Row],[embalagens_danificadas]]+Fato_Producao[[#This Row],[peso_errado]]+Fato_Producao[[#This Row],[impressao]]</f>
        <v>70</v>
      </c>
      <c r="L615" s="1" t="d">
        <v>2024-10-15</v>
      </c>
      <c r="M615">
        <v>0</v>
      </c>
      <c r="N615" s="7">
        <v>3.92</v>
      </c>
      <c r="O615" s="4" t="str">
        <f t="shared" si="27"/>
        <v>outubro</v>
      </c>
      <c r="P615" s="4">
        <f t="shared" si="28"/>
        <v>2024</v>
      </c>
      <c r="Q615" s="4" t="str">
        <f t="shared" si="29"/>
        <v/>
      </c>
      <c r="R615" t="s">
        <v>24</v>
      </c>
    </row>
    <row r="616" spans="1:18" x14ac:dyDescent="0.3">
      <c r="A616" s="1" t="d">
        <v>2024-10-16</v>
      </c>
      <c r="B616">
        <v>45509</v>
      </c>
      <c r="C616" t="str">
        <f>VLOOKUP(Fato_Producao[[#This Row],[referencia]], Dim_Produtos!A:B,2,FALSE)</f>
        <v>lascas bacalhau</v>
      </c>
      <c r="D616">
        <v>2457</v>
      </c>
      <c r="E616">
        <v>2353</v>
      </c>
      <c r="F616" s="5">
        <v>4.2299999999999997E-2</v>
      </c>
      <c r="G616" s="6">
        <v>29.12</v>
      </c>
      <c r="H616">
        <v>5</v>
      </c>
      <c r="I616">
        <v>98</v>
      </c>
      <c r="J616">
        <v>1</v>
      </c>
      <c r="K616">
        <f>Fato_Producao[[#This Row],[embalagens_danificadas]]+Fato_Producao[[#This Row],[peso_errado]]+Fato_Producao[[#This Row],[impressao]]</f>
        <v>104</v>
      </c>
      <c r="L616" s="1" t="d">
        <v>2024-10-15</v>
      </c>
      <c r="M616">
        <v>1</v>
      </c>
      <c r="N616" s="7">
        <v>3.79</v>
      </c>
      <c r="O616" s="4" t="str">
        <f t="shared" si="27"/>
        <v>outubro</v>
      </c>
      <c r="P616" s="4">
        <f t="shared" si="28"/>
        <v>2024</v>
      </c>
      <c r="Q616" s="4" t="str">
        <f t="shared" si="29"/>
        <v/>
      </c>
      <c r="R616" t="s">
        <v>24</v>
      </c>
    </row>
    <row r="617" spans="1:18" x14ac:dyDescent="0.3">
      <c r="A617" s="1" t="d">
        <v>2024-10-16</v>
      </c>
      <c r="B617">
        <v>45507</v>
      </c>
      <c r="C617" t="str">
        <f>VLOOKUP(Fato_Producao[[#This Row],[referencia]], Dim_Produtos!A:B,2,FALSE)</f>
        <v>salmao posta</v>
      </c>
      <c r="D617">
        <v>3457</v>
      </c>
      <c r="E617">
        <v>3371</v>
      </c>
      <c r="F617" s="5">
        <v>2.4899999999999999E-2</v>
      </c>
      <c r="G617" s="6">
        <v>30.1</v>
      </c>
      <c r="H617">
        <v>5</v>
      </c>
      <c r="I617">
        <v>79</v>
      </c>
      <c r="J617">
        <v>2</v>
      </c>
      <c r="K617">
        <f>Fato_Producao[[#This Row],[embalagens_danificadas]]+Fato_Producao[[#This Row],[peso_errado]]+Fato_Producao[[#This Row],[impressao]]</f>
        <v>86</v>
      </c>
      <c r="L617" s="1" t="d">
        <v>2024-10-15</v>
      </c>
      <c r="M617">
        <v>1</v>
      </c>
      <c r="N617" s="7">
        <v>4.82</v>
      </c>
      <c r="O617" s="4" t="str">
        <f t="shared" si="27"/>
        <v>outubro</v>
      </c>
      <c r="P617" s="4">
        <f t="shared" si="28"/>
        <v>2024</v>
      </c>
      <c r="Q617" s="4" t="str">
        <f t="shared" si="29"/>
        <v/>
      </c>
      <c r="R617" t="s">
        <v>24</v>
      </c>
    </row>
    <row r="618" spans="1:18" x14ac:dyDescent="0.3">
      <c r="A618" s="1" t="d">
        <v>2024-10-17</v>
      </c>
      <c r="B618">
        <v>45509</v>
      </c>
      <c r="C618" t="str">
        <f>VLOOKUP(Fato_Producao[[#This Row],[referencia]], Dim_Produtos!A:B,2,FALSE)</f>
        <v>lascas bacalhau</v>
      </c>
      <c r="D618">
        <v>3247</v>
      </c>
      <c r="E618">
        <v>3125</v>
      </c>
      <c r="F618" s="5">
        <v>3.7600000000000001E-2</v>
      </c>
      <c r="G618" s="6">
        <v>34.159999999999997</v>
      </c>
      <c r="H618">
        <v>7</v>
      </c>
      <c r="I618">
        <v>112</v>
      </c>
      <c r="J618">
        <v>3</v>
      </c>
      <c r="K618">
        <f>Fato_Producao[[#This Row],[embalagens_danificadas]]+Fato_Producao[[#This Row],[peso_errado]]+Fato_Producao[[#This Row],[impressao]]</f>
        <v>122</v>
      </c>
      <c r="L618" s="1" t="d">
        <v>2024-10-15</v>
      </c>
      <c r="M618">
        <v>2</v>
      </c>
      <c r="N618" s="7">
        <v>4.4400000000000004</v>
      </c>
      <c r="O618" s="4" t="str">
        <f t="shared" si="27"/>
        <v>outubro</v>
      </c>
      <c r="P618" s="4">
        <f t="shared" si="28"/>
        <v>2024</v>
      </c>
      <c r="Q618" s="4" t="str">
        <f t="shared" si="29"/>
        <v/>
      </c>
      <c r="R618" t="s">
        <v>24</v>
      </c>
    </row>
    <row r="619" spans="1:18" x14ac:dyDescent="0.3">
      <c r="A619" s="1" t="d">
        <v>2024-10-17</v>
      </c>
      <c r="B619">
        <v>45514</v>
      </c>
      <c r="C619" t="str">
        <f>VLOOKUP(Fato_Producao[[#This Row],[referencia]], Dim_Produtos!A:B,2,FALSE)</f>
        <v>sardinha pequena</v>
      </c>
      <c r="D619">
        <v>2634</v>
      </c>
      <c r="E619">
        <v>2462</v>
      </c>
      <c r="F619" s="5">
        <v>6.5299999999999997E-2</v>
      </c>
      <c r="G619" s="6">
        <v>51.6</v>
      </c>
      <c r="H619">
        <v>5</v>
      </c>
      <c r="I619">
        <v>163</v>
      </c>
      <c r="J619">
        <v>4</v>
      </c>
      <c r="K619">
        <f>Fato_Producao[[#This Row],[embalagens_danificadas]]+Fato_Producao[[#This Row],[peso_errado]]+Fato_Producao[[#This Row],[impressao]]</f>
        <v>172</v>
      </c>
      <c r="L619" s="1" t="d">
        <v>2024-10-15</v>
      </c>
      <c r="M619">
        <v>2</v>
      </c>
      <c r="N619" s="7">
        <v>6.19</v>
      </c>
      <c r="O619" s="4" t="str">
        <f t="shared" si="27"/>
        <v>outubro</v>
      </c>
      <c r="P619" s="4">
        <f t="shared" si="28"/>
        <v>2024</v>
      </c>
      <c r="Q619" s="4" t="str">
        <f t="shared" si="29"/>
        <v/>
      </c>
      <c r="R619" t="s">
        <v>24</v>
      </c>
    </row>
    <row r="620" spans="1:18" x14ac:dyDescent="0.3">
      <c r="A620" s="1" t="d">
        <v>2024-10-18</v>
      </c>
      <c r="B620">
        <v>45500</v>
      </c>
      <c r="C620" t="str">
        <f>VLOOKUP(Fato_Producao[[#This Row],[referencia]], Dim_Produtos!A:B,2,FALSE)</f>
        <v>filete pescada</v>
      </c>
      <c r="D620">
        <v>2608</v>
      </c>
      <c r="E620">
        <v>2498</v>
      </c>
      <c r="F620" s="5">
        <v>4.2200000000000001E-2</v>
      </c>
      <c r="G620" s="6">
        <v>30.8</v>
      </c>
      <c r="H620">
        <v>6</v>
      </c>
      <c r="I620">
        <v>103</v>
      </c>
      <c r="J620">
        <v>1</v>
      </c>
      <c r="K620">
        <f>Fato_Producao[[#This Row],[embalagens_danificadas]]+Fato_Producao[[#This Row],[peso_errado]]+Fato_Producao[[#This Row],[impressao]]</f>
        <v>110</v>
      </c>
      <c r="L620" s="1" t="d">
        <v>2024-10-15</v>
      </c>
      <c r="M620">
        <v>3</v>
      </c>
      <c r="N620" s="7">
        <v>3.7</v>
      </c>
      <c r="O620" s="4" t="str">
        <f t="shared" si="27"/>
        <v>outubro</v>
      </c>
      <c r="P620" s="4">
        <f t="shared" si="28"/>
        <v>2024</v>
      </c>
      <c r="Q620" s="4" t="str">
        <f t="shared" si="29"/>
        <v/>
      </c>
      <c r="R620" t="s">
        <v>24</v>
      </c>
    </row>
    <row r="621" spans="1:18" x14ac:dyDescent="0.3">
      <c r="A621" s="1" t="d">
        <v>2024-10-19</v>
      </c>
      <c r="B621">
        <v>45506</v>
      </c>
      <c r="C621" t="str">
        <f>VLOOKUP(Fato_Producao[[#This Row],[referencia]], Dim_Produtos!A:B,2,FALSE)</f>
        <v>perca posta</v>
      </c>
      <c r="D621">
        <v>2578</v>
      </c>
      <c r="E621">
        <v>2471</v>
      </c>
      <c r="F621" s="5">
        <v>4.1500000000000002E-2</v>
      </c>
      <c r="G621" s="6">
        <v>37.450000000000003</v>
      </c>
      <c r="H621">
        <v>2</v>
      </c>
      <c r="I621">
        <v>102</v>
      </c>
      <c r="J621">
        <v>3</v>
      </c>
      <c r="K621">
        <f>Fato_Producao[[#This Row],[embalagens_danificadas]]+Fato_Producao[[#This Row],[peso_errado]]+Fato_Producao[[#This Row],[impressao]]</f>
        <v>107</v>
      </c>
      <c r="L621" s="1" t="d">
        <v>2024-10-15</v>
      </c>
      <c r="M621">
        <v>4</v>
      </c>
      <c r="N621" s="7">
        <v>5.62</v>
      </c>
      <c r="O621" s="4" t="str">
        <f t="shared" si="27"/>
        <v>outubro</v>
      </c>
      <c r="P621" s="4">
        <f t="shared" si="28"/>
        <v>2024</v>
      </c>
      <c r="Q621" s="4" t="str">
        <f t="shared" si="29"/>
        <v/>
      </c>
      <c r="R621" t="s">
        <v>24</v>
      </c>
    </row>
    <row r="622" spans="1:18" x14ac:dyDescent="0.3">
      <c r="A622" s="1" t="d">
        <v>2024-10-20</v>
      </c>
      <c r="B622">
        <v>45513</v>
      </c>
      <c r="C622" t="str">
        <f>VLOOKUP(Fato_Producao[[#This Row],[referencia]], Dim_Produtos!A:B,2,FALSE)</f>
        <v>filete pescada</v>
      </c>
      <c r="D622">
        <v>2024</v>
      </c>
      <c r="E622">
        <v>1966</v>
      </c>
      <c r="F622" s="5">
        <v>2.87E-2</v>
      </c>
      <c r="G622" s="6">
        <v>18.559999999999999</v>
      </c>
      <c r="H622">
        <v>3</v>
      </c>
      <c r="I622">
        <v>53</v>
      </c>
      <c r="J622">
        <v>2</v>
      </c>
      <c r="K622">
        <f>Fato_Producao[[#This Row],[embalagens_danificadas]]+Fato_Producao[[#This Row],[peso_errado]]+Fato_Producao[[#This Row],[impressao]]</f>
        <v>58</v>
      </c>
      <c r="L622" s="1" t="d">
        <v>2024-10-15</v>
      </c>
      <c r="M622">
        <v>5</v>
      </c>
      <c r="N622" s="7">
        <v>2.41</v>
      </c>
      <c r="O622" s="4" t="str">
        <f t="shared" si="27"/>
        <v>outubro</v>
      </c>
      <c r="P622" s="4">
        <f t="shared" si="28"/>
        <v>2024</v>
      </c>
      <c r="Q622" s="4" t="str">
        <f t="shared" si="29"/>
        <v/>
      </c>
      <c r="R622" t="s">
        <v>24</v>
      </c>
    </row>
    <row r="623" spans="1:18" x14ac:dyDescent="0.3">
      <c r="A623" s="1" t="d">
        <v>2024-10-21</v>
      </c>
      <c r="B623">
        <v>45503</v>
      </c>
      <c r="C623" t="str">
        <f>VLOOKUP(Fato_Producao[[#This Row],[referencia]], Dim_Produtos!A:B,2,FALSE)</f>
        <v>sardinha pequena</v>
      </c>
      <c r="D623">
        <v>3079</v>
      </c>
      <c r="E623">
        <v>2920</v>
      </c>
      <c r="F623" s="5">
        <v>5.16E-2</v>
      </c>
      <c r="G623" s="6">
        <v>41.34</v>
      </c>
      <c r="H623">
        <v>6</v>
      </c>
      <c r="I623">
        <v>151</v>
      </c>
      <c r="J623">
        <v>2</v>
      </c>
      <c r="K623">
        <f>Fato_Producao[[#This Row],[embalagens_danificadas]]+Fato_Producao[[#This Row],[peso_errado]]+Fato_Producao[[#This Row],[impressao]]</f>
        <v>159</v>
      </c>
      <c r="L623" s="1" t="d">
        <v>2024-10-15</v>
      </c>
      <c r="M623">
        <v>6</v>
      </c>
      <c r="N623" s="7">
        <v>4.55</v>
      </c>
      <c r="O623" s="4" t="str">
        <f t="shared" si="27"/>
        <v>outubro</v>
      </c>
      <c r="P623" s="4">
        <f t="shared" si="28"/>
        <v>2024</v>
      </c>
      <c r="Q623" s="4" t="str">
        <f t="shared" si="29"/>
        <v/>
      </c>
      <c r="R623" t="s">
        <v>24</v>
      </c>
    </row>
    <row r="624" spans="1:18" x14ac:dyDescent="0.3">
      <c r="A624" s="1" t="d">
        <v>2024-10-21</v>
      </c>
      <c r="B624">
        <v>45507</v>
      </c>
      <c r="C624" t="str">
        <f>VLOOKUP(Fato_Producao[[#This Row],[referencia]], Dim_Produtos!A:B,2,FALSE)</f>
        <v>salmao posta</v>
      </c>
      <c r="D624">
        <v>2294</v>
      </c>
      <c r="E624">
        <v>2177</v>
      </c>
      <c r="F624" s="5">
        <v>5.0999999999999997E-2</v>
      </c>
      <c r="G624" s="6">
        <v>40.950000000000003</v>
      </c>
      <c r="H624">
        <v>7</v>
      </c>
      <c r="I624">
        <v>109</v>
      </c>
      <c r="J624">
        <v>1</v>
      </c>
      <c r="K624">
        <f>Fato_Producao[[#This Row],[embalagens_danificadas]]+Fato_Producao[[#This Row],[peso_errado]]+Fato_Producao[[#This Row],[impressao]]</f>
        <v>117</v>
      </c>
      <c r="L624" s="1" t="d">
        <v>2024-10-15</v>
      </c>
      <c r="M624">
        <v>6</v>
      </c>
      <c r="N624" s="7">
        <v>6.55</v>
      </c>
      <c r="O624" s="4" t="str">
        <f t="shared" si="27"/>
        <v>outubro</v>
      </c>
      <c r="P624" s="4">
        <f t="shared" si="28"/>
        <v>2024</v>
      </c>
      <c r="Q624" s="4" t="str">
        <f t="shared" si="29"/>
        <v/>
      </c>
      <c r="R624" t="s">
        <v>24</v>
      </c>
    </row>
    <row r="625" spans="1:18" x14ac:dyDescent="0.3">
      <c r="A625" s="1" t="d">
        <v>2024-10-22</v>
      </c>
      <c r="B625">
        <v>45513</v>
      </c>
      <c r="C625" t="str">
        <f>VLOOKUP(Fato_Producao[[#This Row],[referencia]], Dim_Produtos!A:B,2,FALSE)</f>
        <v>filete pescada</v>
      </c>
      <c r="D625">
        <v>1915</v>
      </c>
      <c r="E625">
        <v>1819</v>
      </c>
      <c r="F625" s="5">
        <v>5.0099999999999999E-2</v>
      </c>
      <c r="G625" s="6">
        <v>30.72</v>
      </c>
      <c r="H625">
        <v>7</v>
      </c>
      <c r="I625">
        <v>88</v>
      </c>
      <c r="J625">
        <v>1</v>
      </c>
      <c r="K625">
        <f>Fato_Producao[[#This Row],[embalagens_danificadas]]+Fato_Producao[[#This Row],[peso_errado]]+Fato_Producao[[#This Row],[impressao]]</f>
        <v>96</v>
      </c>
      <c r="L625" s="1" t="d">
        <v>2024-10-15</v>
      </c>
      <c r="M625">
        <v>7</v>
      </c>
      <c r="N625" s="7">
        <v>3.99</v>
      </c>
      <c r="O625" s="4" t="str">
        <f t="shared" si="27"/>
        <v>outubro</v>
      </c>
      <c r="P625" s="4">
        <f t="shared" si="28"/>
        <v>2024</v>
      </c>
      <c r="Q625" s="4" t="str">
        <f t="shared" si="29"/>
        <v/>
      </c>
      <c r="R625" t="s">
        <v>24</v>
      </c>
    </row>
    <row r="626" spans="1:18" x14ac:dyDescent="0.3">
      <c r="A626" s="1" t="d">
        <v>2024-10-23</v>
      </c>
      <c r="B626">
        <v>45505</v>
      </c>
      <c r="C626" t="str">
        <f>VLOOKUP(Fato_Producao[[#This Row],[referencia]], Dim_Produtos!A:B,2,FALSE)</f>
        <v>camarao</v>
      </c>
      <c r="D626">
        <v>2484</v>
      </c>
      <c r="E626">
        <v>2363</v>
      </c>
      <c r="F626" s="5">
        <v>4.87E-2</v>
      </c>
      <c r="G626" s="6">
        <v>36.299999999999997</v>
      </c>
      <c r="H626">
        <v>27</v>
      </c>
      <c r="I626">
        <v>93</v>
      </c>
      <c r="J626">
        <v>1</v>
      </c>
      <c r="K626">
        <f>Fato_Producao[[#This Row],[embalagens_danificadas]]+Fato_Producao[[#This Row],[peso_errado]]+Fato_Producao[[#This Row],[impressao]]</f>
        <v>121</v>
      </c>
      <c r="L626" s="1" t="d">
        <v>2024-10-15</v>
      </c>
      <c r="M626">
        <v>8</v>
      </c>
      <c r="N626" s="7">
        <v>5.44</v>
      </c>
      <c r="O626" s="4" t="str">
        <f t="shared" si="27"/>
        <v>outubro</v>
      </c>
      <c r="P626" s="4">
        <f t="shared" si="28"/>
        <v>2024</v>
      </c>
      <c r="Q626" s="4" t="str">
        <f t="shared" si="29"/>
        <v/>
      </c>
      <c r="R626" t="s">
        <v>24</v>
      </c>
    </row>
    <row r="627" spans="1:18" x14ac:dyDescent="0.3">
      <c r="A627" s="1" t="d">
        <v>2024-10-23</v>
      </c>
      <c r="B627">
        <v>45501</v>
      </c>
      <c r="C627" t="str">
        <f>VLOOKUP(Fato_Producao[[#This Row],[referencia]], Dim_Produtos!A:B,2,FALSE)</f>
        <v>pescada posta cozer</v>
      </c>
      <c r="D627">
        <v>3901</v>
      </c>
      <c r="E627">
        <v>3715</v>
      </c>
      <c r="F627" s="5">
        <v>4.7699999999999999E-2</v>
      </c>
      <c r="G627" s="6">
        <v>59.52</v>
      </c>
      <c r="H627">
        <v>11</v>
      </c>
      <c r="I627">
        <v>173</v>
      </c>
      <c r="J627">
        <v>2</v>
      </c>
      <c r="K627">
        <f>Fato_Producao[[#This Row],[embalagens_danificadas]]+Fato_Producao[[#This Row],[peso_errado]]+Fato_Producao[[#This Row],[impressao]]</f>
        <v>186</v>
      </c>
      <c r="L627" s="1" t="d">
        <v>2024-10-15</v>
      </c>
      <c r="M627">
        <v>8</v>
      </c>
      <c r="N627" s="7">
        <v>8.33</v>
      </c>
      <c r="O627" s="4" t="str">
        <f t="shared" si="27"/>
        <v>outubro</v>
      </c>
      <c r="P627" s="4">
        <f t="shared" si="28"/>
        <v>2024</v>
      </c>
      <c r="Q627" s="4" t="str">
        <f t="shared" si="29"/>
        <v/>
      </c>
      <c r="R627" t="s">
        <v>24</v>
      </c>
    </row>
    <row r="628" spans="1:18" x14ac:dyDescent="0.3">
      <c r="A628" s="1" t="d">
        <v>2024-10-24</v>
      </c>
      <c r="B628">
        <v>45510</v>
      </c>
      <c r="C628" t="str">
        <f>VLOOKUP(Fato_Producao[[#This Row],[referencia]], Dim_Produtos!A:B,2,FALSE)</f>
        <v>tiras pota</v>
      </c>
      <c r="D628">
        <v>3681</v>
      </c>
      <c r="E628">
        <v>3455</v>
      </c>
      <c r="F628" s="5">
        <v>6.1400000000000003E-2</v>
      </c>
      <c r="G628" s="6">
        <v>72.319999999999993</v>
      </c>
      <c r="H628">
        <v>24</v>
      </c>
      <c r="I628">
        <v>197</v>
      </c>
      <c r="J628">
        <v>5</v>
      </c>
      <c r="K628">
        <f>Fato_Producao[[#This Row],[embalagens_danificadas]]+Fato_Producao[[#This Row],[peso_errado]]+Fato_Producao[[#This Row],[impressao]]</f>
        <v>226</v>
      </c>
      <c r="L628" s="1" t="d">
        <v>2024-10-15</v>
      </c>
      <c r="M628">
        <v>9</v>
      </c>
      <c r="N628" s="7">
        <v>10.119999999999999</v>
      </c>
      <c r="O628" s="4" t="str">
        <f t="shared" si="27"/>
        <v>outubro</v>
      </c>
      <c r="P628" s="4">
        <f t="shared" si="28"/>
        <v>2024</v>
      </c>
      <c r="Q628" s="4" t="str">
        <f t="shared" si="29"/>
        <v/>
      </c>
      <c r="R628" t="s">
        <v>24</v>
      </c>
    </row>
    <row r="629" spans="1:18" x14ac:dyDescent="0.3">
      <c r="A629" s="1" t="d">
        <v>2024-10-24</v>
      </c>
      <c r="B629">
        <v>45505</v>
      </c>
      <c r="C629" t="str">
        <f>VLOOKUP(Fato_Producao[[#This Row],[referencia]], Dim_Produtos!A:B,2,FALSE)</f>
        <v>camarao</v>
      </c>
      <c r="D629">
        <v>2626</v>
      </c>
      <c r="E629">
        <v>2488</v>
      </c>
      <c r="F629" s="5">
        <v>5.2600000000000001E-2</v>
      </c>
      <c r="G629" s="6">
        <v>41.4</v>
      </c>
      <c r="H629">
        <v>36</v>
      </c>
      <c r="I629">
        <v>98</v>
      </c>
      <c r="J629">
        <v>4</v>
      </c>
      <c r="K629">
        <f>Fato_Producao[[#This Row],[embalagens_danificadas]]+Fato_Producao[[#This Row],[peso_errado]]+Fato_Producao[[#This Row],[impressao]]</f>
        <v>138</v>
      </c>
      <c r="L629" s="1" t="d">
        <v>2024-10-15</v>
      </c>
      <c r="M629">
        <v>9</v>
      </c>
      <c r="N629" s="7">
        <v>6.21</v>
      </c>
      <c r="O629" s="4" t="str">
        <f t="shared" si="27"/>
        <v>outubro</v>
      </c>
      <c r="P629" s="4">
        <f t="shared" si="28"/>
        <v>2024</v>
      </c>
      <c r="Q629" s="4" t="str">
        <f t="shared" si="29"/>
        <v/>
      </c>
      <c r="R629" t="s">
        <v>24</v>
      </c>
    </row>
    <row r="630" spans="1:18" x14ac:dyDescent="0.3">
      <c r="A630" s="1" t="d">
        <v>2024-10-25</v>
      </c>
      <c r="B630">
        <v>45506</v>
      </c>
      <c r="C630" t="str">
        <f>VLOOKUP(Fato_Producao[[#This Row],[referencia]], Dim_Produtos!A:B,2,FALSE)</f>
        <v>perca posta</v>
      </c>
      <c r="D630">
        <v>2374</v>
      </c>
      <c r="E630">
        <v>2257</v>
      </c>
      <c r="F630" s="5">
        <v>4.9299999999999997E-2</v>
      </c>
      <c r="G630" s="6">
        <v>40.950000000000003</v>
      </c>
      <c r="H630">
        <v>4</v>
      </c>
      <c r="I630">
        <v>111</v>
      </c>
      <c r="J630">
        <v>2</v>
      </c>
      <c r="K630">
        <f>Fato_Producao[[#This Row],[embalagens_danificadas]]+Fato_Producao[[#This Row],[peso_errado]]+Fato_Producao[[#This Row],[impressao]]</f>
        <v>117</v>
      </c>
      <c r="L630" s="1" t="d">
        <v>2024-10-15</v>
      </c>
      <c r="M630">
        <v>10</v>
      </c>
      <c r="N630" s="7">
        <v>6.14</v>
      </c>
      <c r="O630" s="4" t="str">
        <f t="shared" si="27"/>
        <v>outubro</v>
      </c>
      <c r="P630" s="4">
        <f t="shared" si="28"/>
        <v>2024</v>
      </c>
      <c r="Q630" s="4" t="str">
        <f t="shared" si="29"/>
        <v/>
      </c>
      <c r="R630" t="s">
        <v>24</v>
      </c>
    </row>
    <row r="631" spans="1:18" x14ac:dyDescent="0.3">
      <c r="A631" s="1" t="d">
        <v>2024-10-26</v>
      </c>
      <c r="B631">
        <v>45504</v>
      </c>
      <c r="C631" t="str">
        <f>VLOOKUP(Fato_Producao[[#This Row],[referencia]], Dim_Produtos!A:B,2,FALSE)</f>
        <v>pescada posta fritar</v>
      </c>
      <c r="D631">
        <v>2319</v>
      </c>
      <c r="E631">
        <v>2196</v>
      </c>
      <c r="F631" s="5">
        <v>5.2999999999999999E-2</v>
      </c>
      <c r="G631" s="6">
        <v>39.36</v>
      </c>
      <c r="H631">
        <v>8</v>
      </c>
      <c r="I631">
        <v>113</v>
      </c>
      <c r="J631">
        <v>2</v>
      </c>
      <c r="K631">
        <f>Fato_Producao[[#This Row],[embalagens_danificadas]]+Fato_Producao[[#This Row],[peso_errado]]+Fato_Producao[[#This Row],[impressao]]</f>
        <v>123</v>
      </c>
      <c r="L631" s="1" t="d">
        <v>2024-10-15</v>
      </c>
      <c r="M631">
        <v>11</v>
      </c>
      <c r="N631" s="7">
        <v>5.51</v>
      </c>
      <c r="O631" s="4" t="str">
        <f t="shared" si="27"/>
        <v>outubro</v>
      </c>
      <c r="P631" s="4">
        <f t="shared" si="28"/>
        <v>2024</v>
      </c>
      <c r="Q631" s="4" t="str">
        <f t="shared" si="29"/>
        <v/>
      </c>
      <c r="R631" t="s">
        <v>24</v>
      </c>
    </row>
    <row r="632" spans="1:18" x14ac:dyDescent="0.3">
      <c r="A632" s="1" t="d">
        <v>2024-10-27</v>
      </c>
      <c r="B632">
        <v>45511</v>
      </c>
      <c r="C632" t="str">
        <f>VLOOKUP(Fato_Producao[[#This Row],[referencia]], Dim_Produtos!A:B,2,FALSE)</f>
        <v>lula limpa</v>
      </c>
      <c r="D632">
        <v>2725</v>
      </c>
      <c r="E632">
        <v>2546</v>
      </c>
      <c r="F632" s="5">
        <v>6.5699999999999995E-2</v>
      </c>
      <c r="G632" s="6">
        <v>57.28</v>
      </c>
      <c r="H632">
        <v>25</v>
      </c>
      <c r="I632">
        <v>149</v>
      </c>
      <c r="J632">
        <v>5</v>
      </c>
      <c r="K632">
        <f>Fato_Producao[[#This Row],[embalagens_danificadas]]+Fato_Producao[[#This Row],[peso_errado]]+Fato_Producao[[#This Row],[impressao]]</f>
        <v>179</v>
      </c>
      <c r="L632" s="1" t="d">
        <v>2024-10-15</v>
      </c>
      <c r="M632">
        <v>12</v>
      </c>
      <c r="N632" s="7">
        <v>8.02</v>
      </c>
      <c r="O632" s="4" t="str">
        <f t="shared" si="27"/>
        <v>outubro</v>
      </c>
      <c r="P632" s="4">
        <f t="shared" si="28"/>
        <v>2024</v>
      </c>
      <c r="Q632" s="4" t="str">
        <f t="shared" si="29"/>
        <v/>
      </c>
      <c r="R632" t="s">
        <v>24</v>
      </c>
    </row>
    <row r="633" spans="1:18" x14ac:dyDescent="0.3">
      <c r="A633" s="1" t="d">
        <v>2024-10-28</v>
      </c>
      <c r="B633">
        <v>45514</v>
      </c>
      <c r="C633" t="str">
        <f>VLOOKUP(Fato_Producao[[#This Row],[referencia]], Dim_Produtos!A:B,2,FALSE)</f>
        <v>sardinha pequena</v>
      </c>
      <c r="D633">
        <v>2027</v>
      </c>
      <c r="E633">
        <v>1908</v>
      </c>
      <c r="F633" s="5">
        <v>5.8700000000000002E-2</v>
      </c>
      <c r="G633" s="6">
        <v>35.700000000000003</v>
      </c>
      <c r="H633">
        <v>5</v>
      </c>
      <c r="I633">
        <v>112</v>
      </c>
      <c r="J633">
        <v>2</v>
      </c>
      <c r="K633">
        <f>Fato_Producao[[#This Row],[embalagens_danificadas]]+Fato_Producao[[#This Row],[peso_errado]]+Fato_Producao[[#This Row],[impressao]]</f>
        <v>119</v>
      </c>
      <c r="L633" s="1" t="d">
        <v>2024-10-15</v>
      </c>
      <c r="M633">
        <v>13</v>
      </c>
      <c r="N633" s="7">
        <v>4.28</v>
      </c>
      <c r="O633" s="4" t="str">
        <f t="shared" si="27"/>
        <v>outubro</v>
      </c>
      <c r="P633" s="4">
        <f t="shared" si="28"/>
        <v>2024</v>
      </c>
      <c r="Q633" s="4" t="str">
        <f t="shared" si="29"/>
        <v/>
      </c>
      <c r="R633" t="s">
        <v>24</v>
      </c>
    </row>
    <row r="634" spans="1:18" x14ac:dyDescent="0.3">
      <c r="A634" s="1" t="d">
        <v>2024-10-28</v>
      </c>
      <c r="B634">
        <v>45504</v>
      </c>
      <c r="C634" t="str">
        <f>VLOOKUP(Fato_Producao[[#This Row],[referencia]], Dim_Produtos!A:B,2,FALSE)</f>
        <v>pescada posta fritar</v>
      </c>
      <c r="D634">
        <v>1863</v>
      </c>
      <c r="E634">
        <v>1740</v>
      </c>
      <c r="F634" s="5">
        <v>6.6000000000000003E-2</v>
      </c>
      <c r="G634" s="6">
        <v>39.36</v>
      </c>
      <c r="H634">
        <v>5</v>
      </c>
      <c r="I634">
        <v>116</v>
      </c>
      <c r="J634">
        <v>2</v>
      </c>
      <c r="K634">
        <f>Fato_Producao[[#This Row],[embalagens_danificadas]]+Fato_Producao[[#This Row],[peso_errado]]+Fato_Producao[[#This Row],[impressao]]</f>
        <v>123</v>
      </c>
      <c r="L634" s="1" t="d">
        <v>2024-10-15</v>
      </c>
      <c r="M634">
        <v>13</v>
      </c>
      <c r="N634" s="7">
        <v>5.51</v>
      </c>
      <c r="O634" s="4" t="str">
        <f t="shared" si="27"/>
        <v>outubro</v>
      </c>
      <c r="P634" s="4">
        <f t="shared" si="28"/>
        <v>2024</v>
      </c>
      <c r="Q634" s="4" t="str">
        <f t="shared" si="29"/>
        <v/>
      </c>
      <c r="R634" t="s">
        <v>24</v>
      </c>
    </row>
    <row r="635" spans="1:18" x14ac:dyDescent="0.3">
      <c r="A635" s="1" t="d">
        <v>2024-10-29</v>
      </c>
      <c r="B635">
        <v>45501</v>
      </c>
      <c r="C635" t="str">
        <f>VLOOKUP(Fato_Producao[[#This Row],[referencia]], Dim_Produtos!A:B,2,FALSE)</f>
        <v>pescada posta cozer</v>
      </c>
      <c r="D635">
        <v>2749</v>
      </c>
      <c r="E635">
        <v>2587</v>
      </c>
      <c r="F635" s="5">
        <v>5.8900000000000001E-2</v>
      </c>
      <c r="G635" s="6">
        <v>51.84</v>
      </c>
      <c r="H635">
        <v>63</v>
      </c>
      <c r="I635">
        <v>26</v>
      </c>
      <c r="J635">
        <v>73</v>
      </c>
      <c r="K635">
        <f>Fato_Producao[[#This Row],[embalagens_danificadas]]+Fato_Producao[[#This Row],[peso_errado]]+Fato_Producao[[#This Row],[impressao]]</f>
        <v>162</v>
      </c>
      <c r="L635" s="1" t="d">
        <v>2024-10-15</v>
      </c>
      <c r="M635">
        <v>14</v>
      </c>
      <c r="N635" s="7">
        <v>7.26</v>
      </c>
      <c r="O635" s="4" t="str">
        <f t="shared" si="27"/>
        <v>outubro</v>
      </c>
      <c r="P635" s="4">
        <f t="shared" si="28"/>
        <v>2024</v>
      </c>
      <c r="Q635" s="4" t="str">
        <f t="shared" si="29"/>
        <v/>
      </c>
      <c r="R635" t="s">
        <v>50</v>
      </c>
    </row>
    <row r="636" spans="1:18" x14ac:dyDescent="0.3">
      <c r="A636" s="1" t="d">
        <v>2024-10-29</v>
      </c>
      <c r="B636">
        <v>45512</v>
      </c>
      <c r="C636" t="str">
        <f>VLOOKUP(Fato_Producao[[#This Row],[referencia]], Dim_Produtos!A:B,2,FALSE)</f>
        <v>red-fish posta</v>
      </c>
      <c r="D636">
        <v>2629</v>
      </c>
      <c r="E636">
        <v>2521</v>
      </c>
      <c r="F636" s="5">
        <v>4.1099999999999998E-2</v>
      </c>
      <c r="G636" s="6">
        <v>36.72</v>
      </c>
      <c r="H636">
        <v>7</v>
      </c>
      <c r="I636">
        <v>99</v>
      </c>
      <c r="J636">
        <v>2</v>
      </c>
      <c r="K636">
        <f>Fato_Producao[[#This Row],[embalagens_danificadas]]+Fato_Producao[[#This Row],[peso_errado]]+Fato_Producao[[#This Row],[impressao]]</f>
        <v>108</v>
      </c>
      <c r="L636" s="1" t="d">
        <v>2024-10-15</v>
      </c>
      <c r="M636">
        <v>14</v>
      </c>
      <c r="N636" s="7">
        <v>5.14</v>
      </c>
      <c r="O636" s="4" t="str">
        <f t="shared" si="27"/>
        <v>outubro</v>
      </c>
      <c r="P636" s="4">
        <f t="shared" si="28"/>
        <v>2024</v>
      </c>
      <c r="Q636" s="4" t="str">
        <f t="shared" si="29"/>
        <v/>
      </c>
      <c r="R636" t="s">
        <v>24</v>
      </c>
    </row>
    <row r="637" spans="1:18" x14ac:dyDescent="0.3">
      <c r="A637" s="1" t="d">
        <v>2024-10-30</v>
      </c>
      <c r="B637">
        <v>45514</v>
      </c>
      <c r="C637" t="str">
        <f>VLOOKUP(Fato_Producao[[#This Row],[referencia]], Dim_Produtos!A:B,2,FALSE)</f>
        <v>sardinha pequena</v>
      </c>
      <c r="D637">
        <v>1947</v>
      </c>
      <c r="E637">
        <v>1827</v>
      </c>
      <c r="F637" s="5">
        <v>6.1600000000000002E-2</v>
      </c>
      <c r="G637" s="6">
        <v>36</v>
      </c>
      <c r="H637">
        <v>4</v>
      </c>
      <c r="I637">
        <v>114</v>
      </c>
      <c r="J637">
        <v>2</v>
      </c>
      <c r="K637">
        <f>Fato_Producao[[#This Row],[embalagens_danificadas]]+Fato_Producao[[#This Row],[peso_errado]]+Fato_Producao[[#This Row],[impressao]]</f>
        <v>120</v>
      </c>
      <c r="L637" s="1" t="d">
        <v>2024-10-15</v>
      </c>
      <c r="M637">
        <v>15</v>
      </c>
      <c r="N637" s="7">
        <v>4.32</v>
      </c>
      <c r="O637" s="4" t="str">
        <f t="shared" si="27"/>
        <v>outubro</v>
      </c>
      <c r="P637" s="4">
        <f t="shared" si="28"/>
        <v>2024</v>
      </c>
      <c r="Q637" s="4" t="str">
        <f t="shared" si="29"/>
        <v/>
      </c>
      <c r="R637" t="s">
        <v>24</v>
      </c>
    </row>
    <row r="638" spans="1:18" x14ac:dyDescent="0.3">
      <c r="A638" s="1" t="d">
        <v>2024-10-30</v>
      </c>
      <c r="B638">
        <v>45503</v>
      </c>
      <c r="C638" t="str">
        <f>VLOOKUP(Fato_Producao[[#This Row],[referencia]], Dim_Produtos!A:B,2,FALSE)</f>
        <v>sardinha pequena</v>
      </c>
      <c r="D638">
        <v>3678</v>
      </c>
      <c r="E638">
        <v>3466</v>
      </c>
      <c r="F638" s="5">
        <v>5.7599999999999998E-2</v>
      </c>
      <c r="G638" s="6">
        <v>55.12</v>
      </c>
      <c r="H638">
        <v>14</v>
      </c>
      <c r="I638">
        <v>196</v>
      </c>
      <c r="J638">
        <v>2</v>
      </c>
      <c r="K638">
        <f>Fato_Producao[[#This Row],[embalagens_danificadas]]+Fato_Producao[[#This Row],[peso_errado]]+Fato_Producao[[#This Row],[impressao]]</f>
        <v>212</v>
      </c>
      <c r="L638" s="1" t="d">
        <v>2024-10-15</v>
      </c>
      <c r="M638">
        <v>15</v>
      </c>
      <c r="N638" s="7">
        <v>6.06</v>
      </c>
      <c r="O638" s="4" t="str">
        <f t="shared" si="27"/>
        <v>outubro</v>
      </c>
      <c r="P638" s="4">
        <f t="shared" si="28"/>
        <v>2024</v>
      </c>
      <c r="Q638" s="4" t="str">
        <f t="shared" si="29"/>
        <v/>
      </c>
      <c r="R638" t="s">
        <v>24</v>
      </c>
    </row>
    <row r="639" spans="1:18" x14ac:dyDescent="0.3">
      <c r="A639" s="1" t="d">
        <v>2024-10-31</v>
      </c>
      <c r="B639">
        <v>45509</v>
      </c>
      <c r="C639" t="str">
        <f>VLOOKUP(Fato_Producao[[#This Row],[referencia]], Dim_Produtos!A:B,2,FALSE)</f>
        <v>lascas bacalhau</v>
      </c>
      <c r="D639">
        <v>3430</v>
      </c>
      <c r="E639">
        <v>3157</v>
      </c>
      <c r="F639" s="5">
        <v>7.9600000000000004E-2</v>
      </c>
      <c r="G639" s="6">
        <v>76.44</v>
      </c>
      <c r="H639">
        <v>4</v>
      </c>
      <c r="I639">
        <v>262</v>
      </c>
      <c r="J639">
        <v>7</v>
      </c>
      <c r="K639">
        <f>Fato_Producao[[#This Row],[embalagens_danificadas]]+Fato_Producao[[#This Row],[peso_errado]]+Fato_Producao[[#This Row],[impressao]]</f>
        <v>273</v>
      </c>
      <c r="L639" s="1" t="d">
        <v>2024-10-15</v>
      </c>
      <c r="M639">
        <v>16</v>
      </c>
      <c r="N639" s="7">
        <v>9.94</v>
      </c>
      <c r="O639" s="4" t="str">
        <f t="shared" si="27"/>
        <v>outubro</v>
      </c>
      <c r="P639" s="4">
        <f t="shared" si="28"/>
        <v>2024</v>
      </c>
      <c r="Q639" s="4" t="str">
        <f t="shared" si="29"/>
        <v/>
      </c>
      <c r="R639" t="s">
        <v>24</v>
      </c>
    </row>
    <row r="640" spans="1:18" x14ac:dyDescent="0.3">
      <c r="A640" s="1" t="d">
        <v>2024-10-31</v>
      </c>
      <c r="B640">
        <v>45502</v>
      </c>
      <c r="C640" t="str">
        <f>VLOOKUP(Fato_Producao[[#This Row],[referencia]], Dim_Produtos!A:B,2,FALSE)</f>
        <v>carapau pelim</v>
      </c>
      <c r="D640">
        <v>3676</v>
      </c>
      <c r="E640">
        <v>3447</v>
      </c>
      <c r="F640" s="5">
        <v>6.2300000000000001E-2</v>
      </c>
      <c r="G640" s="6">
        <v>68.7</v>
      </c>
      <c r="H640">
        <v>61</v>
      </c>
      <c r="I640">
        <v>163</v>
      </c>
      <c r="J640">
        <v>5</v>
      </c>
      <c r="K640">
        <f>Fato_Producao[[#This Row],[embalagens_danificadas]]+Fato_Producao[[#This Row],[peso_errado]]+Fato_Producao[[#This Row],[impressao]]</f>
        <v>229</v>
      </c>
      <c r="L640" s="1" t="d">
        <v>2024-10-15</v>
      </c>
      <c r="M640">
        <v>16</v>
      </c>
      <c r="N640" s="7">
        <v>8.93</v>
      </c>
      <c r="O640" s="4" t="str">
        <f t="shared" si="27"/>
        <v>outubro</v>
      </c>
      <c r="P640" s="4">
        <f t="shared" si="28"/>
        <v>2024</v>
      </c>
      <c r="Q640" s="4" t="str">
        <f t="shared" si="29"/>
        <v/>
      </c>
      <c r="R640" t="s">
        <v>24</v>
      </c>
    </row>
    <row r="641" spans="1:18" x14ac:dyDescent="0.3">
      <c r="A641" s="1" t="d">
        <v>2024-11-01</v>
      </c>
      <c r="B641">
        <v>45511</v>
      </c>
      <c r="C641" t="str">
        <f>VLOOKUP(Fato_Producao[[#This Row],[referencia]], Dim_Produtos!A:B,2,FALSE)</f>
        <v>lula limpa</v>
      </c>
      <c r="D641">
        <v>3687</v>
      </c>
      <c r="E641">
        <v>3369</v>
      </c>
      <c r="F641" s="5">
        <v>8.6199999999999999E-2</v>
      </c>
      <c r="G641" s="6">
        <v>101.76</v>
      </c>
      <c r="H641">
        <v>30</v>
      </c>
      <c r="I641">
        <v>279</v>
      </c>
      <c r="J641">
        <v>9</v>
      </c>
      <c r="K641">
        <f>Fato_Producao[[#This Row],[embalagens_danificadas]]+Fato_Producao[[#This Row],[peso_errado]]+Fato_Producao[[#This Row],[impressao]]</f>
        <v>318</v>
      </c>
      <c r="L641" s="1" t="d">
        <v>2024-10-15</v>
      </c>
      <c r="M641">
        <v>17</v>
      </c>
      <c r="N641" s="7">
        <v>14.25</v>
      </c>
      <c r="O641" s="4" t="str">
        <f t="shared" si="27"/>
        <v>novembro</v>
      </c>
      <c r="P641" s="4">
        <f t="shared" si="28"/>
        <v>2024</v>
      </c>
      <c r="Q641" s="4" t="str">
        <f t="shared" si="29"/>
        <v/>
      </c>
      <c r="R641" t="s">
        <v>24</v>
      </c>
    </row>
    <row r="642" spans="1:18" x14ac:dyDescent="0.3">
      <c r="A642" s="1" t="d">
        <v>2024-11-01</v>
      </c>
      <c r="B642">
        <v>45510</v>
      </c>
      <c r="C642" t="str">
        <f>VLOOKUP(Fato_Producao[[#This Row],[referencia]], Dim_Produtos!A:B,2,FALSE)</f>
        <v>tiras pota</v>
      </c>
      <c r="D642">
        <v>3976</v>
      </c>
      <c r="E642">
        <v>3639</v>
      </c>
      <c r="F642" s="5">
        <v>8.48E-2</v>
      </c>
      <c r="G642" s="6">
        <v>107.84</v>
      </c>
      <c r="H642">
        <v>38</v>
      </c>
      <c r="I642">
        <v>292</v>
      </c>
      <c r="J642">
        <v>7</v>
      </c>
      <c r="K642">
        <f>Fato_Producao[[#This Row],[embalagens_danificadas]]+Fato_Producao[[#This Row],[peso_errado]]+Fato_Producao[[#This Row],[impressao]]</f>
        <v>337</v>
      </c>
      <c r="L642" s="1" t="d">
        <v>2024-10-15</v>
      </c>
      <c r="M642">
        <v>17</v>
      </c>
      <c r="N642" s="7">
        <v>15.1</v>
      </c>
      <c r="O642" s="4" t="str">
        <f t="shared" ref="O642:O705" si="30">TEXT(A642, "mmmm")</f>
        <v>novembro</v>
      </c>
      <c r="P642" s="4">
        <f t="shared" ref="P642:P705" si="31">YEAR(A642)</f>
        <v>2024</v>
      </c>
      <c r="Q642" s="4" t="str">
        <f t="shared" ref="Q642:Q705" si="32">IF(M643 &gt;= M642, "", M642)</f>
        <v/>
      </c>
      <c r="R642" t="s">
        <v>24</v>
      </c>
    </row>
    <row r="643" spans="1:18" x14ac:dyDescent="0.3">
      <c r="A643" s="1" t="d">
        <v>2024-11-02</v>
      </c>
      <c r="B643">
        <v>45514</v>
      </c>
      <c r="C643" t="str">
        <f>VLOOKUP(Fato_Producao[[#This Row],[referencia]], Dim_Produtos!A:B,2,FALSE)</f>
        <v>sardinha pequena</v>
      </c>
      <c r="D643">
        <v>3004</v>
      </c>
      <c r="E643">
        <v>2706</v>
      </c>
      <c r="F643" s="5">
        <v>9.9199999999999997E-2</v>
      </c>
      <c r="G643" s="6">
        <v>89.4</v>
      </c>
      <c r="H643">
        <v>15</v>
      </c>
      <c r="I643">
        <v>275</v>
      </c>
      <c r="J643">
        <v>8</v>
      </c>
      <c r="K643">
        <f>Fato_Producao[[#This Row],[embalagens_danificadas]]+Fato_Producao[[#This Row],[peso_errado]]+Fato_Producao[[#This Row],[impressao]]</f>
        <v>298</v>
      </c>
      <c r="L643" s="1" t="d">
        <v>2024-10-15</v>
      </c>
      <c r="M643">
        <v>18</v>
      </c>
      <c r="N643" s="7">
        <v>10.73</v>
      </c>
      <c r="O643" s="4" t="str">
        <f t="shared" si="30"/>
        <v>novembro</v>
      </c>
      <c r="P643" s="4">
        <f t="shared" si="31"/>
        <v>2024</v>
      </c>
      <c r="Q643" s="4" t="str">
        <f t="shared" si="32"/>
        <v/>
      </c>
      <c r="R643" t="s">
        <v>24</v>
      </c>
    </row>
    <row r="644" spans="1:18" x14ac:dyDescent="0.3">
      <c r="A644" s="1" t="d">
        <v>2024-11-03</v>
      </c>
      <c r="B644">
        <v>45509</v>
      </c>
      <c r="C644" t="str">
        <f>VLOOKUP(Fato_Producao[[#This Row],[referencia]], Dim_Produtos!A:B,2,FALSE)</f>
        <v>lascas bacalhau</v>
      </c>
      <c r="D644">
        <v>2617</v>
      </c>
      <c r="E644">
        <v>2413</v>
      </c>
      <c r="F644" s="5">
        <v>7.8E-2</v>
      </c>
      <c r="G644" s="6">
        <v>57.12</v>
      </c>
      <c r="H644">
        <v>7</v>
      </c>
      <c r="I644">
        <v>193</v>
      </c>
      <c r="J644">
        <v>4</v>
      </c>
      <c r="K644">
        <f>Fato_Producao[[#This Row],[embalagens_danificadas]]+Fato_Producao[[#This Row],[peso_errado]]+Fato_Producao[[#This Row],[impressao]]</f>
        <v>204</v>
      </c>
      <c r="L644" s="1" t="d">
        <v>2024-10-15</v>
      </c>
      <c r="M644">
        <v>19</v>
      </c>
      <c r="N644" s="7">
        <v>7.43</v>
      </c>
      <c r="O644" s="4" t="str">
        <f t="shared" si="30"/>
        <v>novembro</v>
      </c>
      <c r="P644" s="4">
        <f t="shared" si="31"/>
        <v>2024</v>
      </c>
      <c r="Q644" s="4" t="str">
        <f t="shared" si="32"/>
        <v/>
      </c>
      <c r="R644" t="s">
        <v>24</v>
      </c>
    </row>
    <row r="645" spans="1:18" x14ac:dyDescent="0.3">
      <c r="A645" s="1" t="d">
        <v>2024-11-04</v>
      </c>
      <c r="B645">
        <v>45501</v>
      </c>
      <c r="C645" t="str">
        <f>VLOOKUP(Fato_Producao[[#This Row],[referencia]], Dim_Produtos!A:B,2,FALSE)</f>
        <v>pescada posta cozer</v>
      </c>
      <c r="D645">
        <v>3877</v>
      </c>
      <c r="E645">
        <v>3601</v>
      </c>
      <c r="F645" s="5">
        <v>7.1199999999999999E-2</v>
      </c>
      <c r="G645" s="6">
        <v>88.32</v>
      </c>
      <c r="H645">
        <v>20</v>
      </c>
      <c r="I645">
        <v>253</v>
      </c>
      <c r="J645">
        <v>3</v>
      </c>
      <c r="K645">
        <f>Fato_Producao[[#This Row],[embalagens_danificadas]]+Fato_Producao[[#This Row],[peso_errado]]+Fato_Producao[[#This Row],[impressao]]</f>
        <v>276</v>
      </c>
      <c r="L645" s="1" t="d">
        <v>2024-10-15</v>
      </c>
      <c r="M645">
        <v>20</v>
      </c>
      <c r="N645" s="7">
        <v>12.36</v>
      </c>
      <c r="O645" s="4" t="str">
        <f t="shared" si="30"/>
        <v>novembro</v>
      </c>
      <c r="P645" s="4">
        <f t="shared" si="31"/>
        <v>2024</v>
      </c>
      <c r="Q645" s="4" t="str">
        <f t="shared" si="32"/>
        <v/>
      </c>
      <c r="R645" t="s">
        <v>24</v>
      </c>
    </row>
    <row r="646" spans="1:18" x14ac:dyDescent="0.3">
      <c r="A646" s="1" t="d">
        <v>2024-11-04</v>
      </c>
      <c r="B646">
        <v>45509</v>
      </c>
      <c r="C646" t="str">
        <f>VLOOKUP(Fato_Producao[[#This Row],[referencia]], Dim_Produtos!A:B,2,FALSE)</f>
        <v>lascas bacalhau</v>
      </c>
      <c r="D646">
        <v>2243</v>
      </c>
      <c r="E646">
        <v>2090</v>
      </c>
      <c r="F646" s="5">
        <v>6.8199999999999997E-2</v>
      </c>
      <c r="G646" s="6">
        <v>42.84</v>
      </c>
      <c r="H646">
        <v>7</v>
      </c>
      <c r="I646">
        <v>144</v>
      </c>
      <c r="J646">
        <v>2</v>
      </c>
      <c r="K646">
        <f>Fato_Producao[[#This Row],[embalagens_danificadas]]+Fato_Producao[[#This Row],[peso_errado]]+Fato_Producao[[#This Row],[impressao]]</f>
        <v>153</v>
      </c>
      <c r="L646" s="1" t="d">
        <v>2024-10-15</v>
      </c>
      <c r="M646">
        <v>20</v>
      </c>
      <c r="N646" s="7">
        <v>5.57</v>
      </c>
      <c r="O646" s="4" t="str">
        <f t="shared" si="30"/>
        <v>novembro</v>
      </c>
      <c r="P646" s="4">
        <f t="shared" si="31"/>
        <v>2024</v>
      </c>
      <c r="Q646" s="4" t="str">
        <f t="shared" si="32"/>
        <v/>
      </c>
      <c r="R646" t="s">
        <v>24</v>
      </c>
    </row>
    <row r="647" spans="1:18" x14ac:dyDescent="0.3">
      <c r="A647" s="1" t="d">
        <v>2024-11-05</v>
      </c>
      <c r="B647">
        <v>45512</v>
      </c>
      <c r="C647" t="str">
        <f>VLOOKUP(Fato_Producao[[#This Row],[referencia]], Dim_Produtos!A:B,2,FALSE)</f>
        <v>red-fish posta</v>
      </c>
      <c r="D647">
        <v>1984</v>
      </c>
      <c r="E647">
        <v>1858</v>
      </c>
      <c r="F647" s="5">
        <v>6.3500000000000001E-2</v>
      </c>
      <c r="G647" s="6">
        <v>42.84</v>
      </c>
      <c r="H647">
        <v>8</v>
      </c>
      <c r="I647">
        <v>115</v>
      </c>
      <c r="J647">
        <v>3</v>
      </c>
      <c r="K647">
        <f>Fato_Producao[[#This Row],[embalagens_danificadas]]+Fato_Producao[[#This Row],[peso_errado]]+Fato_Producao[[#This Row],[impressao]]</f>
        <v>126</v>
      </c>
      <c r="L647" s="1" t="d">
        <v>2024-10-15</v>
      </c>
      <c r="M647">
        <v>21</v>
      </c>
      <c r="N647" s="7">
        <v>6</v>
      </c>
      <c r="O647" s="4" t="str">
        <f t="shared" si="30"/>
        <v>novembro</v>
      </c>
      <c r="P647" s="4">
        <f t="shared" si="31"/>
        <v>2024</v>
      </c>
      <c r="Q647" s="4" t="str">
        <f t="shared" si="32"/>
        <v/>
      </c>
      <c r="R647" t="s">
        <v>24</v>
      </c>
    </row>
    <row r="648" spans="1:18" x14ac:dyDescent="0.3">
      <c r="A648" s="1" t="d">
        <v>2024-11-05</v>
      </c>
      <c r="B648">
        <v>45501</v>
      </c>
      <c r="C648" t="str">
        <f>VLOOKUP(Fato_Producao[[#This Row],[referencia]], Dim_Produtos!A:B,2,FALSE)</f>
        <v>pescada posta cozer</v>
      </c>
      <c r="D648">
        <v>3297</v>
      </c>
      <c r="E648">
        <v>3127</v>
      </c>
      <c r="F648" s="5">
        <v>5.16E-2</v>
      </c>
      <c r="G648" s="6">
        <v>54.4</v>
      </c>
      <c r="H648">
        <v>11</v>
      </c>
      <c r="I648">
        <v>155</v>
      </c>
      <c r="J648">
        <v>4</v>
      </c>
      <c r="K648">
        <f>Fato_Producao[[#This Row],[embalagens_danificadas]]+Fato_Producao[[#This Row],[peso_errado]]+Fato_Producao[[#This Row],[impressao]]</f>
        <v>170</v>
      </c>
      <c r="L648" s="1" t="d">
        <v>2024-10-15</v>
      </c>
      <c r="M648">
        <v>21</v>
      </c>
      <c r="N648" s="7">
        <v>7.62</v>
      </c>
      <c r="O648" s="4" t="str">
        <f t="shared" si="30"/>
        <v>novembro</v>
      </c>
      <c r="P648" s="4">
        <f t="shared" si="31"/>
        <v>2024</v>
      </c>
      <c r="Q648" s="4" t="str">
        <f t="shared" si="32"/>
        <v/>
      </c>
      <c r="R648" t="s">
        <v>24</v>
      </c>
    </row>
    <row r="649" spans="1:18" x14ac:dyDescent="0.3">
      <c r="A649" s="1" t="d">
        <v>2024-11-06</v>
      </c>
      <c r="B649">
        <v>45503</v>
      </c>
      <c r="C649" t="str">
        <f>VLOOKUP(Fato_Producao[[#This Row],[referencia]], Dim_Produtos!A:B,2,FALSE)</f>
        <v>sardinha pequena</v>
      </c>
      <c r="D649">
        <v>1859</v>
      </c>
      <c r="E649">
        <v>1695</v>
      </c>
      <c r="F649" s="5">
        <v>8.8200000000000001E-2</v>
      </c>
      <c r="G649" s="6">
        <v>42.64</v>
      </c>
      <c r="H649">
        <v>5</v>
      </c>
      <c r="I649">
        <v>155</v>
      </c>
      <c r="J649">
        <v>4</v>
      </c>
      <c r="K649">
        <f>Fato_Producao[[#This Row],[embalagens_danificadas]]+Fato_Producao[[#This Row],[peso_errado]]+Fato_Producao[[#This Row],[impressao]]</f>
        <v>164</v>
      </c>
      <c r="L649" s="1" t="d">
        <v>2024-10-15</v>
      </c>
      <c r="M649">
        <v>22</v>
      </c>
      <c r="N649" s="7">
        <v>4.6900000000000004</v>
      </c>
      <c r="O649" s="4" t="str">
        <f t="shared" si="30"/>
        <v>novembro</v>
      </c>
      <c r="P649" s="4">
        <f t="shared" si="31"/>
        <v>2024</v>
      </c>
      <c r="Q649" s="4" t="str">
        <f t="shared" si="32"/>
        <v/>
      </c>
      <c r="R649" t="s">
        <v>24</v>
      </c>
    </row>
    <row r="650" spans="1:18" x14ac:dyDescent="0.3">
      <c r="A650" s="1" t="d">
        <v>2024-11-06</v>
      </c>
      <c r="B650">
        <v>45505</v>
      </c>
      <c r="C650" t="str">
        <f>VLOOKUP(Fato_Producao[[#This Row],[referencia]], Dim_Produtos!A:B,2,FALSE)</f>
        <v>camarao</v>
      </c>
      <c r="D650">
        <v>2722</v>
      </c>
      <c r="E650">
        <v>2496</v>
      </c>
      <c r="F650" s="5">
        <v>8.3000000000000004E-2</v>
      </c>
      <c r="G650" s="6">
        <v>67.8</v>
      </c>
      <c r="H650">
        <v>66</v>
      </c>
      <c r="I650">
        <v>154</v>
      </c>
      <c r="J650">
        <v>6</v>
      </c>
      <c r="K650">
        <f>Fato_Producao[[#This Row],[embalagens_danificadas]]+Fato_Producao[[#This Row],[peso_errado]]+Fato_Producao[[#This Row],[impressao]]</f>
        <v>226</v>
      </c>
      <c r="L650" s="1" t="d">
        <v>2024-10-15</v>
      </c>
      <c r="M650">
        <v>22</v>
      </c>
      <c r="N650" s="7">
        <v>10.17</v>
      </c>
      <c r="O650" s="4" t="str">
        <f t="shared" si="30"/>
        <v>novembro</v>
      </c>
      <c r="P650" s="4">
        <f t="shared" si="31"/>
        <v>2024</v>
      </c>
      <c r="Q650" s="4" t="str">
        <f t="shared" si="32"/>
        <v/>
      </c>
      <c r="R650" t="s">
        <v>24</v>
      </c>
    </row>
    <row r="651" spans="1:18" x14ac:dyDescent="0.3">
      <c r="A651" s="1" t="d">
        <v>2024-11-07</v>
      </c>
      <c r="B651">
        <v>45506</v>
      </c>
      <c r="C651" t="str">
        <f>VLOOKUP(Fato_Producao[[#This Row],[referencia]], Dim_Produtos!A:B,2,FALSE)</f>
        <v>perca posta</v>
      </c>
      <c r="D651">
        <v>2079</v>
      </c>
      <c r="E651">
        <v>1941</v>
      </c>
      <c r="F651" s="5">
        <v>6.6400000000000001E-2</v>
      </c>
      <c r="G651" s="6">
        <v>48.3</v>
      </c>
      <c r="H651">
        <v>5</v>
      </c>
      <c r="I651">
        <v>129</v>
      </c>
      <c r="J651">
        <v>4</v>
      </c>
      <c r="K651">
        <f>Fato_Producao[[#This Row],[embalagens_danificadas]]+Fato_Producao[[#This Row],[peso_errado]]+Fato_Producao[[#This Row],[impressao]]</f>
        <v>138</v>
      </c>
      <c r="L651" s="1" t="d">
        <v>2024-10-15</v>
      </c>
      <c r="M651">
        <v>23</v>
      </c>
      <c r="N651" s="7">
        <v>7.24</v>
      </c>
      <c r="O651" s="4" t="str">
        <f t="shared" si="30"/>
        <v>novembro</v>
      </c>
      <c r="P651" s="4">
        <f t="shared" si="31"/>
        <v>2024</v>
      </c>
      <c r="Q651" s="4" t="str">
        <f t="shared" si="32"/>
        <v/>
      </c>
      <c r="R651" t="s">
        <v>24</v>
      </c>
    </row>
    <row r="652" spans="1:18" x14ac:dyDescent="0.3">
      <c r="A652" s="1" t="d">
        <v>2024-11-08</v>
      </c>
      <c r="B652">
        <v>45501</v>
      </c>
      <c r="C652" t="str">
        <f>VLOOKUP(Fato_Producao[[#This Row],[referencia]], Dim_Produtos!A:B,2,FALSE)</f>
        <v>pescada posta cozer</v>
      </c>
      <c r="D652">
        <v>2951</v>
      </c>
      <c r="E652">
        <v>2718</v>
      </c>
      <c r="F652" s="5">
        <v>7.9000000000000001E-2</v>
      </c>
      <c r="G652" s="6">
        <v>74.56</v>
      </c>
      <c r="H652">
        <v>10</v>
      </c>
      <c r="I652">
        <v>219</v>
      </c>
      <c r="J652">
        <v>4</v>
      </c>
      <c r="K652">
        <f>Fato_Producao[[#This Row],[embalagens_danificadas]]+Fato_Producao[[#This Row],[peso_errado]]+Fato_Producao[[#This Row],[impressao]]</f>
        <v>233</v>
      </c>
      <c r="L652" s="1" t="d">
        <v>2024-10-15</v>
      </c>
      <c r="M652">
        <v>24</v>
      </c>
      <c r="N652" s="7">
        <v>10.44</v>
      </c>
      <c r="O652" s="4" t="str">
        <f t="shared" si="30"/>
        <v>novembro</v>
      </c>
      <c r="P652" s="4">
        <f t="shared" si="31"/>
        <v>2024</v>
      </c>
      <c r="Q652" s="4" t="str">
        <f t="shared" si="32"/>
        <v/>
      </c>
      <c r="R652" t="s">
        <v>24</v>
      </c>
    </row>
    <row r="653" spans="1:18" x14ac:dyDescent="0.3">
      <c r="A653" s="1" t="d">
        <v>2024-11-09</v>
      </c>
      <c r="B653">
        <v>45503</v>
      </c>
      <c r="C653" t="str">
        <f>VLOOKUP(Fato_Producao[[#This Row],[referencia]], Dim_Produtos!A:B,2,FALSE)</f>
        <v>sardinha pequena</v>
      </c>
      <c r="D653">
        <v>4141</v>
      </c>
      <c r="E653">
        <v>3806</v>
      </c>
      <c r="F653" s="5">
        <v>8.09E-2</v>
      </c>
      <c r="G653" s="6">
        <v>87.1</v>
      </c>
      <c r="H653">
        <v>25</v>
      </c>
      <c r="I653">
        <v>305</v>
      </c>
      <c r="J653">
        <v>5</v>
      </c>
      <c r="K653">
        <f>Fato_Producao[[#This Row],[embalagens_danificadas]]+Fato_Producao[[#This Row],[peso_errado]]+Fato_Producao[[#This Row],[impressao]]</f>
        <v>335</v>
      </c>
      <c r="L653" s="1" t="d">
        <v>2024-10-15</v>
      </c>
      <c r="M653">
        <v>25</v>
      </c>
      <c r="N653" s="7">
        <v>9.58</v>
      </c>
      <c r="O653" s="4" t="str">
        <f t="shared" si="30"/>
        <v>novembro</v>
      </c>
      <c r="P653" s="4">
        <f t="shared" si="31"/>
        <v>2024</v>
      </c>
      <c r="Q653" s="4" t="str">
        <f t="shared" si="32"/>
        <v/>
      </c>
      <c r="R653" t="s">
        <v>24</v>
      </c>
    </row>
    <row r="654" spans="1:18" x14ac:dyDescent="0.3">
      <c r="A654" s="1" t="d">
        <v>2024-11-09</v>
      </c>
      <c r="B654">
        <v>45510</v>
      </c>
      <c r="C654" t="str">
        <f>VLOOKUP(Fato_Producao[[#This Row],[referencia]], Dim_Produtos!A:B,2,FALSE)</f>
        <v>tiras pota</v>
      </c>
      <c r="D654">
        <v>2764</v>
      </c>
      <c r="E654">
        <v>2494</v>
      </c>
      <c r="F654" s="5">
        <v>9.7699999999999995E-2</v>
      </c>
      <c r="G654" s="6">
        <v>86.4</v>
      </c>
      <c r="H654">
        <v>22</v>
      </c>
      <c r="I654">
        <v>241</v>
      </c>
      <c r="J654">
        <v>7</v>
      </c>
      <c r="K654">
        <f>Fato_Producao[[#This Row],[embalagens_danificadas]]+Fato_Producao[[#This Row],[peso_errado]]+Fato_Producao[[#This Row],[impressao]]</f>
        <v>270</v>
      </c>
      <c r="L654" s="1" t="d">
        <v>2024-10-15</v>
      </c>
      <c r="M654">
        <v>25</v>
      </c>
      <c r="N654" s="7">
        <v>12.1</v>
      </c>
      <c r="O654" s="4" t="str">
        <f t="shared" si="30"/>
        <v>novembro</v>
      </c>
      <c r="P654" s="4">
        <f t="shared" si="31"/>
        <v>2024</v>
      </c>
      <c r="Q654" s="4" t="str">
        <f t="shared" si="32"/>
        <v/>
      </c>
      <c r="R654" t="s">
        <v>24</v>
      </c>
    </row>
    <row r="655" spans="1:18" x14ac:dyDescent="0.3">
      <c r="A655" s="1" t="d">
        <v>2024-11-10</v>
      </c>
      <c r="B655">
        <v>45512</v>
      </c>
      <c r="C655" t="str">
        <f>VLOOKUP(Fato_Producao[[#This Row],[referencia]], Dim_Produtos!A:B,2,FALSE)</f>
        <v>red-fish posta</v>
      </c>
      <c r="D655">
        <v>4164</v>
      </c>
      <c r="E655">
        <v>3839</v>
      </c>
      <c r="F655" s="5">
        <v>7.8E-2</v>
      </c>
      <c r="G655" s="6">
        <v>110.5</v>
      </c>
      <c r="H655">
        <v>23</v>
      </c>
      <c r="I655">
        <v>298</v>
      </c>
      <c r="J655">
        <v>4</v>
      </c>
      <c r="K655">
        <f>Fato_Producao[[#This Row],[embalagens_danificadas]]+Fato_Producao[[#This Row],[peso_errado]]+Fato_Producao[[#This Row],[impressao]]</f>
        <v>325</v>
      </c>
      <c r="L655" s="1" t="d">
        <v>2024-10-15</v>
      </c>
      <c r="M655">
        <v>26</v>
      </c>
      <c r="N655" s="7">
        <v>15.47</v>
      </c>
      <c r="O655" s="4" t="str">
        <f t="shared" si="30"/>
        <v>novembro</v>
      </c>
      <c r="P655" s="4">
        <f t="shared" si="31"/>
        <v>2024</v>
      </c>
      <c r="Q655" s="4" t="str">
        <f t="shared" si="32"/>
        <v/>
      </c>
      <c r="R655" t="s">
        <v>24</v>
      </c>
    </row>
    <row r="656" spans="1:18" x14ac:dyDescent="0.3">
      <c r="A656" s="1" t="d">
        <v>2024-11-11</v>
      </c>
      <c r="B656">
        <v>45514</v>
      </c>
      <c r="C656" t="str">
        <f>VLOOKUP(Fato_Producao[[#This Row],[referencia]], Dim_Produtos!A:B,2,FALSE)</f>
        <v>sardinha pequena</v>
      </c>
      <c r="D656">
        <v>2355</v>
      </c>
      <c r="E656">
        <v>2179</v>
      </c>
      <c r="F656" s="5">
        <v>7.4700000000000003E-2</v>
      </c>
      <c r="G656" s="6">
        <v>52.8</v>
      </c>
      <c r="H656">
        <v>4</v>
      </c>
      <c r="I656">
        <v>167</v>
      </c>
      <c r="J656">
        <v>5</v>
      </c>
      <c r="K656">
        <f>Fato_Producao[[#This Row],[embalagens_danificadas]]+Fato_Producao[[#This Row],[peso_errado]]+Fato_Producao[[#This Row],[impressao]]</f>
        <v>176</v>
      </c>
      <c r="L656" s="1" t="d">
        <v>2024-10-15</v>
      </c>
      <c r="M656">
        <v>27</v>
      </c>
      <c r="N656" s="7">
        <v>6.34</v>
      </c>
      <c r="O656" s="4" t="str">
        <f t="shared" si="30"/>
        <v>novembro</v>
      </c>
      <c r="P656" s="4">
        <f t="shared" si="31"/>
        <v>2024</v>
      </c>
      <c r="Q656" s="4" t="str">
        <f t="shared" si="32"/>
        <v/>
      </c>
      <c r="R656" t="s">
        <v>24</v>
      </c>
    </row>
    <row r="657" spans="1:18" x14ac:dyDescent="0.3">
      <c r="A657" s="1" t="d">
        <v>2024-11-11</v>
      </c>
      <c r="B657">
        <v>45514</v>
      </c>
      <c r="C657" t="str">
        <f>VLOOKUP(Fato_Producao[[#This Row],[referencia]], Dim_Produtos!A:B,2,FALSE)</f>
        <v>sardinha pequena</v>
      </c>
      <c r="D657">
        <v>1842</v>
      </c>
      <c r="E657">
        <v>1685</v>
      </c>
      <c r="F657" s="5">
        <v>8.5199999999999998E-2</v>
      </c>
      <c r="G657" s="6">
        <v>47.1</v>
      </c>
      <c r="H657">
        <v>50</v>
      </c>
      <c r="I657">
        <v>24</v>
      </c>
      <c r="J657">
        <v>83</v>
      </c>
      <c r="K657">
        <f>Fato_Producao[[#This Row],[embalagens_danificadas]]+Fato_Producao[[#This Row],[peso_errado]]+Fato_Producao[[#This Row],[impressao]]</f>
        <v>157</v>
      </c>
      <c r="L657" s="1" t="d">
        <v>2024-10-15</v>
      </c>
      <c r="M657">
        <v>27</v>
      </c>
      <c r="N657" s="7">
        <v>5.65</v>
      </c>
      <c r="O657" s="4" t="str">
        <f t="shared" si="30"/>
        <v>novembro</v>
      </c>
      <c r="P657" s="4">
        <f t="shared" si="31"/>
        <v>2024</v>
      </c>
      <c r="Q657" s="4" t="str">
        <f t="shared" si="32"/>
        <v/>
      </c>
      <c r="R657" t="s">
        <v>50</v>
      </c>
    </row>
    <row r="658" spans="1:18" x14ac:dyDescent="0.3">
      <c r="A658" s="1" t="d">
        <v>2024-11-12</v>
      </c>
      <c r="B658">
        <v>45505</v>
      </c>
      <c r="C658" t="str">
        <f>VLOOKUP(Fato_Producao[[#This Row],[referencia]], Dim_Produtos!A:B,2,FALSE)</f>
        <v>camarao</v>
      </c>
      <c r="D658">
        <v>4037</v>
      </c>
      <c r="E658">
        <v>3682</v>
      </c>
      <c r="F658" s="5">
        <v>8.7900000000000006E-2</v>
      </c>
      <c r="G658" s="6">
        <v>106.5</v>
      </c>
      <c r="H658">
        <v>92</v>
      </c>
      <c r="I658">
        <v>254</v>
      </c>
      <c r="J658">
        <v>9</v>
      </c>
      <c r="K658">
        <f>Fato_Producao[[#This Row],[embalagens_danificadas]]+Fato_Producao[[#This Row],[peso_errado]]+Fato_Producao[[#This Row],[impressao]]</f>
        <v>355</v>
      </c>
      <c r="L658" s="1" t="d">
        <v>2024-10-15</v>
      </c>
      <c r="M658">
        <v>28</v>
      </c>
      <c r="N658" s="7">
        <v>15.97</v>
      </c>
      <c r="O658" s="4" t="str">
        <f t="shared" si="30"/>
        <v>novembro</v>
      </c>
      <c r="P658" s="4">
        <f t="shared" si="31"/>
        <v>2024</v>
      </c>
      <c r="Q658" s="4" t="str">
        <f t="shared" si="32"/>
        <v/>
      </c>
      <c r="R658" t="s">
        <v>24</v>
      </c>
    </row>
    <row r="659" spans="1:18" x14ac:dyDescent="0.3">
      <c r="A659" s="1" t="d">
        <v>2024-11-13</v>
      </c>
      <c r="B659">
        <v>45508</v>
      </c>
      <c r="C659" t="str">
        <f>VLOOKUP(Fato_Producao[[#This Row],[referencia]], Dim_Produtos!A:B,2,FALSE)</f>
        <v>lula suja</v>
      </c>
      <c r="D659">
        <v>3785</v>
      </c>
      <c r="E659">
        <v>3405</v>
      </c>
      <c r="F659" s="5">
        <v>0.1004</v>
      </c>
      <c r="G659" s="6">
        <v>121.6</v>
      </c>
      <c r="H659">
        <v>40</v>
      </c>
      <c r="I659">
        <v>334</v>
      </c>
      <c r="J659">
        <v>6</v>
      </c>
      <c r="K659">
        <f>Fato_Producao[[#This Row],[embalagens_danificadas]]+Fato_Producao[[#This Row],[peso_errado]]+Fato_Producao[[#This Row],[impressao]]</f>
        <v>380</v>
      </c>
      <c r="L659" s="1" t="d">
        <v>2024-10-15</v>
      </c>
      <c r="M659">
        <v>29</v>
      </c>
      <c r="N659" s="7">
        <v>17.02</v>
      </c>
      <c r="O659" s="4" t="str">
        <f t="shared" si="30"/>
        <v>novembro</v>
      </c>
      <c r="P659" s="4">
        <f t="shared" si="31"/>
        <v>2024</v>
      </c>
      <c r="Q659" s="4" t="str">
        <f t="shared" si="32"/>
        <v/>
      </c>
      <c r="R659" t="s">
        <v>24</v>
      </c>
    </row>
    <row r="660" spans="1:18" x14ac:dyDescent="0.3">
      <c r="A660" s="1" t="d">
        <v>2024-11-14</v>
      </c>
      <c r="B660">
        <v>45503</v>
      </c>
      <c r="C660" t="str">
        <f>VLOOKUP(Fato_Producao[[#This Row],[referencia]], Dim_Produtos!A:B,2,FALSE)</f>
        <v>sardinha pequena</v>
      </c>
      <c r="D660">
        <v>3678</v>
      </c>
      <c r="E660">
        <v>3394</v>
      </c>
      <c r="F660" s="5">
        <v>7.7200000000000005E-2</v>
      </c>
      <c r="G660" s="6">
        <v>73.84</v>
      </c>
      <c r="H660">
        <v>17</v>
      </c>
      <c r="I660">
        <v>259</v>
      </c>
      <c r="J660">
        <v>8</v>
      </c>
      <c r="K660">
        <f>Fato_Producao[[#This Row],[embalagens_danificadas]]+Fato_Producao[[#This Row],[peso_errado]]+Fato_Producao[[#This Row],[impressao]]</f>
        <v>284</v>
      </c>
      <c r="L660" s="1" t="d">
        <v>2024-10-15</v>
      </c>
      <c r="M660">
        <v>30</v>
      </c>
      <c r="N660" s="7">
        <v>8.1199999999999992</v>
      </c>
      <c r="O660" s="4" t="str">
        <f t="shared" si="30"/>
        <v>novembro</v>
      </c>
      <c r="P660" s="4">
        <f t="shared" si="31"/>
        <v>2024</v>
      </c>
      <c r="Q660" s="4" t="str">
        <f t="shared" si="32"/>
        <v/>
      </c>
      <c r="R660" t="s">
        <v>24</v>
      </c>
    </row>
    <row r="661" spans="1:18" x14ac:dyDescent="0.3">
      <c r="A661" s="1" t="d">
        <v>2024-11-15</v>
      </c>
      <c r="B661">
        <v>45514</v>
      </c>
      <c r="C661" t="str">
        <f>VLOOKUP(Fato_Producao[[#This Row],[referencia]], Dim_Produtos!A:B,2,FALSE)</f>
        <v>sardinha pequena</v>
      </c>
      <c r="D661">
        <v>3905</v>
      </c>
      <c r="E661">
        <v>3557</v>
      </c>
      <c r="F661" s="5">
        <v>8.9099999999999999E-2</v>
      </c>
      <c r="G661" s="6">
        <v>104.4</v>
      </c>
      <c r="H661">
        <v>19</v>
      </c>
      <c r="I661">
        <v>322</v>
      </c>
      <c r="J661">
        <v>7</v>
      </c>
      <c r="K661">
        <f>Fato_Producao[[#This Row],[embalagens_danificadas]]+Fato_Producao[[#This Row],[peso_errado]]+Fato_Producao[[#This Row],[impressao]]</f>
        <v>348</v>
      </c>
      <c r="L661" s="1" t="d">
        <v>2024-10-15</v>
      </c>
      <c r="M661">
        <v>31</v>
      </c>
      <c r="N661" s="7">
        <v>12.53</v>
      </c>
      <c r="O661" s="4" t="str">
        <f t="shared" si="30"/>
        <v>novembro</v>
      </c>
      <c r="P661" s="4">
        <f t="shared" si="31"/>
        <v>2024</v>
      </c>
      <c r="Q661" s="4" t="str">
        <f t="shared" si="32"/>
        <v/>
      </c>
      <c r="R661" t="s">
        <v>24</v>
      </c>
    </row>
    <row r="662" spans="1:18" x14ac:dyDescent="0.3">
      <c r="A662" s="1" t="d">
        <v>2024-11-15</v>
      </c>
      <c r="B662">
        <v>45503</v>
      </c>
      <c r="C662" t="str">
        <f>VLOOKUP(Fato_Producao[[#This Row],[referencia]], Dim_Produtos!A:B,2,FALSE)</f>
        <v>sardinha pequena</v>
      </c>
      <c r="D662">
        <v>1807</v>
      </c>
      <c r="E662">
        <v>1679</v>
      </c>
      <c r="F662" s="5">
        <v>7.0800000000000002E-2</v>
      </c>
      <c r="G662" s="6">
        <v>33.28</v>
      </c>
      <c r="H662">
        <v>8</v>
      </c>
      <c r="I662">
        <v>117</v>
      </c>
      <c r="J662">
        <v>3</v>
      </c>
      <c r="K662">
        <f>Fato_Producao[[#This Row],[embalagens_danificadas]]+Fato_Producao[[#This Row],[peso_errado]]+Fato_Producao[[#This Row],[impressao]]</f>
        <v>128</v>
      </c>
      <c r="L662" s="1" t="d">
        <v>2024-10-15</v>
      </c>
      <c r="M662">
        <v>31</v>
      </c>
      <c r="N662" s="7">
        <v>3.66</v>
      </c>
      <c r="O662" s="4" t="str">
        <f t="shared" si="30"/>
        <v>novembro</v>
      </c>
      <c r="P662" s="4">
        <f t="shared" si="31"/>
        <v>2024</v>
      </c>
      <c r="Q662" s="4" t="str">
        <f t="shared" si="32"/>
        <v/>
      </c>
      <c r="R662" t="s">
        <v>24</v>
      </c>
    </row>
    <row r="663" spans="1:18" x14ac:dyDescent="0.3">
      <c r="A663" s="1" t="d">
        <v>2024-11-16</v>
      </c>
      <c r="B663">
        <v>45512</v>
      </c>
      <c r="C663" t="str">
        <f>VLOOKUP(Fato_Producao[[#This Row],[referencia]], Dim_Produtos!A:B,2,FALSE)</f>
        <v>red-fish posta</v>
      </c>
      <c r="D663">
        <v>2075</v>
      </c>
      <c r="E663">
        <v>1941</v>
      </c>
      <c r="F663" s="5">
        <v>6.4600000000000005E-2</v>
      </c>
      <c r="G663" s="6">
        <v>45.56</v>
      </c>
      <c r="H663">
        <v>3</v>
      </c>
      <c r="I663">
        <v>128</v>
      </c>
      <c r="J663">
        <v>3</v>
      </c>
      <c r="K663">
        <f>Fato_Producao[[#This Row],[embalagens_danificadas]]+Fato_Producao[[#This Row],[peso_errado]]+Fato_Producao[[#This Row],[impressao]]</f>
        <v>134</v>
      </c>
      <c r="L663" s="1" t="d">
        <v>2024-10-15</v>
      </c>
      <c r="M663">
        <v>32</v>
      </c>
      <c r="N663" s="7">
        <v>6.38</v>
      </c>
      <c r="O663" s="4" t="str">
        <f t="shared" si="30"/>
        <v>novembro</v>
      </c>
      <c r="P663" s="4">
        <f t="shared" si="31"/>
        <v>2024</v>
      </c>
      <c r="Q663" s="4" t="str">
        <f t="shared" si="32"/>
        <v/>
      </c>
      <c r="R663" t="s">
        <v>24</v>
      </c>
    </row>
    <row r="664" spans="1:18" x14ac:dyDescent="0.3">
      <c r="A664" s="1" t="d">
        <v>2024-11-16</v>
      </c>
      <c r="B664">
        <v>45505</v>
      </c>
      <c r="C664" t="str">
        <f>VLOOKUP(Fato_Producao[[#This Row],[referencia]], Dim_Produtos!A:B,2,FALSE)</f>
        <v>camarao</v>
      </c>
      <c r="D664">
        <v>1970</v>
      </c>
      <c r="E664">
        <v>1822</v>
      </c>
      <c r="F664" s="5">
        <v>7.51E-2</v>
      </c>
      <c r="G664" s="6">
        <v>44.4</v>
      </c>
      <c r="H664">
        <v>45</v>
      </c>
      <c r="I664">
        <v>101</v>
      </c>
      <c r="J664">
        <v>2</v>
      </c>
      <c r="K664">
        <f>Fato_Producao[[#This Row],[embalagens_danificadas]]+Fato_Producao[[#This Row],[peso_errado]]+Fato_Producao[[#This Row],[impressao]]</f>
        <v>148</v>
      </c>
      <c r="L664" s="1" t="d">
        <v>2024-10-15</v>
      </c>
      <c r="M664">
        <v>32</v>
      </c>
      <c r="N664" s="7">
        <v>6.66</v>
      </c>
      <c r="O664" s="4" t="str">
        <f t="shared" si="30"/>
        <v>novembro</v>
      </c>
      <c r="P664" s="4">
        <f t="shared" si="31"/>
        <v>2024</v>
      </c>
      <c r="Q664" s="4" t="str">
        <f t="shared" si="32"/>
        <v/>
      </c>
      <c r="R664" t="s">
        <v>24</v>
      </c>
    </row>
    <row r="665" spans="1:18" x14ac:dyDescent="0.3">
      <c r="A665" s="1" t="d">
        <v>2024-11-17</v>
      </c>
      <c r="B665">
        <v>45509</v>
      </c>
      <c r="C665" t="str">
        <f>VLOOKUP(Fato_Producao[[#This Row],[referencia]], Dim_Produtos!A:B,2,FALSE)</f>
        <v>lascas bacalhau</v>
      </c>
      <c r="D665">
        <v>2657</v>
      </c>
      <c r="E665">
        <v>2489</v>
      </c>
      <c r="F665" s="5">
        <v>6.3200000000000006E-2</v>
      </c>
      <c r="G665" s="6">
        <v>47.04</v>
      </c>
      <c r="H665">
        <v>7</v>
      </c>
      <c r="I665">
        <v>157</v>
      </c>
      <c r="J665">
        <v>4</v>
      </c>
      <c r="K665">
        <f>Fato_Producao[[#This Row],[embalagens_danificadas]]+Fato_Producao[[#This Row],[peso_errado]]+Fato_Producao[[#This Row],[impressao]]</f>
        <v>168</v>
      </c>
      <c r="L665" s="1" t="d">
        <v>2024-10-15</v>
      </c>
      <c r="M665">
        <v>33</v>
      </c>
      <c r="N665" s="7">
        <v>6.12</v>
      </c>
      <c r="O665" s="4" t="str">
        <f t="shared" si="30"/>
        <v>novembro</v>
      </c>
      <c r="P665" s="4">
        <f t="shared" si="31"/>
        <v>2024</v>
      </c>
      <c r="Q665" s="4" t="str">
        <f t="shared" si="32"/>
        <v/>
      </c>
      <c r="R665" t="s">
        <v>24</v>
      </c>
    </row>
    <row r="666" spans="1:18" x14ac:dyDescent="0.3">
      <c r="A666" s="1" t="d">
        <v>2024-11-18</v>
      </c>
      <c r="B666">
        <v>45503</v>
      </c>
      <c r="C666" t="str">
        <f>VLOOKUP(Fato_Producao[[#This Row],[referencia]], Dim_Produtos!A:B,2,FALSE)</f>
        <v>sardinha pequena</v>
      </c>
      <c r="D666">
        <v>2010</v>
      </c>
      <c r="E666">
        <v>1862</v>
      </c>
      <c r="F666" s="5">
        <v>7.3599999999999999E-2</v>
      </c>
      <c r="G666" s="6">
        <v>38.479999999999997</v>
      </c>
      <c r="H666">
        <v>7</v>
      </c>
      <c r="I666">
        <v>137</v>
      </c>
      <c r="J666">
        <v>4</v>
      </c>
      <c r="K666">
        <f>Fato_Producao[[#This Row],[embalagens_danificadas]]+Fato_Producao[[#This Row],[peso_errado]]+Fato_Producao[[#This Row],[impressao]]</f>
        <v>148</v>
      </c>
      <c r="L666" s="1" t="d">
        <v>2024-10-15</v>
      </c>
      <c r="M666">
        <v>34</v>
      </c>
      <c r="N666" s="7">
        <v>4.2300000000000004</v>
      </c>
      <c r="O666" s="4" t="str">
        <f t="shared" si="30"/>
        <v>novembro</v>
      </c>
      <c r="P666" s="4">
        <f t="shared" si="31"/>
        <v>2024</v>
      </c>
      <c r="Q666" s="4" t="str">
        <f t="shared" si="32"/>
        <v/>
      </c>
      <c r="R666" t="s">
        <v>24</v>
      </c>
    </row>
    <row r="667" spans="1:18" x14ac:dyDescent="0.3">
      <c r="A667" s="1" t="d">
        <v>2024-11-18</v>
      </c>
      <c r="B667">
        <v>45501</v>
      </c>
      <c r="C667" t="str">
        <f>VLOOKUP(Fato_Producao[[#This Row],[referencia]], Dim_Produtos!A:B,2,FALSE)</f>
        <v>pescada posta cozer</v>
      </c>
      <c r="D667">
        <v>2226</v>
      </c>
      <c r="E667">
        <v>2053</v>
      </c>
      <c r="F667" s="5">
        <v>7.7700000000000005E-2</v>
      </c>
      <c r="G667" s="6">
        <v>55.36</v>
      </c>
      <c r="H667">
        <v>8</v>
      </c>
      <c r="I667">
        <v>161</v>
      </c>
      <c r="J667">
        <v>4</v>
      </c>
      <c r="K667">
        <f>Fato_Producao[[#This Row],[embalagens_danificadas]]+Fato_Producao[[#This Row],[peso_errado]]+Fato_Producao[[#This Row],[impressao]]</f>
        <v>173</v>
      </c>
      <c r="L667" s="1" t="d">
        <v>2024-10-15</v>
      </c>
      <c r="M667">
        <v>34</v>
      </c>
      <c r="N667" s="7">
        <v>7.75</v>
      </c>
      <c r="O667" s="4" t="str">
        <f t="shared" si="30"/>
        <v>novembro</v>
      </c>
      <c r="P667" s="4">
        <f t="shared" si="31"/>
        <v>2024</v>
      </c>
      <c r="Q667" s="4" t="str">
        <f t="shared" si="32"/>
        <v/>
      </c>
      <c r="R667" t="s">
        <v>24</v>
      </c>
    </row>
    <row r="668" spans="1:18" x14ac:dyDescent="0.3">
      <c r="A668" s="1" t="d">
        <v>2024-11-19</v>
      </c>
      <c r="B668">
        <v>45511</v>
      </c>
      <c r="C668" t="str">
        <f>VLOOKUP(Fato_Producao[[#This Row],[referencia]], Dim_Produtos!A:B,2,FALSE)</f>
        <v>lula limpa</v>
      </c>
      <c r="D668">
        <v>3400</v>
      </c>
      <c r="E668">
        <v>3079</v>
      </c>
      <c r="F668" s="5">
        <v>9.4399999999999998E-2</v>
      </c>
      <c r="G668" s="6">
        <v>102.72</v>
      </c>
      <c r="H668">
        <v>45</v>
      </c>
      <c r="I668">
        <v>272</v>
      </c>
      <c r="J668">
        <v>4</v>
      </c>
      <c r="K668">
        <f>Fato_Producao[[#This Row],[embalagens_danificadas]]+Fato_Producao[[#This Row],[peso_errado]]+Fato_Producao[[#This Row],[impressao]]</f>
        <v>321</v>
      </c>
      <c r="L668" s="1" t="d">
        <v>2024-10-15</v>
      </c>
      <c r="M668">
        <v>35</v>
      </c>
      <c r="N668" s="7">
        <v>14.38</v>
      </c>
      <c r="O668" s="4" t="str">
        <f t="shared" si="30"/>
        <v>novembro</v>
      </c>
      <c r="P668" s="4">
        <f t="shared" si="31"/>
        <v>2024</v>
      </c>
      <c r="Q668" s="4" t="str">
        <f t="shared" si="32"/>
        <v/>
      </c>
      <c r="R668" t="s">
        <v>24</v>
      </c>
    </row>
    <row r="669" spans="1:18" x14ac:dyDescent="0.3">
      <c r="A669" s="1" t="d">
        <v>2024-11-19</v>
      </c>
      <c r="B669">
        <v>45506</v>
      </c>
      <c r="C669" t="str">
        <f>VLOOKUP(Fato_Producao[[#This Row],[referencia]], Dim_Produtos!A:B,2,FALSE)</f>
        <v>perca posta</v>
      </c>
      <c r="D669">
        <v>3744</v>
      </c>
      <c r="E669">
        <v>3462</v>
      </c>
      <c r="F669" s="5">
        <v>7.5300000000000006E-2</v>
      </c>
      <c r="G669" s="6">
        <v>98.7</v>
      </c>
      <c r="H669">
        <v>10</v>
      </c>
      <c r="I669">
        <v>267</v>
      </c>
      <c r="J669">
        <v>5</v>
      </c>
      <c r="K669">
        <f>Fato_Producao[[#This Row],[embalagens_danificadas]]+Fato_Producao[[#This Row],[peso_errado]]+Fato_Producao[[#This Row],[impressao]]</f>
        <v>282</v>
      </c>
      <c r="L669" s="1" t="d">
        <v>2024-10-15</v>
      </c>
      <c r="M669">
        <v>35</v>
      </c>
      <c r="N669" s="7">
        <v>14.8</v>
      </c>
      <c r="O669" s="4" t="str">
        <f t="shared" si="30"/>
        <v>novembro</v>
      </c>
      <c r="P669" s="4">
        <f t="shared" si="31"/>
        <v>2024</v>
      </c>
      <c r="Q669" s="4" t="str">
        <f t="shared" si="32"/>
        <v/>
      </c>
      <c r="R669" t="s">
        <v>24</v>
      </c>
    </row>
    <row r="670" spans="1:18" x14ac:dyDescent="0.3">
      <c r="A670" s="1" t="d">
        <v>2024-11-20</v>
      </c>
      <c r="B670">
        <v>45504</v>
      </c>
      <c r="C670" t="str">
        <f>VLOOKUP(Fato_Producao[[#This Row],[referencia]], Dim_Produtos!A:B,2,FALSE)</f>
        <v>pescada posta fritar</v>
      </c>
      <c r="D670">
        <v>1845</v>
      </c>
      <c r="E670">
        <v>1691</v>
      </c>
      <c r="F670" s="5">
        <v>8.3500000000000005E-2</v>
      </c>
      <c r="G670" s="6">
        <v>49.28</v>
      </c>
      <c r="H670">
        <v>5</v>
      </c>
      <c r="I670">
        <v>147</v>
      </c>
      <c r="J670">
        <v>2</v>
      </c>
      <c r="K670">
        <f>Fato_Producao[[#This Row],[embalagens_danificadas]]+Fato_Producao[[#This Row],[peso_errado]]+Fato_Producao[[#This Row],[impressao]]</f>
        <v>154</v>
      </c>
      <c r="L670" s="1" t="d">
        <v>2024-10-15</v>
      </c>
      <c r="M670">
        <v>36</v>
      </c>
      <c r="N670" s="7">
        <v>6.9</v>
      </c>
      <c r="O670" s="4" t="str">
        <f t="shared" si="30"/>
        <v>novembro</v>
      </c>
      <c r="P670" s="4">
        <f t="shared" si="31"/>
        <v>2024</v>
      </c>
      <c r="Q670" s="4" t="str">
        <f t="shared" si="32"/>
        <v/>
      </c>
      <c r="R670" t="s">
        <v>24</v>
      </c>
    </row>
    <row r="671" spans="1:18" x14ac:dyDescent="0.3">
      <c r="A671" s="1" t="d">
        <v>2024-11-20</v>
      </c>
      <c r="B671">
        <v>45503</v>
      </c>
      <c r="C671" t="str">
        <f>VLOOKUP(Fato_Producao[[#This Row],[referencia]], Dim_Produtos!A:B,2,FALSE)</f>
        <v>sardinha pequena</v>
      </c>
      <c r="D671">
        <v>2059</v>
      </c>
      <c r="E671">
        <v>1884</v>
      </c>
      <c r="F671" s="5">
        <v>8.5000000000000006E-2</v>
      </c>
      <c r="G671" s="6">
        <v>45.5</v>
      </c>
      <c r="H671">
        <v>6</v>
      </c>
      <c r="I671">
        <v>166</v>
      </c>
      <c r="J671">
        <v>3</v>
      </c>
      <c r="K671">
        <f>Fato_Producao[[#This Row],[embalagens_danificadas]]+Fato_Producao[[#This Row],[peso_errado]]+Fato_Producao[[#This Row],[impressao]]</f>
        <v>175</v>
      </c>
      <c r="L671" s="1" t="d">
        <v>2024-10-15</v>
      </c>
      <c r="M671">
        <v>36</v>
      </c>
      <c r="N671" s="7">
        <v>5</v>
      </c>
      <c r="O671" s="4" t="str">
        <f t="shared" si="30"/>
        <v>novembro</v>
      </c>
      <c r="P671" s="4">
        <f t="shared" si="31"/>
        <v>2024</v>
      </c>
      <c r="Q671" s="4" t="str">
        <f t="shared" si="32"/>
        <v/>
      </c>
      <c r="R671" t="s">
        <v>24</v>
      </c>
    </row>
    <row r="672" spans="1:18" x14ac:dyDescent="0.3">
      <c r="A672" s="1" t="d">
        <v>2024-11-21</v>
      </c>
      <c r="B672">
        <v>45505</v>
      </c>
      <c r="C672" t="str">
        <f>VLOOKUP(Fato_Producao[[#This Row],[referencia]], Dim_Produtos!A:B,2,FALSE)</f>
        <v>camarao</v>
      </c>
      <c r="D672">
        <v>3824</v>
      </c>
      <c r="E672">
        <v>3523</v>
      </c>
      <c r="F672" s="5">
        <v>7.8700000000000006E-2</v>
      </c>
      <c r="G672" s="6">
        <v>90.3</v>
      </c>
      <c r="H672">
        <v>95</v>
      </c>
      <c r="I672">
        <v>200</v>
      </c>
      <c r="J672">
        <v>6</v>
      </c>
      <c r="K672">
        <f>Fato_Producao[[#This Row],[embalagens_danificadas]]+Fato_Producao[[#This Row],[peso_errado]]+Fato_Producao[[#This Row],[impressao]]</f>
        <v>301</v>
      </c>
      <c r="L672" s="1" t="d">
        <v>2024-10-15</v>
      </c>
      <c r="M672">
        <v>37</v>
      </c>
      <c r="N672" s="7">
        <v>13.54</v>
      </c>
      <c r="O672" s="4" t="str">
        <f t="shared" si="30"/>
        <v>novembro</v>
      </c>
      <c r="P672" s="4">
        <f t="shared" si="31"/>
        <v>2024</v>
      </c>
      <c r="Q672" s="4" t="str">
        <f t="shared" si="32"/>
        <v/>
      </c>
      <c r="R672" t="s">
        <v>24</v>
      </c>
    </row>
    <row r="673" spans="1:18" x14ac:dyDescent="0.3">
      <c r="A673" s="1" t="d">
        <v>2024-11-21</v>
      </c>
      <c r="B673">
        <v>45505</v>
      </c>
      <c r="C673" t="str">
        <f>VLOOKUP(Fato_Producao[[#This Row],[referencia]], Dim_Produtos!A:B,2,FALSE)</f>
        <v>camarao</v>
      </c>
      <c r="D673">
        <v>3290</v>
      </c>
      <c r="E673">
        <v>3025</v>
      </c>
      <c r="F673" s="5">
        <v>8.0500000000000002E-2</v>
      </c>
      <c r="G673" s="6">
        <v>79.5</v>
      </c>
      <c r="H673">
        <v>54</v>
      </c>
      <c r="I673">
        <v>208</v>
      </c>
      <c r="J673">
        <v>3</v>
      </c>
      <c r="K673">
        <f>Fato_Producao[[#This Row],[embalagens_danificadas]]+Fato_Producao[[#This Row],[peso_errado]]+Fato_Producao[[#This Row],[impressao]]</f>
        <v>265</v>
      </c>
      <c r="L673" s="1" t="d">
        <v>2024-10-15</v>
      </c>
      <c r="M673">
        <v>37</v>
      </c>
      <c r="N673" s="7">
        <v>11.92</v>
      </c>
      <c r="O673" s="4" t="str">
        <f t="shared" si="30"/>
        <v>novembro</v>
      </c>
      <c r="P673" s="4">
        <f t="shared" si="31"/>
        <v>2024</v>
      </c>
      <c r="Q673" s="4" t="str">
        <f t="shared" si="32"/>
        <v/>
      </c>
      <c r="R673" t="s">
        <v>24</v>
      </c>
    </row>
    <row r="674" spans="1:18" x14ac:dyDescent="0.3">
      <c r="A674" s="1" t="d">
        <v>2024-11-22</v>
      </c>
      <c r="B674">
        <v>45502</v>
      </c>
      <c r="C674" t="str">
        <f>VLOOKUP(Fato_Producao[[#This Row],[referencia]], Dim_Produtos!A:B,2,FALSE)</f>
        <v>carapau pelim</v>
      </c>
      <c r="D674">
        <v>2519</v>
      </c>
      <c r="E674">
        <v>2309</v>
      </c>
      <c r="F674" s="5">
        <v>8.3400000000000002E-2</v>
      </c>
      <c r="G674" s="6">
        <v>63</v>
      </c>
      <c r="H674">
        <v>38</v>
      </c>
      <c r="I674">
        <v>166</v>
      </c>
      <c r="J674">
        <v>6</v>
      </c>
      <c r="K674">
        <f>Fato_Producao[[#This Row],[embalagens_danificadas]]+Fato_Producao[[#This Row],[peso_errado]]+Fato_Producao[[#This Row],[impressao]]</f>
        <v>210</v>
      </c>
      <c r="L674" s="1" t="d">
        <v>2024-10-15</v>
      </c>
      <c r="M674">
        <v>38</v>
      </c>
      <c r="N674" s="7">
        <v>8.19</v>
      </c>
      <c r="O674" s="4" t="str">
        <f t="shared" si="30"/>
        <v>novembro</v>
      </c>
      <c r="P674" s="4">
        <f t="shared" si="31"/>
        <v>2024</v>
      </c>
      <c r="Q674" s="4" t="str">
        <f t="shared" si="32"/>
        <v/>
      </c>
      <c r="R674" t="s">
        <v>24</v>
      </c>
    </row>
    <row r="675" spans="1:18" x14ac:dyDescent="0.3">
      <c r="A675" s="1" t="d">
        <v>2024-11-22</v>
      </c>
      <c r="B675">
        <v>45504</v>
      </c>
      <c r="C675" t="str">
        <f>VLOOKUP(Fato_Producao[[#This Row],[referencia]], Dim_Produtos!A:B,2,FALSE)</f>
        <v>pescada posta fritar</v>
      </c>
      <c r="D675">
        <v>2043</v>
      </c>
      <c r="E675">
        <v>1854</v>
      </c>
      <c r="F675" s="5">
        <v>9.2499999999999999E-2</v>
      </c>
      <c r="G675" s="6">
        <v>60.48</v>
      </c>
      <c r="H675">
        <v>10</v>
      </c>
      <c r="I675">
        <v>176</v>
      </c>
      <c r="J675">
        <v>3</v>
      </c>
      <c r="K675">
        <f>Fato_Producao[[#This Row],[embalagens_danificadas]]+Fato_Producao[[#This Row],[peso_errado]]+Fato_Producao[[#This Row],[impressao]]</f>
        <v>189</v>
      </c>
      <c r="L675" s="1" t="d">
        <v>2024-10-15</v>
      </c>
      <c r="M675">
        <v>38</v>
      </c>
      <c r="N675" s="7">
        <v>8.4700000000000006</v>
      </c>
      <c r="O675" s="4" t="str">
        <f t="shared" si="30"/>
        <v>novembro</v>
      </c>
      <c r="P675" s="4">
        <f t="shared" si="31"/>
        <v>2024</v>
      </c>
      <c r="Q675" s="4" t="str">
        <f t="shared" si="32"/>
        <v/>
      </c>
      <c r="R675" t="s">
        <v>24</v>
      </c>
    </row>
    <row r="676" spans="1:18" x14ac:dyDescent="0.3">
      <c r="A676" s="1" t="d">
        <v>2024-11-23</v>
      </c>
      <c r="B676">
        <v>45500</v>
      </c>
      <c r="C676" t="str">
        <f>VLOOKUP(Fato_Producao[[#This Row],[referencia]], Dim_Produtos!A:B,2,FALSE)</f>
        <v>filete pescada</v>
      </c>
      <c r="D676">
        <v>2992</v>
      </c>
      <c r="E676">
        <v>2807</v>
      </c>
      <c r="F676" s="5">
        <v>6.1800000000000001E-2</v>
      </c>
      <c r="G676" s="6">
        <v>51.8</v>
      </c>
      <c r="H676">
        <v>11</v>
      </c>
      <c r="I676">
        <v>169</v>
      </c>
      <c r="J676">
        <v>5</v>
      </c>
      <c r="K676">
        <f>Fato_Producao[[#This Row],[embalagens_danificadas]]+Fato_Producao[[#This Row],[peso_errado]]+Fato_Producao[[#This Row],[impressao]]</f>
        <v>185</v>
      </c>
      <c r="L676" s="1" t="d">
        <v>2024-10-15</v>
      </c>
      <c r="M676">
        <v>39</v>
      </c>
      <c r="N676" s="7">
        <v>6.22</v>
      </c>
      <c r="O676" s="4" t="str">
        <f t="shared" si="30"/>
        <v>novembro</v>
      </c>
      <c r="P676" s="4">
        <f t="shared" si="31"/>
        <v>2024</v>
      </c>
      <c r="Q676" s="4" t="str">
        <f t="shared" si="32"/>
        <v/>
      </c>
      <c r="R676" t="s">
        <v>24</v>
      </c>
    </row>
    <row r="677" spans="1:18" x14ac:dyDescent="0.3">
      <c r="A677" s="1" t="d">
        <v>2024-11-23</v>
      </c>
      <c r="B677">
        <v>45500</v>
      </c>
      <c r="C677" t="str">
        <f>VLOOKUP(Fato_Producao[[#This Row],[referencia]], Dim_Produtos!A:B,2,FALSE)</f>
        <v>filete pescada</v>
      </c>
      <c r="D677">
        <v>3571</v>
      </c>
      <c r="E677">
        <v>3357</v>
      </c>
      <c r="F677" s="5">
        <v>5.9900000000000002E-2</v>
      </c>
      <c r="G677" s="6">
        <v>59.92</v>
      </c>
      <c r="H677">
        <v>13</v>
      </c>
      <c r="I677">
        <v>196</v>
      </c>
      <c r="J677">
        <v>5</v>
      </c>
      <c r="K677">
        <f>Fato_Producao[[#This Row],[embalagens_danificadas]]+Fato_Producao[[#This Row],[peso_errado]]+Fato_Producao[[#This Row],[impressao]]</f>
        <v>214</v>
      </c>
      <c r="L677" s="1" t="d">
        <v>2024-10-15</v>
      </c>
      <c r="M677">
        <v>39</v>
      </c>
      <c r="N677" s="7">
        <v>7.19</v>
      </c>
      <c r="O677" s="4" t="str">
        <f t="shared" si="30"/>
        <v>novembro</v>
      </c>
      <c r="P677" s="4">
        <f t="shared" si="31"/>
        <v>2024</v>
      </c>
      <c r="Q677" s="4" t="str">
        <f t="shared" si="32"/>
        <v/>
      </c>
      <c r="R677" t="s">
        <v>24</v>
      </c>
    </row>
    <row r="678" spans="1:18" x14ac:dyDescent="0.3">
      <c r="A678" s="1" t="d">
        <v>2024-11-24</v>
      </c>
      <c r="B678">
        <v>45509</v>
      </c>
      <c r="C678" t="str">
        <f>VLOOKUP(Fato_Producao[[#This Row],[referencia]], Dim_Produtos!A:B,2,FALSE)</f>
        <v>lascas bacalhau</v>
      </c>
      <c r="D678">
        <v>3083</v>
      </c>
      <c r="E678">
        <v>2750</v>
      </c>
      <c r="F678" s="5">
        <v>0.108</v>
      </c>
      <c r="G678" s="6">
        <v>93.24</v>
      </c>
      <c r="H678">
        <v>14</v>
      </c>
      <c r="I678">
        <v>313</v>
      </c>
      <c r="J678">
        <v>6</v>
      </c>
      <c r="K678">
        <f>Fato_Producao[[#This Row],[embalagens_danificadas]]+Fato_Producao[[#This Row],[peso_errado]]+Fato_Producao[[#This Row],[impressao]]</f>
        <v>333</v>
      </c>
      <c r="L678" s="1" t="d">
        <v>2024-10-15</v>
      </c>
      <c r="M678">
        <v>40</v>
      </c>
      <c r="N678" s="7">
        <v>12.12</v>
      </c>
      <c r="O678" s="4" t="str">
        <f t="shared" si="30"/>
        <v>novembro</v>
      </c>
      <c r="P678" s="4">
        <f t="shared" si="31"/>
        <v>2024</v>
      </c>
      <c r="Q678" s="4" t="str">
        <f t="shared" si="32"/>
        <v/>
      </c>
      <c r="R678" t="s">
        <v>24</v>
      </c>
    </row>
    <row r="679" spans="1:18" x14ac:dyDescent="0.3">
      <c r="A679" s="1" t="d">
        <v>2024-11-25</v>
      </c>
      <c r="B679">
        <v>45501</v>
      </c>
      <c r="C679" t="str">
        <f>VLOOKUP(Fato_Producao[[#This Row],[referencia]], Dim_Produtos!A:B,2,FALSE)</f>
        <v>pescada posta cozer</v>
      </c>
      <c r="D679">
        <v>2555</v>
      </c>
      <c r="E679">
        <v>2310</v>
      </c>
      <c r="F679" s="5">
        <v>9.5899999999999999E-2</v>
      </c>
      <c r="G679" s="6">
        <v>78.400000000000006</v>
      </c>
      <c r="H679">
        <v>8</v>
      </c>
      <c r="I679">
        <v>230</v>
      </c>
      <c r="J679">
        <v>7</v>
      </c>
      <c r="K679">
        <f>Fato_Producao[[#This Row],[embalagens_danificadas]]+Fato_Producao[[#This Row],[peso_errado]]+Fato_Producao[[#This Row],[impressao]]</f>
        <v>245</v>
      </c>
      <c r="L679" s="1" t="d">
        <v>2024-10-15</v>
      </c>
      <c r="M679">
        <v>41</v>
      </c>
      <c r="N679" s="7">
        <v>10.98</v>
      </c>
      <c r="O679" s="4" t="str">
        <f t="shared" si="30"/>
        <v>novembro</v>
      </c>
      <c r="P679" s="4">
        <f t="shared" si="31"/>
        <v>2024</v>
      </c>
      <c r="Q679" s="4" t="str">
        <f t="shared" si="32"/>
        <v/>
      </c>
      <c r="R679" t="s">
        <v>24</v>
      </c>
    </row>
    <row r="680" spans="1:18" x14ac:dyDescent="0.3">
      <c r="A680" s="1" t="d">
        <v>2024-11-25</v>
      </c>
      <c r="B680">
        <v>45501</v>
      </c>
      <c r="C680" t="str">
        <f>VLOOKUP(Fato_Producao[[#This Row],[referencia]], Dim_Produtos!A:B,2,FALSE)</f>
        <v>pescada posta cozer</v>
      </c>
      <c r="D680">
        <v>2979</v>
      </c>
      <c r="E680">
        <v>2751</v>
      </c>
      <c r="F680" s="5">
        <v>7.6499999999999999E-2</v>
      </c>
      <c r="G680" s="6">
        <v>72.959999999999994</v>
      </c>
      <c r="H680">
        <v>11</v>
      </c>
      <c r="I680">
        <v>212</v>
      </c>
      <c r="J680">
        <v>5</v>
      </c>
      <c r="K680">
        <f>Fato_Producao[[#This Row],[embalagens_danificadas]]+Fato_Producao[[#This Row],[peso_errado]]+Fato_Producao[[#This Row],[impressao]]</f>
        <v>228</v>
      </c>
      <c r="L680" s="1" t="d">
        <v>2024-10-15</v>
      </c>
      <c r="M680">
        <v>41</v>
      </c>
      <c r="N680" s="7">
        <v>10.210000000000001</v>
      </c>
      <c r="O680" s="4" t="str">
        <f t="shared" si="30"/>
        <v>novembro</v>
      </c>
      <c r="P680" s="4">
        <f t="shared" si="31"/>
        <v>2024</v>
      </c>
      <c r="Q680" s="4" t="str">
        <f t="shared" si="32"/>
        <v/>
      </c>
      <c r="R680" t="s">
        <v>24</v>
      </c>
    </row>
    <row r="681" spans="1:18" x14ac:dyDescent="0.3">
      <c r="A681" s="1" t="d">
        <v>2024-11-26</v>
      </c>
      <c r="B681">
        <v>45513</v>
      </c>
      <c r="C681" t="str">
        <f>VLOOKUP(Fato_Producao[[#This Row],[referencia]], Dim_Produtos!A:B,2,FALSE)</f>
        <v>filete pescada</v>
      </c>
      <c r="D681">
        <v>3101</v>
      </c>
      <c r="E681">
        <v>2876</v>
      </c>
      <c r="F681" s="5">
        <v>7.2599999999999998E-2</v>
      </c>
      <c r="G681" s="6">
        <v>72</v>
      </c>
      <c r="H681">
        <v>7</v>
      </c>
      <c r="I681">
        <v>212</v>
      </c>
      <c r="J681">
        <v>6</v>
      </c>
      <c r="K681">
        <f>Fato_Producao[[#This Row],[embalagens_danificadas]]+Fato_Producao[[#This Row],[peso_errado]]+Fato_Producao[[#This Row],[impressao]]</f>
        <v>225</v>
      </c>
      <c r="L681" s="1" t="d">
        <v>2024-10-15</v>
      </c>
      <c r="M681">
        <v>42</v>
      </c>
      <c r="N681" s="7">
        <v>9.36</v>
      </c>
      <c r="O681" s="4" t="str">
        <f t="shared" si="30"/>
        <v>novembro</v>
      </c>
      <c r="P681" s="4">
        <f t="shared" si="31"/>
        <v>2024</v>
      </c>
      <c r="Q681" s="4" t="str">
        <f t="shared" si="32"/>
        <v/>
      </c>
      <c r="R681" t="s">
        <v>24</v>
      </c>
    </row>
    <row r="682" spans="1:18" x14ac:dyDescent="0.3">
      <c r="A682" s="1" t="d">
        <v>2024-11-27</v>
      </c>
      <c r="B682">
        <v>45504</v>
      </c>
      <c r="C682" t="str">
        <f>VLOOKUP(Fato_Producao[[#This Row],[referencia]], Dim_Produtos!A:B,2,FALSE)</f>
        <v>pescada posta fritar</v>
      </c>
      <c r="D682">
        <v>2054</v>
      </c>
      <c r="E682">
        <v>1866</v>
      </c>
      <c r="F682" s="5">
        <v>9.1499999999999998E-2</v>
      </c>
      <c r="G682" s="6">
        <v>60.16</v>
      </c>
      <c r="H682">
        <v>9</v>
      </c>
      <c r="I682">
        <v>175</v>
      </c>
      <c r="J682">
        <v>4</v>
      </c>
      <c r="K682">
        <f>Fato_Producao[[#This Row],[embalagens_danificadas]]+Fato_Producao[[#This Row],[peso_errado]]+Fato_Producao[[#This Row],[impressao]]</f>
        <v>188</v>
      </c>
      <c r="L682" s="1" t="d">
        <v>2024-10-15</v>
      </c>
      <c r="M682">
        <v>43</v>
      </c>
      <c r="N682" s="7">
        <v>8.42</v>
      </c>
      <c r="O682" s="4" t="str">
        <f t="shared" si="30"/>
        <v>novembro</v>
      </c>
      <c r="P682" s="4">
        <f t="shared" si="31"/>
        <v>2024</v>
      </c>
      <c r="Q682" s="4" t="str">
        <f t="shared" si="32"/>
        <v/>
      </c>
      <c r="R682" t="s">
        <v>24</v>
      </c>
    </row>
    <row r="683" spans="1:18" x14ac:dyDescent="0.3">
      <c r="A683" s="1" t="d">
        <v>2024-11-27</v>
      </c>
      <c r="B683">
        <v>45514</v>
      </c>
      <c r="C683" t="str">
        <f>VLOOKUP(Fato_Producao[[#This Row],[referencia]], Dim_Produtos!A:B,2,FALSE)</f>
        <v>sardinha pequena</v>
      </c>
      <c r="D683">
        <v>3180</v>
      </c>
      <c r="E683">
        <v>2901</v>
      </c>
      <c r="F683" s="5">
        <v>8.77E-2</v>
      </c>
      <c r="G683" s="6">
        <v>83.7</v>
      </c>
      <c r="H683">
        <v>78</v>
      </c>
      <c r="I683">
        <v>41</v>
      </c>
      <c r="J683">
        <v>160</v>
      </c>
      <c r="K683">
        <f>Fato_Producao[[#This Row],[embalagens_danificadas]]+Fato_Producao[[#This Row],[peso_errado]]+Fato_Producao[[#This Row],[impressao]]</f>
        <v>279</v>
      </c>
      <c r="L683" s="1" t="d">
        <v>2024-10-15</v>
      </c>
      <c r="M683">
        <v>43</v>
      </c>
      <c r="N683" s="7">
        <v>10.039999999999999</v>
      </c>
      <c r="O683" s="4" t="str">
        <f t="shared" si="30"/>
        <v>novembro</v>
      </c>
      <c r="P683" s="4">
        <f t="shared" si="31"/>
        <v>2024</v>
      </c>
      <c r="Q683" s="4" t="str">
        <f t="shared" si="32"/>
        <v/>
      </c>
      <c r="R683" t="s">
        <v>50</v>
      </c>
    </row>
    <row r="684" spans="1:18" x14ac:dyDescent="0.3">
      <c r="A684" s="1" t="d">
        <v>2024-11-28</v>
      </c>
      <c r="B684">
        <v>45513</v>
      </c>
      <c r="C684" t="str">
        <f>VLOOKUP(Fato_Producao[[#This Row],[referencia]], Dim_Produtos!A:B,2,FALSE)</f>
        <v>filete pescada</v>
      </c>
      <c r="D684">
        <v>1954</v>
      </c>
      <c r="E684">
        <v>1784</v>
      </c>
      <c r="F684" s="5">
        <v>8.6999999999999994E-2</v>
      </c>
      <c r="G684" s="6">
        <v>54.4</v>
      </c>
      <c r="H684">
        <v>62</v>
      </c>
      <c r="I684">
        <v>39</v>
      </c>
      <c r="J684">
        <v>69</v>
      </c>
      <c r="K684">
        <f>Fato_Producao[[#This Row],[embalagens_danificadas]]+Fato_Producao[[#This Row],[peso_errado]]+Fato_Producao[[#This Row],[impressao]]</f>
        <v>170</v>
      </c>
      <c r="L684" s="1" t="d">
        <v>2024-10-15</v>
      </c>
      <c r="M684">
        <v>44</v>
      </c>
      <c r="N684" s="7">
        <v>7.07</v>
      </c>
      <c r="O684" s="4" t="str">
        <f t="shared" si="30"/>
        <v>novembro</v>
      </c>
      <c r="P684" s="4">
        <f t="shared" si="31"/>
        <v>2024</v>
      </c>
      <c r="Q684" s="4" t="str">
        <f t="shared" si="32"/>
        <v/>
      </c>
      <c r="R684" t="s">
        <v>50</v>
      </c>
    </row>
    <row r="685" spans="1:18" x14ac:dyDescent="0.3">
      <c r="A685" s="1" t="d">
        <v>2024-11-28</v>
      </c>
      <c r="B685">
        <v>45504</v>
      </c>
      <c r="C685" t="str">
        <f>VLOOKUP(Fato_Producao[[#This Row],[referencia]], Dim_Produtos!A:B,2,FALSE)</f>
        <v>pescada posta fritar</v>
      </c>
      <c r="D685">
        <v>2070</v>
      </c>
      <c r="E685">
        <v>1898</v>
      </c>
      <c r="F685" s="5">
        <v>8.3099999999999993E-2</v>
      </c>
      <c r="G685" s="6">
        <v>55.04</v>
      </c>
      <c r="H685">
        <v>13</v>
      </c>
      <c r="I685">
        <v>157</v>
      </c>
      <c r="J685">
        <v>2</v>
      </c>
      <c r="K685">
        <f>Fato_Producao[[#This Row],[embalagens_danificadas]]+Fato_Producao[[#This Row],[peso_errado]]+Fato_Producao[[#This Row],[impressao]]</f>
        <v>172</v>
      </c>
      <c r="L685" s="1" t="d">
        <v>2024-10-15</v>
      </c>
      <c r="M685">
        <v>44</v>
      </c>
      <c r="N685" s="7">
        <v>7.71</v>
      </c>
      <c r="O685" s="4" t="str">
        <f t="shared" si="30"/>
        <v>novembro</v>
      </c>
      <c r="P685" s="4">
        <f t="shared" si="31"/>
        <v>2024</v>
      </c>
      <c r="Q685" s="4" t="str">
        <f t="shared" si="32"/>
        <v/>
      </c>
      <c r="R685" t="s">
        <v>24</v>
      </c>
    </row>
    <row r="686" spans="1:18" x14ac:dyDescent="0.3">
      <c r="A686" s="1" t="d">
        <v>2024-11-29</v>
      </c>
      <c r="B686">
        <v>45506</v>
      </c>
      <c r="C686" t="str">
        <f>VLOOKUP(Fato_Producao[[#This Row],[referencia]], Dim_Produtos!A:B,2,FALSE)</f>
        <v>perca posta</v>
      </c>
      <c r="D686">
        <v>3506</v>
      </c>
      <c r="E686">
        <v>3171</v>
      </c>
      <c r="F686" s="5">
        <v>9.5600000000000004E-2</v>
      </c>
      <c r="G686" s="6">
        <v>117.25</v>
      </c>
      <c r="H686">
        <v>11</v>
      </c>
      <c r="I686">
        <v>319</v>
      </c>
      <c r="J686">
        <v>5</v>
      </c>
      <c r="K686">
        <f>Fato_Producao[[#This Row],[embalagens_danificadas]]+Fato_Producao[[#This Row],[peso_errado]]+Fato_Producao[[#This Row],[impressao]]</f>
        <v>335</v>
      </c>
      <c r="L686" s="1" t="d">
        <v>2024-10-15</v>
      </c>
      <c r="M686">
        <v>45</v>
      </c>
      <c r="N686" s="7">
        <v>17.59</v>
      </c>
      <c r="O686" s="4" t="str">
        <f t="shared" si="30"/>
        <v>novembro</v>
      </c>
      <c r="P686" s="4">
        <f t="shared" si="31"/>
        <v>2024</v>
      </c>
      <c r="Q686" s="4" t="str">
        <f t="shared" si="32"/>
        <v/>
      </c>
      <c r="R686" t="s">
        <v>24</v>
      </c>
    </row>
    <row r="687" spans="1:18" x14ac:dyDescent="0.3">
      <c r="A687" s="1" t="d">
        <v>2024-11-30</v>
      </c>
      <c r="B687">
        <v>45510</v>
      </c>
      <c r="C687" t="str">
        <f>VLOOKUP(Fato_Producao[[#This Row],[referencia]], Dim_Produtos!A:B,2,FALSE)</f>
        <v>tiras pota</v>
      </c>
      <c r="D687">
        <v>2521</v>
      </c>
      <c r="E687">
        <v>2267</v>
      </c>
      <c r="F687" s="5">
        <v>0.1008</v>
      </c>
      <c r="G687" s="6">
        <v>81.28</v>
      </c>
      <c r="H687">
        <v>29</v>
      </c>
      <c r="I687">
        <v>222</v>
      </c>
      <c r="J687">
        <v>3</v>
      </c>
      <c r="K687">
        <f>Fato_Producao[[#This Row],[embalagens_danificadas]]+Fato_Producao[[#This Row],[peso_errado]]+Fato_Producao[[#This Row],[impressao]]</f>
        <v>254</v>
      </c>
      <c r="L687" s="1" t="d">
        <v>2024-10-15</v>
      </c>
      <c r="M687">
        <v>46</v>
      </c>
      <c r="N687" s="7">
        <v>11.38</v>
      </c>
      <c r="O687" s="4" t="str">
        <f t="shared" si="30"/>
        <v>novembro</v>
      </c>
      <c r="P687" s="4">
        <f t="shared" si="31"/>
        <v>2024</v>
      </c>
      <c r="Q687" s="4" t="str">
        <f t="shared" si="32"/>
        <v/>
      </c>
      <c r="R687" t="s">
        <v>24</v>
      </c>
    </row>
    <row r="688" spans="1:18" x14ac:dyDescent="0.3">
      <c r="A688" s="1" t="d">
        <v>2024-11-30</v>
      </c>
      <c r="B688">
        <v>45501</v>
      </c>
      <c r="C688" t="str">
        <f>VLOOKUP(Fato_Producao[[#This Row],[referencia]], Dim_Produtos!A:B,2,FALSE)</f>
        <v>pescada posta cozer</v>
      </c>
      <c r="D688">
        <v>2182</v>
      </c>
      <c r="E688">
        <v>1962</v>
      </c>
      <c r="F688" s="5">
        <v>0.1008</v>
      </c>
      <c r="G688" s="6">
        <v>70.400000000000006</v>
      </c>
      <c r="H688">
        <v>9</v>
      </c>
      <c r="I688">
        <v>205</v>
      </c>
      <c r="J688">
        <v>6</v>
      </c>
      <c r="K688">
        <f>Fato_Producao[[#This Row],[embalagens_danificadas]]+Fato_Producao[[#This Row],[peso_errado]]+Fato_Producao[[#This Row],[impressao]]</f>
        <v>220</v>
      </c>
      <c r="L688" s="1" t="d">
        <v>2024-10-15</v>
      </c>
      <c r="M688">
        <v>46</v>
      </c>
      <c r="N688" s="7">
        <v>9.86</v>
      </c>
      <c r="O688" s="4" t="str">
        <f t="shared" si="30"/>
        <v>novembro</v>
      </c>
      <c r="P688" s="4">
        <f t="shared" si="31"/>
        <v>2024</v>
      </c>
      <c r="Q688" s="4" t="str">
        <f t="shared" si="32"/>
        <v/>
      </c>
      <c r="R688" t="s">
        <v>24</v>
      </c>
    </row>
    <row r="689" spans="1:18" x14ac:dyDescent="0.3">
      <c r="A689" s="1" t="d">
        <v>2024-12-01</v>
      </c>
      <c r="B689">
        <v>45511</v>
      </c>
      <c r="C689" t="str">
        <f>VLOOKUP(Fato_Producao[[#This Row],[referencia]], Dim_Produtos!A:B,2,FALSE)</f>
        <v>lula limpa</v>
      </c>
      <c r="D689">
        <v>2023</v>
      </c>
      <c r="E689">
        <v>1801</v>
      </c>
      <c r="F689" s="5">
        <v>0.10970000000000001</v>
      </c>
      <c r="G689" s="6">
        <v>71.040000000000006</v>
      </c>
      <c r="H689">
        <v>27</v>
      </c>
      <c r="I689">
        <v>190</v>
      </c>
      <c r="J689">
        <v>5</v>
      </c>
      <c r="K689">
        <f>Fato_Producao[[#This Row],[embalagens_danificadas]]+Fato_Producao[[#This Row],[peso_errado]]+Fato_Producao[[#This Row],[impressao]]</f>
        <v>222</v>
      </c>
      <c r="L689" s="1" t="d">
        <v>2024-10-15</v>
      </c>
      <c r="M689">
        <v>47</v>
      </c>
      <c r="N689" s="7">
        <v>9.9499999999999993</v>
      </c>
      <c r="O689" s="4" t="str">
        <f t="shared" si="30"/>
        <v>dezembro</v>
      </c>
      <c r="P689" s="4">
        <f t="shared" si="31"/>
        <v>2024</v>
      </c>
      <c r="Q689" s="4" t="str">
        <f t="shared" si="32"/>
        <v/>
      </c>
      <c r="R689" t="s">
        <v>24</v>
      </c>
    </row>
    <row r="690" spans="1:18" x14ac:dyDescent="0.3">
      <c r="A690" s="1" t="d">
        <v>2024-12-01</v>
      </c>
      <c r="B690">
        <v>45512</v>
      </c>
      <c r="C690" t="str">
        <f>VLOOKUP(Fato_Producao[[#This Row],[referencia]], Dim_Produtos!A:B,2,FALSE)</f>
        <v>red-fish posta</v>
      </c>
      <c r="D690">
        <v>4044</v>
      </c>
      <c r="E690">
        <v>3710</v>
      </c>
      <c r="F690" s="5">
        <v>8.2600000000000007E-2</v>
      </c>
      <c r="G690" s="6">
        <v>113.56</v>
      </c>
      <c r="H690">
        <v>15</v>
      </c>
      <c r="I690">
        <v>315</v>
      </c>
      <c r="J690">
        <v>4</v>
      </c>
      <c r="K690">
        <f>Fato_Producao[[#This Row],[embalagens_danificadas]]+Fato_Producao[[#This Row],[peso_errado]]+Fato_Producao[[#This Row],[impressao]]</f>
        <v>334</v>
      </c>
      <c r="L690" s="1" t="d">
        <v>2024-10-15</v>
      </c>
      <c r="M690">
        <v>47</v>
      </c>
      <c r="N690" s="7">
        <v>15.9</v>
      </c>
      <c r="O690" s="4" t="str">
        <f t="shared" si="30"/>
        <v>dezembro</v>
      </c>
      <c r="P690" s="4">
        <f t="shared" si="31"/>
        <v>2024</v>
      </c>
      <c r="Q690" s="4" t="str">
        <f t="shared" si="32"/>
        <v/>
      </c>
      <c r="R690" t="s">
        <v>24</v>
      </c>
    </row>
    <row r="691" spans="1:18" x14ac:dyDescent="0.3">
      <c r="A691" s="1" t="d">
        <v>2024-12-02</v>
      </c>
      <c r="B691">
        <v>45514</v>
      </c>
      <c r="C691" t="str">
        <f>VLOOKUP(Fato_Producao[[#This Row],[referencia]], Dim_Produtos!A:B,2,FALSE)</f>
        <v>sardinha pequena</v>
      </c>
      <c r="D691">
        <v>3210</v>
      </c>
      <c r="E691">
        <v>2838</v>
      </c>
      <c r="F691" s="5">
        <v>0.1159</v>
      </c>
      <c r="G691" s="6">
        <v>111.6</v>
      </c>
      <c r="H691">
        <v>23</v>
      </c>
      <c r="I691">
        <v>342</v>
      </c>
      <c r="J691">
        <v>7</v>
      </c>
      <c r="K691">
        <f>Fato_Producao[[#This Row],[embalagens_danificadas]]+Fato_Producao[[#This Row],[peso_errado]]+Fato_Producao[[#This Row],[impressao]]</f>
        <v>372</v>
      </c>
      <c r="L691" s="1" t="d">
        <v>2024-10-15</v>
      </c>
      <c r="M691">
        <v>48</v>
      </c>
      <c r="N691" s="7">
        <v>13.39</v>
      </c>
      <c r="O691" s="4" t="str">
        <f t="shared" si="30"/>
        <v>dezembro</v>
      </c>
      <c r="P691" s="4">
        <f t="shared" si="31"/>
        <v>2024</v>
      </c>
      <c r="Q691" s="4" t="str">
        <f t="shared" si="32"/>
        <v/>
      </c>
      <c r="R691" t="s">
        <v>24</v>
      </c>
    </row>
    <row r="692" spans="1:18" x14ac:dyDescent="0.3">
      <c r="A692" s="1" t="d">
        <v>2024-12-02</v>
      </c>
      <c r="B692">
        <v>45505</v>
      </c>
      <c r="C692" t="str">
        <f>VLOOKUP(Fato_Producao[[#This Row],[referencia]], Dim_Produtos!A:B,2,FALSE)</f>
        <v>camarao</v>
      </c>
      <c r="D692">
        <v>3219</v>
      </c>
      <c r="E692">
        <v>2910</v>
      </c>
      <c r="F692" s="5">
        <v>9.6000000000000002E-2</v>
      </c>
      <c r="G692" s="6">
        <v>92.7</v>
      </c>
      <c r="H692">
        <v>72</v>
      </c>
      <c r="I692">
        <v>226</v>
      </c>
      <c r="J692">
        <v>11</v>
      </c>
      <c r="K692">
        <f>Fato_Producao[[#This Row],[embalagens_danificadas]]+Fato_Producao[[#This Row],[peso_errado]]+Fato_Producao[[#This Row],[impressao]]</f>
        <v>309</v>
      </c>
      <c r="L692" s="1" t="d">
        <v>2024-10-15</v>
      </c>
      <c r="M692">
        <v>48</v>
      </c>
      <c r="N692" s="7">
        <v>13.9</v>
      </c>
      <c r="O692" s="4" t="str">
        <f t="shared" si="30"/>
        <v>dezembro</v>
      </c>
      <c r="P692" s="4">
        <f t="shared" si="31"/>
        <v>2024</v>
      </c>
      <c r="Q692" s="4" t="str">
        <f t="shared" si="32"/>
        <v/>
      </c>
      <c r="R692" t="s">
        <v>24</v>
      </c>
    </row>
    <row r="693" spans="1:18" x14ac:dyDescent="0.3">
      <c r="A693" s="1" t="d">
        <v>2024-12-03</v>
      </c>
      <c r="B693">
        <v>45503</v>
      </c>
      <c r="C693" t="str">
        <f>VLOOKUP(Fato_Producao[[#This Row],[referencia]], Dim_Produtos!A:B,2,FALSE)</f>
        <v>sardinha pequena</v>
      </c>
      <c r="D693">
        <v>3514</v>
      </c>
      <c r="E693">
        <v>3272</v>
      </c>
      <c r="F693" s="5">
        <v>6.8900000000000003E-2</v>
      </c>
      <c r="G693" s="6">
        <v>62.92</v>
      </c>
      <c r="H693">
        <v>16</v>
      </c>
      <c r="I693">
        <v>221</v>
      </c>
      <c r="J693">
        <v>5</v>
      </c>
      <c r="K693">
        <f>Fato_Producao[[#This Row],[embalagens_danificadas]]+Fato_Producao[[#This Row],[peso_errado]]+Fato_Producao[[#This Row],[impressao]]</f>
        <v>242</v>
      </c>
      <c r="L693" s="1" t="d">
        <v>2024-10-15</v>
      </c>
      <c r="M693">
        <v>49</v>
      </c>
      <c r="N693" s="7">
        <v>6.92</v>
      </c>
      <c r="O693" s="4" t="str">
        <f t="shared" si="30"/>
        <v>dezembro</v>
      </c>
      <c r="P693" s="4">
        <f t="shared" si="31"/>
        <v>2024</v>
      </c>
      <c r="Q693" s="4" t="str">
        <f t="shared" si="32"/>
        <v/>
      </c>
      <c r="R693" t="s">
        <v>24</v>
      </c>
    </row>
    <row r="694" spans="1:18" x14ac:dyDescent="0.3">
      <c r="A694" s="1" t="d">
        <v>2024-12-04</v>
      </c>
      <c r="B694">
        <v>45508</v>
      </c>
      <c r="C694" t="str">
        <f>VLOOKUP(Fato_Producao[[#This Row],[referencia]], Dim_Produtos!A:B,2,FALSE)</f>
        <v>lula suja</v>
      </c>
      <c r="D694">
        <v>4181</v>
      </c>
      <c r="E694">
        <v>3686</v>
      </c>
      <c r="F694" s="5">
        <v>0.11840000000000001</v>
      </c>
      <c r="G694" s="6">
        <v>158.4</v>
      </c>
      <c r="H694">
        <v>41</v>
      </c>
      <c r="I694">
        <v>440</v>
      </c>
      <c r="J694">
        <v>14</v>
      </c>
      <c r="K694">
        <f>Fato_Producao[[#This Row],[embalagens_danificadas]]+Fato_Producao[[#This Row],[peso_errado]]+Fato_Producao[[#This Row],[impressao]]</f>
        <v>495</v>
      </c>
      <c r="L694" s="1" t="d">
        <v>2024-10-15</v>
      </c>
      <c r="M694">
        <v>50</v>
      </c>
      <c r="N694" s="7">
        <v>22.18</v>
      </c>
      <c r="O694" s="4" t="str">
        <f t="shared" si="30"/>
        <v>dezembro</v>
      </c>
      <c r="P694" s="4">
        <f t="shared" si="31"/>
        <v>2024</v>
      </c>
      <c r="Q694" s="4" t="str">
        <f t="shared" si="32"/>
        <v/>
      </c>
      <c r="R694" t="s">
        <v>24</v>
      </c>
    </row>
    <row r="695" spans="1:18" x14ac:dyDescent="0.3">
      <c r="A695" s="1" t="d">
        <v>2024-12-04</v>
      </c>
      <c r="B695">
        <v>45513</v>
      </c>
      <c r="C695" t="str">
        <f>VLOOKUP(Fato_Producao[[#This Row],[referencia]], Dim_Produtos!A:B,2,FALSE)</f>
        <v>filete pescada</v>
      </c>
      <c r="D695">
        <v>3535</v>
      </c>
      <c r="E695">
        <v>3286</v>
      </c>
      <c r="F695" s="5">
        <v>7.0400000000000004E-2</v>
      </c>
      <c r="G695" s="6">
        <v>79.680000000000007</v>
      </c>
      <c r="H695">
        <v>18</v>
      </c>
      <c r="I695">
        <v>228</v>
      </c>
      <c r="J695">
        <v>3</v>
      </c>
      <c r="K695">
        <f>Fato_Producao[[#This Row],[embalagens_danificadas]]+Fato_Producao[[#This Row],[peso_errado]]+Fato_Producao[[#This Row],[impressao]]</f>
        <v>249</v>
      </c>
      <c r="L695" s="1" t="d">
        <v>2024-10-15</v>
      </c>
      <c r="M695">
        <v>50</v>
      </c>
      <c r="N695" s="7">
        <v>10.36</v>
      </c>
      <c r="O695" s="4" t="str">
        <f t="shared" si="30"/>
        <v>dezembro</v>
      </c>
      <c r="P695" s="4">
        <f t="shared" si="31"/>
        <v>2024</v>
      </c>
      <c r="Q695" s="4" t="str">
        <f t="shared" si="32"/>
        <v/>
      </c>
      <c r="R695" t="s">
        <v>24</v>
      </c>
    </row>
    <row r="696" spans="1:18" x14ac:dyDescent="0.3">
      <c r="A696" s="1" t="d">
        <v>2024-12-05</v>
      </c>
      <c r="B696">
        <v>45509</v>
      </c>
      <c r="C696" t="str">
        <f>VLOOKUP(Fato_Producao[[#This Row],[referencia]], Dim_Produtos!A:B,2,FALSE)</f>
        <v>lascas bacalhau</v>
      </c>
      <c r="D696">
        <v>3317</v>
      </c>
      <c r="E696">
        <v>3055</v>
      </c>
      <c r="F696" s="5">
        <v>7.9000000000000001E-2</v>
      </c>
      <c r="G696" s="6">
        <v>73.36</v>
      </c>
      <c r="H696">
        <v>5</v>
      </c>
      <c r="I696">
        <v>251</v>
      </c>
      <c r="J696">
        <v>6</v>
      </c>
      <c r="K696">
        <f>Fato_Producao[[#This Row],[embalagens_danificadas]]+Fato_Producao[[#This Row],[peso_errado]]+Fato_Producao[[#This Row],[impressao]]</f>
        <v>262</v>
      </c>
      <c r="L696" s="1" t="d">
        <v>2024-10-15</v>
      </c>
      <c r="M696">
        <v>51</v>
      </c>
      <c r="N696" s="7">
        <v>9.5399999999999991</v>
      </c>
      <c r="O696" s="4" t="str">
        <f t="shared" si="30"/>
        <v>dezembro</v>
      </c>
      <c r="P696" s="4">
        <f t="shared" si="31"/>
        <v>2024</v>
      </c>
      <c r="Q696" s="4" t="str">
        <f t="shared" si="32"/>
        <v/>
      </c>
      <c r="R696" t="s">
        <v>24</v>
      </c>
    </row>
    <row r="697" spans="1:18" x14ac:dyDescent="0.3">
      <c r="A697" s="1" t="d">
        <v>2024-12-06</v>
      </c>
      <c r="B697">
        <v>45501</v>
      </c>
      <c r="C697" t="str">
        <f>VLOOKUP(Fato_Producao[[#This Row],[referencia]], Dim_Produtos!A:B,2,FALSE)</f>
        <v>pescada posta cozer</v>
      </c>
      <c r="D697">
        <v>2964</v>
      </c>
      <c r="E697">
        <v>2684</v>
      </c>
      <c r="F697" s="5">
        <v>9.4500000000000001E-2</v>
      </c>
      <c r="G697" s="6">
        <v>89.6</v>
      </c>
      <c r="H697">
        <v>14</v>
      </c>
      <c r="I697">
        <v>259</v>
      </c>
      <c r="J697">
        <v>7</v>
      </c>
      <c r="K697">
        <f>Fato_Producao[[#This Row],[embalagens_danificadas]]+Fato_Producao[[#This Row],[peso_errado]]+Fato_Producao[[#This Row],[impressao]]</f>
        <v>280</v>
      </c>
      <c r="L697" s="1" t="d">
        <v>2024-10-15</v>
      </c>
      <c r="M697">
        <v>52</v>
      </c>
      <c r="N697" s="7">
        <v>12.54</v>
      </c>
      <c r="O697" s="4" t="str">
        <f t="shared" si="30"/>
        <v>dezembro</v>
      </c>
      <c r="P697" s="4">
        <f t="shared" si="31"/>
        <v>2024</v>
      </c>
      <c r="Q697" s="4" t="str">
        <f t="shared" si="32"/>
        <v/>
      </c>
      <c r="R697" t="s">
        <v>24</v>
      </c>
    </row>
    <row r="698" spans="1:18" x14ac:dyDescent="0.3">
      <c r="A698" s="1" t="d">
        <v>2024-12-06</v>
      </c>
      <c r="B698">
        <v>45514</v>
      </c>
      <c r="C698" t="str">
        <f>VLOOKUP(Fato_Producao[[#This Row],[referencia]], Dim_Produtos!A:B,2,FALSE)</f>
        <v>sardinha pequena</v>
      </c>
      <c r="D698">
        <v>3264</v>
      </c>
      <c r="E698">
        <v>2932</v>
      </c>
      <c r="F698" s="5">
        <v>0.1017</v>
      </c>
      <c r="G698" s="6">
        <v>99.6</v>
      </c>
      <c r="H698">
        <v>15</v>
      </c>
      <c r="I698">
        <v>309</v>
      </c>
      <c r="J698">
        <v>8</v>
      </c>
      <c r="K698">
        <f>Fato_Producao[[#This Row],[embalagens_danificadas]]+Fato_Producao[[#This Row],[peso_errado]]+Fato_Producao[[#This Row],[impressao]]</f>
        <v>332</v>
      </c>
      <c r="L698" s="1" t="d">
        <v>2024-10-15</v>
      </c>
      <c r="M698">
        <v>52</v>
      </c>
      <c r="N698" s="7">
        <v>11.95</v>
      </c>
      <c r="O698" s="4" t="str">
        <f t="shared" si="30"/>
        <v>dezembro</v>
      </c>
      <c r="P698" s="4">
        <f t="shared" si="31"/>
        <v>2024</v>
      </c>
      <c r="Q698" s="4" t="str">
        <f t="shared" si="32"/>
        <v/>
      </c>
      <c r="R698" t="s">
        <v>24</v>
      </c>
    </row>
    <row r="699" spans="1:18" x14ac:dyDescent="0.3">
      <c r="A699" s="1" t="d">
        <v>2024-12-07</v>
      </c>
      <c r="B699">
        <v>45503</v>
      </c>
      <c r="C699" t="str">
        <f>VLOOKUP(Fato_Producao[[#This Row],[referencia]], Dim_Produtos!A:B,2,FALSE)</f>
        <v>sardinha pequena</v>
      </c>
      <c r="D699">
        <v>2613</v>
      </c>
      <c r="E699">
        <v>2370</v>
      </c>
      <c r="F699" s="5">
        <v>9.2999999999999999E-2</v>
      </c>
      <c r="G699" s="6">
        <v>63.18</v>
      </c>
      <c r="H699">
        <v>14</v>
      </c>
      <c r="I699">
        <v>222</v>
      </c>
      <c r="J699">
        <v>7</v>
      </c>
      <c r="K699">
        <f>Fato_Producao[[#This Row],[embalagens_danificadas]]+Fato_Producao[[#This Row],[peso_errado]]+Fato_Producao[[#This Row],[impressao]]</f>
        <v>243</v>
      </c>
      <c r="L699" s="1" t="d">
        <v>2024-10-15</v>
      </c>
      <c r="M699">
        <v>53</v>
      </c>
      <c r="N699" s="7">
        <v>6.95</v>
      </c>
      <c r="O699" s="4" t="str">
        <f t="shared" si="30"/>
        <v>dezembro</v>
      </c>
      <c r="P699" s="4">
        <f t="shared" si="31"/>
        <v>2024</v>
      </c>
      <c r="Q699" s="4" t="str">
        <f t="shared" si="32"/>
        <v/>
      </c>
      <c r="R699" t="s">
        <v>24</v>
      </c>
    </row>
    <row r="700" spans="1:18" x14ac:dyDescent="0.3">
      <c r="A700" s="1" t="d">
        <v>2024-12-07</v>
      </c>
      <c r="B700">
        <v>45505</v>
      </c>
      <c r="C700" t="str">
        <f>VLOOKUP(Fato_Producao[[#This Row],[referencia]], Dim_Produtos!A:B,2,FALSE)</f>
        <v>camarao</v>
      </c>
      <c r="D700">
        <v>3799</v>
      </c>
      <c r="E700">
        <v>3479</v>
      </c>
      <c r="F700" s="5">
        <v>8.4199999999999997E-2</v>
      </c>
      <c r="G700" s="6">
        <v>96</v>
      </c>
      <c r="H700">
        <v>85</v>
      </c>
      <c r="I700">
        <v>230</v>
      </c>
      <c r="J700">
        <v>5</v>
      </c>
      <c r="K700">
        <f>Fato_Producao[[#This Row],[embalagens_danificadas]]+Fato_Producao[[#This Row],[peso_errado]]+Fato_Producao[[#This Row],[impressao]]</f>
        <v>320</v>
      </c>
      <c r="L700" s="1" t="d">
        <v>2024-10-15</v>
      </c>
      <c r="M700">
        <v>53</v>
      </c>
      <c r="N700" s="7">
        <v>14.4</v>
      </c>
      <c r="O700" s="4" t="str">
        <f t="shared" si="30"/>
        <v>dezembro</v>
      </c>
      <c r="P700" s="4">
        <f t="shared" si="31"/>
        <v>2024</v>
      </c>
      <c r="Q700" s="4" t="str">
        <f t="shared" si="32"/>
        <v/>
      </c>
      <c r="R700" t="s">
        <v>24</v>
      </c>
    </row>
    <row r="701" spans="1:18" x14ac:dyDescent="0.3">
      <c r="A701" s="1" t="d">
        <v>2024-12-08</v>
      </c>
      <c r="B701">
        <v>45512</v>
      </c>
      <c r="C701" t="str">
        <f>VLOOKUP(Fato_Producao[[#This Row],[referencia]], Dim_Produtos!A:B,2,FALSE)</f>
        <v>red-fish posta</v>
      </c>
      <c r="D701">
        <v>1974</v>
      </c>
      <c r="E701">
        <v>1803</v>
      </c>
      <c r="F701" s="5">
        <v>8.6599999999999996E-2</v>
      </c>
      <c r="G701" s="6">
        <v>58.14</v>
      </c>
      <c r="H701">
        <v>12</v>
      </c>
      <c r="I701">
        <v>156</v>
      </c>
      <c r="J701">
        <v>3</v>
      </c>
      <c r="K701">
        <f>Fato_Producao[[#This Row],[embalagens_danificadas]]+Fato_Producao[[#This Row],[peso_errado]]+Fato_Producao[[#This Row],[impressao]]</f>
        <v>171</v>
      </c>
      <c r="L701" s="1" t="d">
        <v>2024-10-15</v>
      </c>
      <c r="M701">
        <v>54</v>
      </c>
      <c r="N701" s="7">
        <v>8.14</v>
      </c>
      <c r="O701" s="4" t="str">
        <f t="shared" si="30"/>
        <v>dezembro</v>
      </c>
      <c r="P701" s="4">
        <f t="shared" si="31"/>
        <v>2024</v>
      </c>
      <c r="Q701" s="4" t="str">
        <f t="shared" si="32"/>
        <v/>
      </c>
      <c r="R701" t="s">
        <v>24</v>
      </c>
    </row>
    <row r="702" spans="1:18" x14ac:dyDescent="0.3">
      <c r="A702" s="1" t="d">
        <v>2024-12-08</v>
      </c>
      <c r="B702">
        <v>45508</v>
      </c>
      <c r="C702" t="str">
        <f>VLOOKUP(Fato_Producao[[#This Row],[referencia]], Dim_Produtos!A:B,2,FALSE)</f>
        <v>lula suja</v>
      </c>
      <c r="D702">
        <v>2970</v>
      </c>
      <c r="E702">
        <v>2612</v>
      </c>
      <c r="F702" s="5">
        <v>0.1205</v>
      </c>
      <c r="G702" s="6">
        <v>114.56</v>
      </c>
      <c r="H702">
        <v>38</v>
      </c>
      <c r="I702">
        <v>313</v>
      </c>
      <c r="J702">
        <v>7</v>
      </c>
      <c r="K702">
        <f>Fato_Producao[[#This Row],[embalagens_danificadas]]+Fato_Producao[[#This Row],[peso_errado]]+Fato_Producao[[#This Row],[impressao]]</f>
        <v>358</v>
      </c>
      <c r="L702" s="1" t="d">
        <v>2024-10-15</v>
      </c>
      <c r="M702">
        <v>54</v>
      </c>
      <c r="N702" s="7">
        <v>16.04</v>
      </c>
      <c r="O702" s="4" t="str">
        <f t="shared" si="30"/>
        <v>dezembro</v>
      </c>
      <c r="P702" s="4">
        <f t="shared" si="31"/>
        <v>2024</v>
      </c>
      <c r="Q702" s="4">
        <f t="shared" si="32"/>
        <v>54</v>
      </c>
      <c r="R702" t="s">
        <v>24</v>
      </c>
    </row>
    <row r="703" spans="1:18" x14ac:dyDescent="0.3">
      <c r="A703" s="1" t="d">
        <v>2024-12-09</v>
      </c>
      <c r="B703">
        <v>45506</v>
      </c>
      <c r="C703" t="str">
        <f>VLOOKUP(Fato_Producao[[#This Row],[referencia]], Dim_Produtos!A:B,2,FALSE)</f>
        <v>perca posta</v>
      </c>
      <c r="D703">
        <v>3673</v>
      </c>
      <c r="E703">
        <v>3517</v>
      </c>
      <c r="F703" s="5">
        <v>4.2500000000000003E-2</v>
      </c>
      <c r="G703" s="6">
        <v>54.6</v>
      </c>
      <c r="H703">
        <v>8</v>
      </c>
      <c r="I703">
        <v>144</v>
      </c>
      <c r="J703">
        <v>4</v>
      </c>
      <c r="K703">
        <f>Fato_Producao[[#This Row],[embalagens_danificadas]]+Fato_Producao[[#This Row],[peso_errado]]+Fato_Producao[[#This Row],[impressao]]</f>
        <v>156</v>
      </c>
      <c r="L703" s="1" t="d">
        <v>2024-12-09</v>
      </c>
      <c r="M703">
        <v>0</v>
      </c>
      <c r="N703" s="7">
        <v>8.19</v>
      </c>
      <c r="O703" s="4" t="str">
        <f t="shared" si="30"/>
        <v>dezembro</v>
      </c>
      <c r="P703" s="4">
        <f t="shared" si="31"/>
        <v>2024</v>
      </c>
      <c r="Q703" s="4" t="str">
        <f t="shared" si="32"/>
        <v/>
      </c>
      <c r="R703" t="s">
        <v>24</v>
      </c>
    </row>
    <row r="704" spans="1:18" x14ac:dyDescent="0.3">
      <c r="A704" s="1" t="d">
        <v>2024-12-09</v>
      </c>
      <c r="B704">
        <v>45500</v>
      </c>
      <c r="C704" t="str">
        <f>VLOOKUP(Fato_Producao[[#This Row],[referencia]], Dim_Produtos!A:B,2,FALSE)</f>
        <v>filete pescada</v>
      </c>
      <c r="D704">
        <v>3363</v>
      </c>
      <c r="E704">
        <v>3234</v>
      </c>
      <c r="F704" s="5">
        <v>3.8399999999999997E-2</v>
      </c>
      <c r="G704" s="6">
        <v>36.119999999999997</v>
      </c>
      <c r="H704">
        <v>5</v>
      </c>
      <c r="I704">
        <v>122</v>
      </c>
      <c r="J704">
        <v>2</v>
      </c>
      <c r="K704">
        <f>Fato_Producao[[#This Row],[embalagens_danificadas]]+Fato_Producao[[#This Row],[peso_errado]]+Fato_Producao[[#This Row],[impressao]]</f>
        <v>129</v>
      </c>
      <c r="L704" s="1" t="d">
        <v>2024-12-09</v>
      </c>
      <c r="M704">
        <v>0</v>
      </c>
      <c r="N704" s="7">
        <v>4.33</v>
      </c>
      <c r="O704" s="4" t="str">
        <f t="shared" si="30"/>
        <v>dezembro</v>
      </c>
      <c r="P704" s="4">
        <f t="shared" si="31"/>
        <v>2024</v>
      </c>
      <c r="Q704" s="4" t="str">
        <f t="shared" si="32"/>
        <v/>
      </c>
      <c r="R704" t="s">
        <v>24</v>
      </c>
    </row>
    <row r="705" spans="1:18" x14ac:dyDescent="0.3">
      <c r="A705" s="1" t="d">
        <v>2024-12-10</v>
      </c>
      <c r="B705">
        <v>45505</v>
      </c>
      <c r="C705" t="str">
        <f>VLOOKUP(Fato_Producao[[#This Row],[referencia]], Dim_Produtos!A:B,2,FALSE)</f>
        <v>camarao</v>
      </c>
      <c r="D705">
        <v>3166</v>
      </c>
      <c r="E705">
        <v>2987</v>
      </c>
      <c r="F705" s="5">
        <v>5.6500000000000002E-2</v>
      </c>
      <c r="G705" s="6">
        <v>53.7</v>
      </c>
      <c r="H705">
        <v>34</v>
      </c>
      <c r="I705">
        <v>140</v>
      </c>
      <c r="J705">
        <v>5</v>
      </c>
      <c r="K705">
        <f>Fato_Producao[[#This Row],[embalagens_danificadas]]+Fato_Producao[[#This Row],[peso_errado]]+Fato_Producao[[#This Row],[impressao]]</f>
        <v>179</v>
      </c>
      <c r="L705" s="1" t="d">
        <v>2024-12-09</v>
      </c>
      <c r="M705">
        <v>1</v>
      </c>
      <c r="N705" s="7">
        <v>8.0500000000000007</v>
      </c>
      <c r="O705" s="4" t="str">
        <f t="shared" si="30"/>
        <v>dezembro</v>
      </c>
      <c r="P705" s="4">
        <f t="shared" si="31"/>
        <v>2024</v>
      </c>
      <c r="Q705" s="4" t="str">
        <f t="shared" si="32"/>
        <v/>
      </c>
      <c r="R705" t="s">
        <v>24</v>
      </c>
    </row>
    <row r="706" spans="1:18" x14ac:dyDescent="0.3">
      <c r="A706" s="1" t="d">
        <v>2024-12-10</v>
      </c>
      <c r="B706">
        <v>45502</v>
      </c>
      <c r="C706" t="str">
        <f>VLOOKUP(Fato_Producao[[#This Row],[referencia]], Dim_Produtos!A:B,2,FALSE)</f>
        <v>carapau pelim</v>
      </c>
      <c r="D706">
        <v>2243</v>
      </c>
      <c r="E706">
        <v>2111</v>
      </c>
      <c r="F706" s="5">
        <v>5.8799999999999998E-2</v>
      </c>
      <c r="G706" s="6">
        <v>39.6</v>
      </c>
      <c r="H706">
        <v>26</v>
      </c>
      <c r="I706">
        <v>103</v>
      </c>
      <c r="J706">
        <v>3</v>
      </c>
      <c r="K706">
        <f>Fato_Producao[[#This Row],[embalagens_danificadas]]+Fato_Producao[[#This Row],[peso_errado]]+Fato_Producao[[#This Row],[impressao]]</f>
        <v>132</v>
      </c>
      <c r="L706" s="1" t="d">
        <v>2024-12-09</v>
      </c>
      <c r="M706">
        <v>1</v>
      </c>
      <c r="N706" s="7">
        <v>5.15</v>
      </c>
      <c r="O706" s="4" t="str">
        <f t="shared" ref="O706:O769" si="33">TEXT(A706, "mmmm")</f>
        <v>dezembro</v>
      </c>
      <c r="P706" s="4">
        <f t="shared" ref="P706:P769" si="34">YEAR(A706)</f>
        <v>2024</v>
      </c>
      <c r="Q706" s="4" t="str">
        <f t="shared" ref="Q706:Q769" si="35">IF(M707 &gt;= M706, "", M706)</f>
        <v/>
      </c>
      <c r="R706" t="s">
        <v>24</v>
      </c>
    </row>
    <row r="707" spans="1:18" x14ac:dyDescent="0.3">
      <c r="A707" s="1" t="d">
        <v>2024-12-11</v>
      </c>
      <c r="B707">
        <v>45502</v>
      </c>
      <c r="C707" t="str">
        <f>VLOOKUP(Fato_Producao[[#This Row],[referencia]], Dim_Produtos!A:B,2,FALSE)</f>
        <v>carapau pelim</v>
      </c>
      <c r="D707">
        <v>1863</v>
      </c>
      <c r="E707">
        <v>1731</v>
      </c>
      <c r="F707" s="5">
        <v>7.0900000000000005E-2</v>
      </c>
      <c r="G707" s="6">
        <v>39.6</v>
      </c>
      <c r="H707">
        <v>36</v>
      </c>
      <c r="I707">
        <v>92</v>
      </c>
      <c r="J707">
        <v>4</v>
      </c>
      <c r="K707">
        <f>Fato_Producao[[#This Row],[embalagens_danificadas]]+Fato_Producao[[#This Row],[peso_errado]]+Fato_Producao[[#This Row],[impressao]]</f>
        <v>132</v>
      </c>
      <c r="L707" s="1" t="d">
        <v>2024-12-09</v>
      </c>
      <c r="M707">
        <v>2</v>
      </c>
      <c r="N707" s="7">
        <v>5.15</v>
      </c>
      <c r="O707" s="4" t="str">
        <f t="shared" si="33"/>
        <v>dezembro</v>
      </c>
      <c r="P707" s="4">
        <f t="shared" si="34"/>
        <v>2024</v>
      </c>
      <c r="Q707" s="4" t="str">
        <f t="shared" si="35"/>
        <v/>
      </c>
      <c r="R707" t="s">
        <v>24</v>
      </c>
    </row>
    <row r="708" spans="1:18" x14ac:dyDescent="0.3">
      <c r="A708" s="1" t="d">
        <v>2024-12-12</v>
      </c>
      <c r="B708">
        <v>45501</v>
      </c>
      <c r="C708" t="str">
        <f>VLOOKUP(Fato_Producao[[#This Row],[referencia]], Dim_Produtos!A:B,2,FALSE)</f>
        <v>pescada posta cozer</v>
      </c>
      <c r="D708">
        <v>3678</v>
      </c>
      <c r="E708">
        <v>3458</v>
      </c>
      <c r="F708" s="5">
        <v>5.9799999999999999E-2</v>
      </c>
      <c r="G708" s="6">
        <v>70.400000000000006</v>
      </c>
      <c r="H708">
        <v>13</v>
      </c>
      <c r="I708">
        <v>204</v>
      </c>
      <c r="J708">
        <v>3</v>
      </c>
      <c r="K708">
        <f>Fato_Producao[[#This Row],[embalagens_danificadas]]+Fato_Producao[[#This Row],[peso_errado]]+Fato_Producao[[#This Row],[impressao]]</f>
        <v>220</v>
      </c>
      <c r="L708" s="1" t="d">
        <v>2024-12-09</v>
      </c>
      <c r="M708">
        <v>3</v>
      </c>
      <c r="N708" s="7">
        <v>9.86</v>
      </c>
      <c r="O708" s="4" t="str">
        <f t="shared" si="33"/>
        <v>dezembro</v>
      </c>
      <c r="P708" s="4">
        <f t="shared" si="34"/>
        <v>2024</v>
      </c>
      <c r="Q708" s="4" t="str">
        <f t="shared" si="35"/>
        <v/>
      </c>
      <c r="R708" t="s">
        <v>24</v>
      </c>
    </row>
    <row r="709" spans="1:18" x14ac:dyDescent="0.3">
      <c r="A709" s="1" t="d">
        <v>2024-12-12</v>
      </c>
      <c r="B709">
        <v>45507</v>
      </c>
      <c r="C709" t="str">
        <f>VLOOKUP(Fato_Producao[[#This Row],[referencia]], Dim_Produtos!A:B,2,FALSE)</f>
        <v>salmao posta</v>
      </c>
      <c r="D709">
        <v>3126</v>
      </c>
      <c r="E709">
        <v>3025</v>
      </c>
      <c r="F709" s="5">
        <v>3.2300000000000002E-2</v>
      </c>
      <c r="G709" s="6">
        <v>35.35</v>
      </c>
      <c r="H709">
        <v>41</v>
      </c>
      <c r="I709">
        <v>16</v>
      </c>
      <c r="J709">
        <v>44</v>
      </c>
      <c r="K709">
        <f>Fato_Producao[[#This Row],[embalagens_danificadas]]+Fato_Producao[[#This Row],[peso_errado]]+Fato_Producao[[#This Row],[impressao]]</f>
        <v>101</v>
      </c>
      <c r="L709" s="1" t="d">
        <v>2024-12-09</v>
      </c>
      <c r="M709">
        <v>3</v>
      </c>
      <c r="N709" s="7">
        <v>5.66</v>
      </c>
      <c r="O709" s="4" t="str">
        <f t="shared" si="33"/>
        <v>dezembro</v>
      </c>
      <c r="P709" s="4">
        <f t="shared" si="34"/>
        <v>2024</v>
      </c>
      <c r="Q709" s="4" t="str">
        <f t="shared" si="35"/>
        <v/>
      </c>
      <c r="R709" t="s">
        <v>50</v>
      </c>
    </row>
    <row r="710" spans="1:18" x14ac:dyDescent="0.3">
      <c r="A710" s="1" t="d">
        <v>2024-12-13</v>
      </c>
      <c r="B710">
        <v>45505</v>
      </c>
      <c r="C710" t="str">
        <f>VLOOKUP(Fato_Producao[[#This Row],[referencia]], Dim_Produtos!A:B,2,FALSE)</f>
        <v>camarao</v>
      </c>
      <c r="D710">
        <v>3170</v>
      </c>
      <c r="E710">
        <v>2972</v>
      </c>
      <c r="F710" s="5">
        <v>6.25E-2</v>
      </c>
      <c r="G710" s="6">
        <v>59.4</v>
      </c>
      <c r="H710">
        <v>56</v>
      </c>
      <c r="I710">
        <v>136</v>
      </c>
      <c r="J710">
        <v>6</v>
      </c>
      <c r="K710">
        <f>Fato_Producao[[#This Row],[embalagens_danificadas]]+Fato_Producao[[#This Row],[peso_errado]]+Fato_Producao[[#This Row],[impressao]]</f>
        <v>198</v>
      </c>
      <c r="L710" s="1" t="d">
        <v>2024-12-09</v>
      </c>
      <c r="M710">
        <v>4</v>
      </c>
      <c r="N710" s="7">
        <v>8.91</v>
      </c>
      <c r="O710" s="4" t="str">
        <f t="shared" si="33"/>
        <v>dezembro</v>
      </c>
      <c r="P710" s="4">
        <f t="shared" si="34"/>
        <v>2024</v>
      </c>
      <c r="Q710" s="4" t="str">
        <f t="shared" si="35"/>
        <v/>
      </c>
      <c r="R710" t="s">
        <v>24</v>
      </c>
    </row>
    <row r="711" spans="1:18" x14ac:dyDescent="0.3">
      <c r="A711" s="1" t="d">
        <v>2024-12-13</v>
      </c>
      <c r="B711">
        <v>45512</v>
      </c>
      <c r="C711" t="str">
        <f>VLOOKUP(Fato_Producao[[#This Row],[referencia]], Dim_Produtos!A:B,2,FALSE)</f>
        <v>red-fish posta</v>
      </c>
      <c r="D711">
        <v>4190</v>
      </c>
      <c r="E711">
        <v>3926</v>
      </c>
      <c r="F711" s="5">
        <v>6.3E-2</v>
      </c>
      <c r="G711" s="6">
        <v>89.76</v>
      </c>
      <c r="H711">
        <v>9</v>
      </c>
      <c r="I711">
        <v>252</v>
      </c>
      <c r="J711">
        <v>3</v>
      </c>
      <c r="K711">
        <f>Fato_Producao[[#This Row],[embalagens_danificadas]]+Fato_Producao[[#This Row],[peso_errado]]+Fato_Producao[[#This Row],[impressao]]</f>
        <v>264</v>
      </c>
      <c r="L711" s="1" t="d">
        <v>2024-12-09</v>
      </c>
      <c r="M711">
        <v>4</v>
      </c>
      <c r="N711" s="7">
        <v>12.57</v>
      </c>
      <c r="O711" s="4" t="str">
        <f t="shared" si="33"/>
        <v>dezembro</v>
      </c>
      <c r="P711" s="4">
        <f t="shared" si="34"/>
        <v>2024</v>
      </c>
      <c r="Q711" s="4" t="str">
        <f t="shared" si="35"/>
        <v/>
      </c>
      <c r="R711" t="s">
        <v>24</v>
      </c>
    </row>
    <row r="712" spans="1:18" x14ac:dyDescent="0.3">
      <c r="A712" s="1" t="d">
        <v>2024-12-14</v>
      </c>
      <c r="B712">
        <v>45501</v>
      </c>
      <c r="C712" t="str">
        <f>VLOOKUP(Fato_Producao[[#This Row],[referencia]], Dim_Produtos!A:B,2,FALSE)</f>
        <v>pescada posta cozer</v>
      </c>
      <c r="D712">
        <v>3360</v>
      </c>
      <c r="E712">
        <v>3205</v>
      </c>
      <c r="F712" s="5">
        <v>4.6100000000000002E-2</v>
      </c>
      <c r="G712" s="6">
        <v>49.6</v>
      </c>
      <c r="H712">
        <v>10</v>
      </c>
      <c r="I712">
        <v>143</v>
      </c>
      <c r="J712">
        <v>2</v>
      </c>
      <c r="K712">
        <f>Fato_Producao[[#This Row],[embalagens_danificadas]]+Fato_Producao[[#This Row],[peso_errado]]+Fato_Producao[[#This Row],[impressao]]</f>
        <v>155</v>
      </c>
      <c r="L712" s="1" t="d">
        <v>2024-12-09</v>
      </c>
      <c r="M712">
        <v>5</v>
      </c>
      <c r="N712" s="7">
        <v>6.94</v>
      </c>
      <c r="O712" s="4" t="str">
        <f t="shared" si="33"/>
        <v>dezembro</v>
      </c>
      <c r="P712" s="4">
        <f t="shared" si="34"/>
        <v>2024</v>
      </c>
      <c r="Q712" s="4" t="str">
        <f t="shared" si="35"/>
        <v/>
      </c>
      <c r="R712" t="s">
        <v>24</v>
      </c>
    </row>
    <row r="713" spans="1:18" x14ac:dyDescent="0.3">
      <c r="A713" s="1" t="d">
        <v>2024-12-14</v>
      </c>
      <c r="B713">
        <v>45510</v>
      </c>
      <c r="C713" t="str">
        <f>VLOOKUP(Fato_Producao[[#This Row],[referencia]], Dim_Produtos!A:B,2,FALSE)</f>
        <v>tiras pota</v>
      </c>
      <c r="D713">
        <v>3477</v>
      </c>
      <c r="E713">
        <v>3297</v>
      </c>
      <c r="F713" s="5">
        <v>5.1799999999999999E-2</v>
      </c>
      <c r="G713" s="6">
        <v>57.6</v>
      </c>
      <c r="H713">
        <v>16</v>
      </c>
      <c r="I713">
        <v>160</v>
      </c>
      <c r="J713">
        <v>4</v>
      </c>
      <c r="K713">
        <f>Fato_Producao[[#This Row],[embalagens_danificadas]]+Fato_Producao[[#This Row],[peso_errado]]+Fato_Producao[[#This Row],[impressao]]</f>
        <v>180</v>
      </c>
      <c r="L713" s="1" t="d">
        <v>2024-12-09</v>
      </c>
      <c r="M713">
        <v>5</v>
      </c>
      <c r="N713" s="7">
        <v>8.06</v>
      </c>
      <c r="O713" s="4" t="str">
        <f t="shared" si="33"/>
        <v>dezembro</v>
      </c>
      <c r="P713" s="4">
        <f t="shared" si="34"/>
        <v>2024</v>
      </c>
      <c r="Q713" s="4" t="str">
        <f t="shared" si="35"/>
        <v/>
      </c>
      <c r="R713" t="s">
        <v>24</v>
      </c>
    </row>
    <row r="714" spans="1:18" x14ac:dyDescent="0.3">
      <c r="A714" s="1" t="d">
        <v>2024-12-15</v>
      </c>
      <c r="B714">
        <v>45502</v>
      </c>
      <c r="C714" t="str">
        <f>VLOOKUP(Fato_Producao[[#This Row],[referencia]], Dim_Produtos!A:B,2,FALSE)</f>
        <v>carapau pelim</v>
      </c>
      <c r="D714">
        <v>1945</v>
      </c>
      <c r="E714">
        <v>1849</v>
      </c>
      <c r="F714" s="5">
        <v>4.9399999999999999E-2</v>
      </c>
      <c r="G714" s="6">
        <v>28.8</v>
      </c>
      <c r="H714">
        <v>20</v>
      </c>
      <c r="I714">
        <v>73</v>
      </c>
      <c r="J714">
        <v>3</v>
      </c>
      <c r="K714">
        <f>Fato_Producao[[#This Row],[embalagens_danificadas]]+Fato_Producao[[#This Row],[peso_errado]]+Fato_Producao[[#This Row],[impressao]]</f>
        <v>96</v>
      </c>
      <c r="L714" s="1" t="d">
        <v>2024-12-09</v>
      </c>
      <c r="M714">
        <v>6</v>
      </c>
      <c r="N714" s="7">
        <v>3.74</v>
      </c>
      <c r="O714" s="4" t="str">
        <f t="shared" si="33"/>
        <v>dezembro</v>
      </c>
      <c r="P714" s="4">
        <f t="shared" si="34"/>
        <v>2024</v>
      </c>
      <c r="Q714" s="4" t="str">
        <f t="shared" si="35"/>
        <v/>
      </c>
      <c r="R714" t="s">
        <v>24</v>
      </c>
    </row>
    <row r="715" spans="1:18" x14ac:dyDescent="0.3">
      <c r="A715" s="1" t="d">
        <v>2024-12-16</v>
      </c>
      <c r="B715">
        <v>45500</v>
      </c>
      <c r="C715" t="str">
        <f>VLOOKUP(Fato_Producao[[#This Row],[referencia]], Dim_Produtos!A:B,2,FALSE)</f>
        <v>filete pescada</v>
      </c>
      <c r="D715">
        <v>2307</v>
      </c>
      <c r="E715">
        <v>2181</v>
      </c>
      <c r="F715" s="5">
        <v>5.4600000000000003E-2</v>
      </c>
      <c r="G715" s="6">
        <v>35.28</v>
      </c>
      <c r="H715">
        <v>6</v>
      </c>
      <c r="I715">
        <v>118</v>
      </c>
      <c r="J715">
        <v>2</v>
      </c>
      <c r="K715">
        <f>Fato_Producao[[#This Row],[embalagens_danificadas]]+Fato_Producao[[#This Row],[peso_errado]]+Fato_Producao[[#This Row],[impressao]]</f>
        <v>126</v>
      </c>
      <c r="L715" s="1" t="d">
        <v>2024-12-09</v>
      </c>
      <c r="M715">
        <v>7</v>
      </c>
      <c r="N715" s="7">
        <v>4.2300000000000004</v>
      </c>
      <c r="O715" s="4" t="str">
        <f t="shared" si="33"/>
        <v>dezembro</v>
      </c>
      <c r="P715" s="4">
        <f t="shared" si="34"/>
        <v>2024</v>
      </c>
      <c r="Q715" s="4" t="str">
        <f t="shared" si="35"/>
        <v/>
      </c>
      <c r="R715" t="s">
        <v>24</v>
      </c>
    </row>
    <row r="716" spans="1:18" x14ac:dyDescent="0.3">
      <c r="A716" s="1" t="d">
        <v>2024-12-17</v>
      </c>
      <c r="B716">
        <v>45506</v>
      </c>
      <c r="C716" t="str">
        <f>VLOOKUP(Fato_Producao[[#This Row],[referencia]], Dim_Produtos!A:B,2,FALSE)</f>
        <v>perca posta</v>
      </c>
      <c r="D716">
        <v>2522</v>
      </c>
      <c r="E716">
        <v>2438</v>
      </c>
      <c r="F716" s="5">
        <v>3.3300000000000003E-2</v>
      </c>
      <c r="G716" s="6">
        <v>29.4</v>
      </c>
      <c r="H716">
        <v>5</v>
      </c>
      <c r="I716">
        <v>78</v>
      </c>
      <c r="J716">
        <v>1</v>
      </c>
      <c r="K716">
        <f>Fato_Producao[[#This Row],[embalagens_danificadas]]+Fato_Producao[[#This Row],[peso_errado]]+Fato_Producao[[#This Row],[impressao]]</f>
        <v>84</v>
      </c>
      <c r="L716" s="1" t="d">
        <v>2024-12-09</v>
      </c>
      <c r="M716">
        <v>8</v>
      </c>
      <c r="N716" s="7">
        <v>4.41</v>
      </c>
      <c r="O716" s="4" t="str">
        <f t="shared" si="33"/>
        <v>dezembro</v>
      </c>
      <c r="P716" s="4">
        <f t="shared" si="34"/>
        <v>2024</v>
      </c>
      <c r="Q716" s="4" t="str">
        <f t="shared" si="35"/>
        <v/>
      </c>
      <c r="R716" t="s">
        <v>24</v>
      </c>
    </row>
    <row r="717" spans="1:18" x14ac:dyDescent="0.3">
      <c r="A717" s="1" t="d">
        <v>2024-12-17</v>
      </c>
      <c r="B717">
        <v>45511</v>
      </c>
      <c r="C717" t="str">
        <f>VLOOKUP(Fato_Producao[[#This Row],[referencia]], Dim_Produtos!A:B,2,FALSE)</f>
        <v>lula limpa</v>
      </c>
      <c r="D717">
        <v>3262</v>
      </c>
      <c r="E717">
        <v>3001</v>
      </c>
      <c r="F717" s="5">
        <v>0.08</v>
      </c>
      <c r="G717" s="6">
        <v>83.52</v>
      </c>
      <c r="H717">
        <v>29</v>
      </c>
      <c r="I717">
        <v>226</v>
      </c>
      <c r="J717">
        <v>6</v>
      </c>
      <c r="K717">
        <f>Fato_Producao[[#This Row],[embalagens_danificadas]]+Fato_Producao[[#This Row],[peso_errado]]+Fato_Producao[[#This Row],[impressao]]</f>
        <v>261</v>
      </c>
      <c r="L717" s="1" t="d">
        <v>2024-12-09</v>
      </c>
      <c r="M717">
        <v>8</v>
      </c>
      <c r="N717" s="7">
        <v>11.69</v>
      </c>
      <c r="O717" s="4" t="str">
        <f t="shared" si="33"/>
        <v>dezembro</v>
      </c>
      <c r="P717" s="4">
        <f t="shared" si="34"/>
        <v>2024</v>
      </c>
      <c r="Q717" s="4" t="str">
        <f t="shared" si="35"/>
        <v/>
      </c>
      <c r="R717" t="s">
        <v>24</v>
      </c>
    </row>
    <row r="718" spans="1:18" x14ac:dyDescent="0.3">
      <c r="A718" s="1" t="d">
        <v>2024-12-18</v>
      </c>
      <c r="B718">
        <v>45505</v>
      </c>
      <c r="C718" t="str">
        <f>VLOOKUP(Fato_Producao[[#This Row],[referencia]], Dim_Produtos!A:B,2,FALSE)</f>
        <v>camarao</v>
      </c>
      <c r="D718">
        <v>3687</v>
      </c>
      <c r="E718">
        <v>3478</v>
      </c>
      <c r="F718" s="5">
        <v>5.67E-2</v>
      </c>
      <c r="G718" s="6">
        <v>62.7</v>
      </c>
      <c r="H718">
        <v>60</v>
      </c>
      <c r="I718">
        <v>142</v>
      </c>
      <c r="J718">
        <v>7</v>
      </c>
      <c r="K718">
        <f>Fato_Producao[[#This Row],[embalagens_danificadas]]+Fato_Producao[[#This Row],[peso_errado]]+Fato_Producao[[#This Row],[impressao]]</f>
        <v>209</v>
      </c>
      <c r="L718" s="1" t="d">
        <v>2024-12-09</v>
      </c>
      <c r="M718">
        <v>9</v>
      </c>
      <c r="N718" s="7">
        <v>9.4</v>
      </c>
      <c r="O718" s="4" t="str">
        <f t="shared" si="33"/>
        <v>dezembro</v>
      </c>
      <c r="P718" s="4">
        <f t="shared" si="34"/>
        <v>2024</v>
      </c>
      <c r="Q718" s="4" t="str">
        <f t="shared" si="35"/>
        <v/>
      </c>
      <c r="R718" t="s">
        <v>24</v>
      </c>
    </row>
    <row r="719" spans="1:18" x14ac:dyDescent="0.3">
      <c r="A719" s="1" t="d">
        <v>2024-12-18</v>
      </c>
      <c r="B719">
        <v>45501</v>
      </c>
      <c r="C719" t="str">
        <f>VLOOKUP(Fato_Producao[[#This Row],[referencia]], Dim_Produtos!A:B,2,FALSE)</f>
        <v>pescada posta cozer</v>
      </c>
      <c r="D719">
        <v>2755</v>
      </c>
      <c r="E719">
        <v>2586</v>
      </c>
      <c r="F719" s="5">
        <v>6.13E-2</v>
      </c>
      <c r="G719" s="6">
        <v>54.08</v>
      </c>
      <c r="H719">
        <v>63</v>
      </c>
      <c r="I719">
        <v>32</v>
      </c>
      <c r="J719">
        <v>74</v>
      </c>
      <c r="K719">
        <f>Fato_Producao[[#This Row],[embalagens_danificadas]]+Fato_Producao[[#This Row],[peso_errado]]+Fato_Producao[[#This Row],[impressao]]</f>
        <v>169</v>
      </c>
      <c r="L719" s="1" t="d">
        <v>2024-12-09</v>
      </c>
      <c r="M719">
        <v>9</v>
      </c>
      <c r="N719" s="7">
        <v>7.57</v>
      </c>
      <c r="O719" s="4" t="str">
        <f t="shared" si="33"/>
        <v>dezembro</v>
      </c>
      <c r="P719" s="4">
        <f t="shared" si="34"/>
        <v>2024</v>
      </c>
      <c r="Q719" s="4" t="str">
        <f t="shared" si="35"/>
        <v/>
      </c>
      <c r="R719" t="s">
        <v>50</v>
      </c>
    </row>
    <row r="720" spans="1:18" x14ac:dyDescent="0.3">
      <c r="A720" s="1" t="d">
        <v>2024-12-19</v>
      </c>
      <c r="B720">
        <v>45507</v>
      </c>
      <c r="C720" t="str">
        <f>VLOOKUP(Fato_Producao[[#This Row],[referencia]], Dim_Produtos!A:B,2,FALSE)</f>
        <v>salmao posta</v>
      </c>
      <c r="D720">
        <v>2960</v>
      </c>
      <c r="E720">
        <v>2841</v>
      </c>
      <c r="F720" s="5">
        <v>4.02E-2</v>
      </c>
      <c r="G720" s="6">
        <v>41.65</v>
      </c>
      <c r="H720">
        <v>4</v>
      </c>
      <c r="I720">
        <v>112</v>
      </c>
      <c r="J720">
        <v>3</v>
      </c>
      <c r="K720">
        <f>Fato_Producao[[#This Row],[embalagens_danificadas]]+Fato_Producao[[#This Row],[peso_errado]]+Fato_Producao[[#This Row],[impressao]]</f>
        <v>119</v>
      </c>
      <c r="L720" s="1" t="d">
        <v>2024-12-09</v>
      </c>
      <c r="M720">
        <v>10</v>
      </c>
      <c r="N720" s="7">
        <v>6.66</v>
      </c>
      <c r="O720" s="4" t="str">
        <f t="shared" si="33"/>
        <v>dezembro</v>
      </c>
      <c r="P720" s="4">
        <f t="shared" si="34"/>
        <v>2024</v>
      </c>
      <c r="Q720" s="4" t="str">
        <f t="shared" si="35"/>
        <v/>
      </c>
      <c r="R720" t="s">
        <v>24</v>
      </c>
    </row>
    <row r="721" spans="1:18" x14ac:dyDescent="0.3">
      <c r="A721" s="1" t="d">
        <v>2024-12-20</v>
      </c>
      <c r="B721">
        <v>45514</v>
      </c>
      <c r="C721" t="str">
        <f>VLOOKUP(Fato_Producao[[#This Row],[referencia]], Dim_Produtos!A:B,2,FALSE)</f>
        <v>sardinha pequena</v>
      </c>
      <c r="D721">
        <v>3481</v>
      </c>
      <c r="E721">
        <v>3272</v>
      </c>
      <c r="F721" s="5">
        <v>0.06</v>
      </c>
      <c r="G721" s="6">
        <v>62.7</v>
      </c>
      <c r="H721">
        <v>8</v>
      </c>
      <c r="I721">
        <v>199</v>
      </c>
      <c r="J721">
        <v>2</v>
      </c>
      <c r="K721">
        <f>Fato_Producao[[#This Row],[embalagens_danificadas]]+Fato_Producao[[#This Row],[peso_errado]]+Fato_Producao[[#This Row],[impressao]]</f>
        <v>209</v>
      </c>
      <c r="L721" s="1" t="d">
        <v>2024-12-09</v>
      </c>
      <c r="M721">
        <v>11</v>
      </c>
      <c r="N721" s="7">
        <v>7.52</v>
      </c>
      <c r="O721" s="4" t="str">
        <f t="shared" si="33"/>
        <v>dezembro</v>
      </c>
      <c r="P721" s="4">
        <f t="shared" si="34"/>
        <v>2024</v>
      </c>
      <c r="Q721" s="4" t="str">
        <f t="shared" si="35"/>
        <v/>
      </c>
      <c r="R721" t="s">
        <v>24</v>
      </c>
    </row>
    <row r="722" spans="1:18" x14ac:dyDescent="0.3">
      <c r="A722" s="1" t="d">
        <v>2024-12-20</v>
      </c>
      <c r="B722">
        <v>45512</v>
      </c>
      <c r="C722" t="str">
        <f>VLOOKUP(Fato_Producao[[#This Row],[referencia]], Dim_Produtos!A:B,2,FALSE)</f>
        <v>red-fish posta</v>
      </c>
      <c r="D722">
        <v>2918</v>
      </c>
      <c r="E722">
        <v>2759</v>
      </c>
      <c r="F722" s="5">
        <v>5.45E-2</v>
      </c>
      <c r="G722" s="6">
        <v>54.06</v>
      </c>
      <c r="H722">
        <v>12</v>
      </c>
      <c r="I722">
        <v>145</v>
      </c>
      <c r="J722">
        <v>2</v>
      </c>
      <c r="K722">
        <f>Fato_Producao[[#This Row],[embalagens_danificadas]]+Fato_Producao[[#This Row],[peso_errado]]+Fato_Producao[[#This Row],[impressao]]</f>
        <v>159</v>
      </c>
      <c r="L722" s="1" t="d">
        <v>2024-12-09</v>
      </c>
      <c r="M722">
        <v>11</v>
      </c>
      <c r="N722" s="7">
        <v>7.57</v>
      </c>
      <c r="O722" s="4" t="str">
        <f t="shared" si="33"/>
        <v>dezembro</v>
      </c>
      <c r="P722" s="4">
        <f t="shared" si="34"/>
        <v>2024</v>
      </c>
      <c r="Q722" s="4" t="str">
        <f t="shared" si="35"/>
        <v/>
      </c>
      <c r="R722" t="s">
        <v>24</v>
      </c>
    </row>
    <row r="723" spans="1:18" x14ac:dyDescent="0.3">
      <c r="A723" s="1" t="d">
        <v>2024-12-21</v>
      </c>
      <c r="B723">
        <v>45504</v>
      </c>
      <c r="C723" t="str">
        <f>VLOOKUP(Fato_Producao[[#This Row],[referencia]], Dim_Produtos!A:B,2,FALSE)</f>
        <v>pescada posta fritar</v>
      </c>
      <c r="D723">
        <v>2987</v>
      </c>
      <c r="E723">
        <v>2835</v>
      </c>
      <c r="F723" s="5">
        <v>5.0900000000000001E-2</v>
      </c>
      <c r="G723" s="6">
        <v>48.64</v>
      </c>
      <c r="H723">
        <v>7</v>
      </c>
      <c r="I723">
        <v>143</v>
      </c>
      <c r="J723">
        <v>2</v>
      </c>
      <c r="K723">
        <f>Fato_Producao[[#This Row],[embalagens_danificadas]]+Fato_Producao[[#This Row],[peso_errado]]+Fato_Producao[[#This Row],[impressao]]</f>
        <v>152</v>
      </c>
      <c r="L723" s="1" t="d">
        <v>2024-12-09</v>
      </c>
      <c r="M723">
        <v>12</v>
      </c>
      <c r="N723" s="7">
        <v>6.81</v>
      </c>
      <c r="O723" s="4" t="str">
        <f t="shared" si="33"/>
        <v>dezembro</v>
      </c>
      <c r="P723" s="4">
        <f t="shared" si="34"/>
        <v>2024</v>
      </c>
      <c r="Q723" s="4" t="str">
        <f t="shared" si="35"/>
        <v/>
      </c>
      <c r="R723" t="s">
        <v>24</v>
      </c>
    </row>
    <row r="724" spans="1:18" x14ac:dyDescent="0.3">
      <c r="A724" s="1" t="d">
        <v>2024-12-22</v>
      </c>
      <c r="B724">
        <v>45503</v>
      </c>
      <c r="C724" t="str">
        <f>VLOOKUP(Fato_Producao[[#This Row],[referencia]], Dim_Produtos!A:B,2,FALSE)</f>
        <v>sardinha pequena</v>
      </c>
      <c r="D724">
        <v>1998</v>
      </c>
      <c r="E724">
        <v>1887</v>
      </c>
      <c r="F724" s="5">
        <v>5.5599999999999997E-2</v>
      </c>
      <c r="G724" s="6">
        <v>28.86</v>
      </c>
      <c r="H724">
        <v>2</v>
      </c>
      <c r="I724">
        <v>106</v>
      </c>
      <c r="J724">
        <v>3</v>
      </c>
      <c r="K724">
        <f>Fato_Producao[[#This Row],[embalagens_danificadas]]+Fato_Producao[[#This Row],[peso_errado]]+Fato_Producao[[#This Row],[impressao]]</f>
        <v>111</v>
      </c>
      <c r="L724" s="1" t="d">
        <v>2024-12-09</v>
      </c>
      <c r="M724">
        <v>13</v>
      </c>
      <c r="N724" s="7">
        <v>3.17</v>
      </c>
      <c r="O724" s="4" t="str">
        <f t="shared" si="33"/>
        <v>dezembro</v>
      </c>
      <c r="P724" s="4">
        <f t="shared" si="34"/>
        <v>2024</v>
      </c>
      <c r="Q724" s="4" t="str">
        <f t="shared" si="35"/>
        <v/>
      </c>
      <c r="R724" t="s">
        <v>24</v>
      </c>
    </row>
    <row r="725" spans="1:18" x14ac:dyDescent="0.3">
      <c r="A725" s="1" t="d">
        <v>2024-12-22</v>
      </c>
      <c r="B725">
        <v>45506</v>
      </c>
      <c r="C725" t="str">
        <f>VLOOKUP(Fato_Producao[[#This Row],[referencia]], Dim_Produtos!A:B,2,FALSE)</f>
        <v>perca posta</v>
      </c>
      <c r="D725">
        <v>1978</v>
      </c>
      <c r="E725">
        <v>1907</v>
      </c>
      <c r="F725" s="5">
        <v>3.5900000000000001E-2</v>
      </c>
      <c r="G725" s="6">
        <v>24.85</v>
      </c>
      <c r="H725">
        <v>5</v>
      </c>
      <c r="I725">
        <v>65</v>
      </c>
      <c r="J725">
        <v>1</v>
      </c>
      <c r="K725">
        <f>Fato_Producao[[#This Row],[embalagens_danificadas]]+Fato_Producao[[#This Row],[peso_errado]]+Fato_Producao[[#This Row],[impressao]]</f>
        <v>71</v>
      </c>
      <c r="L725" s="1" t="d">
        <v>2024-12-09</v>
      </c>
      <c r="M725">
        <v>13</v>
      </c>
      <c r="N725" s="7">
        <v>3.73</v>
      </c>
      <c r="O725" s="4" t="str">
        <f t="shared" si="33"/>
        <v>dezembro</v>
      </c>
      <c r="P725" s="4">
        <f t="shared" si="34"/>
        <v>2024</v>
      </c>
      <c r="Q725" s="4" t="str">
        <f t="shared" si="35"/>
        <v/>
      </c>
      <c r="R725" t="s">
        <v>24</v>
      </c>
    </row>
    <row r="726" spans="1:18" x14ac:dyDescent="0.3">
      <c r="A726" s="1" t="d">
        <v>2024-12-23</v>
      </c>
      <c r="B726">
        <v>45506</v>
      </c>
      <c r="C726" t="str">
        <f>VLOOKUP(Fato_Producao[[#This Row],[referencia]], Dim_Produtos!A:B,2,FALSE)</f>
        <v>perca posta</v>
      </c>
      <c r="D726">
        <v>2008</v>
      </c>
      <c r="E726">
        <v>1862</v>
      </c>
      <c r="F726" s="5">
        <v>7.2700000000000001E-2</v>
      </c>
      <c r="G726" s="6">
        <v>51.1</v>
      </c>
      <c r="H726">
        <v>8</v>
      </c>
      <c r="I726">
        <v>136</v>
      </c>
      <c r="J726">
        <v>2</v>
      </c>
      <c r="K726">
        <f>Fato_Producao[[#This Row],[embalagens_danificadas]]+Fato_Producao[[#This Row],[peso_errado]]+Fato_Producao[[#This Row],[impressao]]</f>
        <v>146</v>
      </c>
      <c r="L726" s="1" t="d">
        <v>2024-12-09</v>
      </c>
      <c r="M726">
        <v>14</v>
      </c>
      <c r="N726" s="7">
        <v>7.67</v>
      </c>
      <c r="O726" s="4" t="str">
        <f t="shared" si="33"/>
        <v>dezembro</v>
      </c>
      <c r="P726" s="4">
        <f t="shared" si="34"/>
        <v>2024</v>
      </c>
      <c r="Q726" s="4" t="str">
        <f t="shared" si="35"/>
        <v/>
      </c>
      <c r="R726" t="s">
        <v>24</v>
      </c>
    </row>
    <row r="727" spans="1:18" x14ac:dyDescent="0.3">
      <c r="A727" s="1" t="d">
        <v>2024-12-24</v>
      </c>
      <c r="B727">
        <v>45503</v>
      </c>
      <c r="C727" t="str">
        <f>VLOOKUP(Fato_Producao[[#This Row],[referencia]], Dim_Produtos!A:B,2,FALSE)</f>
        <v>sardinha pequena</v>
      </c>
      <c r="D727">
        <v>3015</v>
      </c>
      <c r="E727">
        <v>2849</v>
      </c>
      <c r="F727" s="5">
        <v>5.5100000000000003E-2</v>
      </c>
      <c r="G727" s="6">
        <v>43.16</v>
      </c>
      <c r="H727">
        <v>10</v>
      </c>
      <c r="I727">
        <v>154</v>
      </c>
      <c r="J727">
        <v>2</v>
      </c>
      <c r="K727">
        <f>Fato_Producao[[#This Row],[embalagens_danificadas]]+Fato_Producao[[#This Row],[peso_errado]]+Fato_Producao[[#This Row],[impressao]]</f>
        <v>166</v>
      </c>
      <c r="L727" s="1" t="d">
        <v>2024-12-09</v>
      </c>
      <c r="M727">
        <v>15</v>
      </c>
      <c r="N727" s="7">
        <v>4.75</v>
      </c>
      <c r="O727" s="4" t="str">
        <f t="shared" si="33"/>
        <v>dezembro</v>
      </c>
      <c r="P727" s="4">
        <f t="shared" si="34"/>
        <v>2024</v>
      </c>
      <c r="Q727" s="4" t="str">
        <f t="shared" si="35"/>
        <v/>
      </c>
      <c r="R727" t="s">
        <v>24</v>
      </c>
    </row>
    <row r="728" spans="1:18" x14ac:dyDescent="0.3">
      <c r="A728" s="1" t="d">
        <v>2024-12-25</v>
      </c>
      <c r="B728">
        <v>45513</v>
      </c>
      <c r="C728" t="str">
        <f>VLOOKUP(Fato_Producao[[#This Row],[referencia]], Dim_Produtos!A:B,2,FALSE)</f>
        <v>filete pescada</v>
      </c>
      <c r="D728">
        <v>1943</v>
      </c>
      <c r="E728">
        <v>1826</v>
      </c>
      <c r="F728" s="5">
        <v>6.0199999999999997E-2</v>
      </c>
      <c r="G728" s="6">
        <v>37.44</v>
      </c>
      <c r="H728">
        <v>6</v>
      </c>
      <c r="I728">
        <v>108</v>
      </c>
      <c r="J728">
        <v>3</v>
      </c>
      <c r="K728">
        <f>Fato_Producao[[#This Row],[embalagens_danificadas]]+Fato_Producao[[#This Row],[peso_errado]]+Fato_Producao[[#This Row],[impressao]]</f>
        <v>117</v>
      </c>
      <c r="L728" s="1" t="d">
        <v>2024-12-09</v>
      </c>
      <c r="M728">
        <v>16</v>
      </c>
      <c r="N728" s="7">
        <v>4.87</v>
      </c>
      <c r="O728" s="4" t="str">
        <f t="shared" si="33"/>
        <v>dezembro</v>
      </c>
      <c r="P728" s="4">
        <f t="shared" si="34"/>
        <v>2024</v>
      </c>
      <c r="Q728" s="4" t="str">
        <f t="shared" si="35"/>
        <v/>
      </c>
      <c r="R728" t="s">
        <v>24</v>
      </c>
    </row>
    <row r="729" spans="1:18" x14ac:dyDescent="0.3">
      <c r="A729" s="1" t="d">
        <v>2024-12-25</v>
      </c>
      <c r="B729">
        <v>45513</v>
      </c>
      <c r="C729" t="str">
        <f>VLOOKUP(Fato_Producao[[#This Row],[referencia]], Dim_Produtos!A:B,2,FALSE)</f>
        <v>filete pescada</v>
      </c>
      <c r="D729">
        <v>3290</v>
      </c>
      <c r="E729">
        <v>3093</v>
      </c>
      <c r="F729" s="5">
        <v>5.9900000000000002E-2</v>
      </c>
      <c r="G729" s="6">
        <v>63.04</v>
      </c>
      <c r="H729">
        <v>11</v>
      </c>
      <c r="I729">
        <v>183</v>
      </c>
      <c r="J729">
        <v>3</v>
      </c>
      <c r="K729">
        <f>Fato_Producao[[#This Row],[embalagens_danificadas]]+Fato_Producao[[#This Row],[peso_errado]]+Fato_Producao[[#This Row],[impressao]]</f>
        <v>197</v>
      </c>
      <c r="L729" s="1" t="d">
        <v>2024-12-09</v>
      </c>
      <c r="M729">
        <v>16</v>
      </c>
      <c r="N729" s="7">
        <v>8.1999999999999993</v>
      </c>
      <c r="O729" s="4" t="str">
        <f t="shared" si="33"/>
        <v>dezembro</v>
      </c>
      <c r="P729" s="4">
        <f t="shared" si="34"/>
        <v>2024</v>
      </c>
      <c r="Q729" s="4" t="str">
        <f t="shared" si="35"/>
        <v/>
      </c>
      <c r="R729" t="s">
        <v>24</v>
      </c>
    </row>
    <row r="730" spans="1:18" x14ac:dyDescent="0.3">
      <c r="A730" s="1" t="d">
        <v>2024-12-26</v>
      </c>
      <c r="B730">
        <v>45514</v>
      </c>
      <c r="C730" t="str">
        <f>VLOOKUP(Fato_Producao[[#This Row],[referencia]], Dim_Produtos!A:B,2,FALSE)</f>
        <v>sardinha pequena</v>
      </c>
      <c r="D730">
        <v>2813</v>
      </c>
      <c r="E730">
        <v>2613</v>
      </c>
      <c r="F730" s="5">
        <v>7.1099999999999997E-2</v>
      </c>
      <c r="G730" s="6">
        <v>60</v>
      </c>
      <c r="H730">
        <v>4</v>
      </c>
      <c r="I730">
        <v>190</v>
      </c>
      <c r="J730">
        <v>6</v>
      </c>
      <c r="K730">
        <f>Fato_Producao[[#This Row],[embalagens_danificadas]]+Fato_Producao[[#This Row],[peso_errado]]+Fato_Producao[[#This Row],[impressao]]</f>
        <v>200</v>
      </c>
      <c r="L730" s="1" t="d">
        <v>2024-12-09</v>
      </c>
      <c r="M730">
        <v>17</v>
      </c>
      <c r="N730" s="7">
        <v>7.2</v>
      </c>
      <c r="O730" s="4" t="str">
        <f t="shared" si="33"/>
        <v>dezembro</v>
      </c>
      <c r="P730" s="4">
        <f t="shared" si="34"/>
        <v>2024</v>
      </c>
      <c r="Q730" s="4" t="str">
        <f t="shared" si="35"/>
        <v/>
      </c>
      <c r="R730" t="s">
        <v>24</v>
      </c>
    </row>
    <row r="731" spans="1:18" x14ac:dyDescent="0.3">
      <c r="A731" s="1" t="d">
        <v>2024-12-27</v>
      </c>
      <c r="B731">
        <v>45512</v>
      </c>
      <c r="C731" t="str">
        <f>VLOOKUP(Fato_Producao[[#This Row],[referencia]], Dim_Produtos!A:B,2,FALSE)</f>
        <v>red-fish posta</v>
      </c>
      <c r="D731">
        <v>2830</v>
      </c>
      <c r="E731">
        <v>2682</v>
      </c>
      <c r="F731" s="5">
        <v>5.2299999999999999E-2</v>
      </c>
      <c r="G731" s="6">
        <v>50.32</v>
      </c>
      <c r="H731">
        <v>6</v>
      </c>
      <c r="I731">
        <v>140</v>
      </c>
      <c r="J731">
        <v>2</v>
      </c>
      <c r="K731">
        <f>Fato_Producao[[#This Row],[embalagens_danificadas]]+Fato_Producao[[#This Row],[peso_errado]]+Fato_Producao[[#This Row],[impressao]]</f>
        <v>148</v>
      </c>
      <c r="L731" s="1" t="d">
        <v>2024-12-09</v>
      </c>
      <c r="M731">
        <v>18</v>
      </c>
      <c r="N731" s="7">
        <v>7.04</v>
      </c>
      <c r="O731" s="4" t="str">
        <f t="shared" si="33"/>
        <v>dezembro</v>
      </c>
      <c r="P731" s="4">
        <f t="shared" si="34"/>
        <v>2024</v>
      </c>
      <c r="Q731" s="4" t="str">
        <f t="shared" si="35"/>
        <v/>
      </c>
      <c r="R731" t="s">
        <v>24</v>
      </c>
    </row>
    <row r="732" spans="1:18" x14ac:dyDescent="0.3">
      <c r="A732" s="1" t="d">
        <v>2024-12-28</v>
      </c>
      <c r="B732">
        <v>45506</v>
      </c>
      <c r="C732" t="str">
        <f>VLOOKUP(Fato_Producao[[#This Row],[referencia]], Dim_Produtos!A:B,2,FALSE)</f>
        <v>perca posta</v>
      </c>
      <c r="D732">
        <v>3981</v>
      </c>
      <c r="E732">
        <v>3796</v>
      </c>
      <c r="F732" s="5">
        <v>4.65E-2</v>
      </c>
      <c r="G732" s="6">
        <v>64.75</v>
      </c>
      <c r="H732">
        <v>7</v>
      </c>
      <c r="I732">
        <v>174</v>
      </c>
      <c r="J732">
        <v>4</v>
      </c>
      <c r="K732">
        <f>Fato_Producao[[#This Row],[embalagens_danificadas]]+Fato_Producao[[#This Row],[peso_errado]]+Fato_Producao[[#This Row],[impressao]]</f>
        <v>185</v>
      </c>
      <c r="L732" s="1" t="d">
        <v>2024-12-09</v>
      </c>
      <c r="M732">
        <v>19</v>
      </c>
      <c r="N732" s="7">
        <v>9.7100000000000009</v>
      </c>
      <c r="O732" s="4" t="str">
        <f t="shared" si="33"/>
        <v>dezembro</v>
      </c>
      <c r="P732" s="4">
        <f t="shared" si="34"/>
        <v>2024</v>
      </c>
      <c r="Q732" s="4" t="str">
        <f t="shared" si="35"/>
        <v/>
      </c>
      <c r="R732" t="s">
        <v>24</v>
      </c>
    </row>
    <row r="733" spans="1:18" x14ac:dyDescent="0.3">
      <c r="A733" s="1" t="d">
        <v>2024-12-28</v>
      </c>
      <c r="B733">
        <v>45502</v>
      </c>
      <c r="C733" t="str">
        <f>VLOOKUP(Fato_Producao[[#This Row],[referencia]], Dim_Produtos!A:B,2,FALSE)</f>
        <v>carapau pelim</v>
      </c>
      <c r="D733">
        <v>3107</v>
      </c>
      <c r="E733">
        <v>2855</v>
      </c>
      <c r="F733" s="5">
        <v>8.1100000000000005E-2</v>
      </c>
      <c r="G733" s="6">
        <v>75.599999999999994</v>
      </c>
      <c r="H733">
        <v>75</v>
      </c>
      <c r="I733">
        <v>173</v>
      </c>
      <c r="J733">
        <v>4</v>
      </c>
      <c r="K733">
        <f>Fato_Producao[[#This Row],[embalagens_danificadas]]+Fato_Producao[[#This Row],[peso_errado]]+Fato_Producao[[#This Row],[impressao]]</f>
        <v>252</v>
      </c>
      <c r="L733" s="1" t="d">
        <v>2024-12-09</v>
      </c>
      <c r="M733">
        <v>19</v>
      </c>
      <c r="N733" s="7">
        <v>9.83</v>
      </c>
      <c r="O733" s="4" t="str">
        <f t="shared" si="33"/>
        <v>dezembro</v>
      </c>
      <c r="P733" s="4">
        <f t="shared" si="34"/>
        <v>2024</v>
      </c>
      <c r="Q733" s="4" t="str">
        <f t="shared" si="35"/>
        <v/>
      </c>
      <c r="R733" t="s">
        <v>24</v>
      </c>
    </row>
    <row r="734" spans="1:18" x14ac:dyDescent="0.3">
      <c r="A734" s="1" t="d">
        <v>2024-12-29</v>
      </c>
      <c r="B734">
        <v>45504</v>
      </c>
      <c r="C734" t="str">
        <f>VLOOKUP(Fato_Producao[[#This Row],[referencia]], Dim_Produtos!A:B,2,FALSE)</f>
        <v>pescada posta fritar</v>
      </c>
      <c r="D734">
        <v>2365</v>
      </c>
      <c r="E734">
        <v>2179</v>
      </c>
      <c r="F734" s="5">
        <v>7.8600000000000003E-2</v>
      </c>
      <c r="G734" s="6">
        <v>59.52</v>
      </c>
      <c r="H734">
        <v>5</v>
      </c>
      <c r="I734">
        <v>178</v>
      </c>
      <c r="J734">
        <v>3</v>
      </c>
      <c r="K734">
        <f>Fato_Producao[[#This Row],[embalagens_danificadas]]+Fato_Producao[[#This Row],[peso_errado]]+Fato_Producao[[#This Row],[impressao]]</f>
        <v>186</v>
      </c>
      <c r="L734" s="1" t="d">
        <v>2024-12-09</v>
      </c>
      <c r="M734">
        <v>20</v>
      </c>
      <c r="N734" s="7">
        <v>8.33</v>
      </c>
      <c r="O734" s="4" t="str">
        <f t="shared" si="33"/>
        <v>dezembro</v>
      </c>
      <c r="P734" s="4">
        <f t="shared" si="34"/>
        <v>2024</v>
      </c>
      <c r="Q734" s="4" t="str">
        <f t="shared" si="35"/>
        <v/>
      </c>
      <c r="R734" t="s">
        <v>24</v>
      </c>
    </row>
    <row r="735" spans="1:18" x14ac:dyDescent="0.3">
      <c r="A735" s="1" t="d">
        <v>2024-12-29</v>
      </c>
      <c r="B735">
        <v>45510</v>
      </c>
      <c r="C735" t="str">
        <f>VLOOKUP(Fato_Producao[[#This Row],[referencia]], Dim_Produtos!A:B,2,FALSE)</f>
        <v>tiras pota</v>
      </c>
      <c r="D735">
        <v>3150</v>
      </c>
      <c r="E735">
        <v>2868</v>
      </c>
      <c r="F735" s="5">
        <v>8.9499999999999996E-2</v>
      </c>
      <c r="G735" s="6">
        <v>90.24</v>
      </c>
      <c r="H735">
        <v>36</v>
      </c>
      <c r="I735">
        <v>239</v>
      </c>
      <c r="J735">
        <v>7</v>
      </c>
      <c r="K735">
        <f>Fato_Producao[[#This Row],[embalagens_danificadas]]+Fato_Producao[[#This Row],[peso_errado]]+Fato_Producao[[#This Row],[impressao]]</f>
        <v>282</v>
      </c>
      <c r="L735" s="1" t="d">
        <v>2024-12-09</v>
      </c>
      <c r="M735">
        <v>20</v>
      </c>
      <c r="N735" s="7">
        <v>12.63</v>
      </c>
      <c r="O735" s="4" t="str">
        <f t="shared" si="33"/>
        <v>dezembro</v>
      </c>
      <c r="P735" s="4">
        <f t="shared" si="34"/>
        <v>2024</v>
      </c>
      <c r="Q735" s="4" t="str">
        <f t="shared" si="35"/>
        <v/>
      </c>
      <c r="R735" t="s">
        <v>24</v>
      </c>
    </row>
    <row r="736" spans="1:18" x14ac:dyDescent="0.3">
      <c r="A736" s="1" t="d">
        <v>2024-12-30</v>
      </c>
      <c r="B736">
        <v>45503</v>
      </c>
      <c r="C736" t="str">
        <f>VLOOKUP(Fato_Producao[[#This Row],[referencia]], Dim_Produtos!A:B,2,FALSE)</f>
        <v>sardinha pequena</v>
      </c>
      <c r="D736">
        <v>2178</v>
      </c>
      <c r="E736">
        <v>2055</v>
      </c>
      <c r="F736" s="5">
        <v>5.6500000000000002E-2</v>
      </c>
      <c r="G736" s="6">
        <v>31.98</v>
      </c>
      <c r="H736">
        <v>3</v>
      </c>
      <c r="I736">
        <v>118</v>
      </c>
      <c r="J736">
        <v>2</v>
      </c>
      <c r="K736">
        <f>Fato_Producao[[#This Row],[embalagens_danificadas]]+Fato_Producao[[#This Row],[peso_errado]]+Fato_Producao[[#This Row],[impressao]]</f>
        <v>123</v>
      </c>
      <c r="L736" s="1" t="d">
        <v>2024-12-09</v>
      </c>
      <c r="M736">
        <v>21</v>
      </c>
      <c r="N736" s="7">
        <v>3.52</v>
      </c>
      <c r="O736" s="4" t="str">
        <f t="shared" si="33"/>
        <v>dezembro</v>
      </c>
      <c r="P736" s="4">
        <f t="shared" si="34"/>
        <v>2024</v>
      </c>
      <c r="Q736" s="4" t="str">
        <f t="shared" si="35"/>
        <v/>
      </c>
      <c r="R736" t="s">
        <v>24</v>
      </c>
    </row>
    <row r="737" spans="1:18" x14ac:dyDescent="0.3">
      <c r="A737" s="1" t="d">
        <v>2024-12-30</v>
      </c>
      <c r="B737">
        <v>45506</v>
      </c>
      <c r="C737" t="str">
        <f>VLOOKUP(Fato_Producao[[#This Row],[referencia]], Dim_Produtos!A:B,2,FALSE)</f>
        <v>perca posta</v>
      </c>
      <c r="D737">
        <v>1971</v>
      </c>
      <c r="E737">
        <v>1834</v>
      </c>
      <c r="F737" s="5">
        <v>6.9500000000000006E-2</v>
      </c>
      <c r="G737" s="6">
        <v>47.95</v>
      </c>
      <c r="H737">
        <v>4</v>
      </c>
      <c r="I737">
        <v>130</v>
      </c>
      <c r="J737">
        <v>3</v>
      </c>
      <c r="K737">
        <f>Fato_Producao[[#This Row],[embalagens_danificadas]]+Fato_Producao[[#This Row],[peso_errado]]+Fato_Producao[[#This Row],[impressao]]</f>
        <v>137</v>
      </c>
      <c r="L737" s="1" t="d">
        <v>2024-12-09</v>
      </c>
      <c r="M737">
        <v>21</v>
      </c>
      <c r="N737" s="7">
        <v>7.19</v>
      </c>
      <c r="O737" s="4" t="str">
        <f t="shared" si="33"/>
        <v>dezembro</v>
      </c>
      <c r="P737" s="4">
        <f t="shared" si="34"/>
        <v>2024</v>
      </c>
      <c r="Q737" s="4" t="str">
        <f t="shared" si="35"/>
        <v/>
      </c>
      <c r="R737" t="s">
        <v>24</v>
      </c>
    </row>
    <row r="738" spans="1:18" x14ac:dyDescent="0.3">
      <c r="A738" s="1" t="d">
        <v>2024-12-31</v>
      </c>
      <c r="B738">
        <v>45514</v>
      </c>
      <c r="C738" t="str">
        <f>VLOOKUP(Fato_Producao[[#This Row],[referencia]], Dim_Produtos!A:B,2,FALSE)</f>
        <v>sardinha pequena</v>
      </c>
      <c r="D738">
        <v>3307</v>
      </c>
      <c r="E738">
        <v>3105</v>
      </c>
      <c r="F738" s="5">
        <v>6.1100000000000002E-2</v>
      </c>
      <c r="G738" s="6">
        <v>60.6</v>
      </c>
      <c r="H738">
        <v>4</v>
      </c>
      <c r="I738">
        <v>192</v>
      </c>
      <c r="J738">
        <v>6</v>
      </c>
      <c r="K738">
        <f>Fato_Producao[[#This Row],[embalagens_danificadas]]+Fato_Producao[[#This Row],[peso_errado]]+Fato_Producao[[#This Row],[impressao]]</f>
        <v>202</v>
      </c>
      <c r="L738" s="1" t="d">
        <v>2024-12-09</v>
      </c>
      <c r="M738">
        <v>22</v>
      </c>
      <c r="N738" s="7">
        <v>7.27</v>
      </c>
      <c r="O738" s="4" t="str">
        <f t="shared" si="33"/>
        <v>dezembro</v>
      </c>
      <c r="P738" s="4">
        <f t="shared" si="34"/>
        <v>2024</v>
      </c>
      <c r="Q738" s="4" t="str">
        <f t="shared" si="35"/>
        <v/>
      </c>
      <c r="R738" t="s">
        <v>24</v>
      </c>
    </row>
    <row r="739" spans="1:18" x14ac:dyDescent="0.3">
      <c r="A739" s="1" t="d">
        <v>2024-12-31</v>
      </c>
      <c r="B739">
        <v>45502</v>
      </c>
      <c r="C739" t="str">
        <f>VLOOKUP(Fato_Producao[[#This Row],[referencia]], Dim_Produtos!A:B,2,FALSE)</f>
        <v>carapau pelim</v>
      </c>
      <c r="D739">
        <v>2171</v>
      </c>
      <c r="E739">
        <v>2001</v>
      </c>
      <c r="F739" s="5">
        <v>7.8299999999999995E-2</v>
      </c>
      <c r="G739" s="6">
        <v>51</v>
      </c>
      <c r="H739">
        <v>40</v>
      </c>
      <c r="I739">
        <v>126</v>
      </c>
      <c r="J739">
        <v>4</v>
      </c>
      <c r="K739">
        <f>Fato_Producao[[#This Row],[embalagens_danificadas]]+Fato_Producao[[#This Row],[peso_errado]]+Fato_Producao[[#This Row],[impressao]]</f>
        <v>170</v>
      </c>
      <c r="L739" s="1" t="d">
        <v>2024-12-09</v>
      </c>
      <c r="M739">
        <v>22</v>
      </c>
      <c r="N739" s="7">
        <v>6.63</v>
      </c>
      <c r="O739" s="4" t="str">
        <f t="shared" si="33"/>
        <v>dezembro</v>
      </c>
      <c r="P739" s="4">
        <f t="shared" si="34"/>
        <v>2024</v>
      </c>
      <c r="Q739" s="4" t="str">
        <f t="shared" si="35"/>
        <v/>
      </c>
      <c r="R739" t="s">
        <v>24</v>
      </c>
    </row>
    <row r="740" spans="1:18" x14ac:dyDescent="0.3">
      <c r="A740" s="1" t="d">
        <v>2025-01-01</v>
      </c>
      <c r="B740">
        <v>45512</v>
      </c>
      <c r="C740" t="str">
        <f>VLOOKUP(Fato_Producao[[#This Row],[referencia]], Dim_Produtos!A:B,2,FALSE)</f>
        <v>red-fish posta</v>
      </c>
      <c r="D740">
        <v>2214</v>
      </c>
      <c r="E740">
        <v>2088</v>
      </c>
      <c r="F740" s="5">
        <v>5.6899999999999999E-2</v>
      </c>
      <c r="G740" s="6">
        <v>42.84</v>
      </c>
      <c r="H740">
        <v>5</v>
      </c>
      <c r="I740">
        <v>119</v>
      </c>
      <c r="J740">
        <v>2</v>
      </c>
      <c r="K740">
        <f>Fato_Producao[[#This Row],[embalagens_danificadas]]+Fato_Producao[[#This Row],[peso_errado]]+Fato_Producao[[#This Row],[impressao]]</f>
        <v>126</v>
      </c>
      <c r="L740" s="1" t="d">
        <v>2024-12-09</v>
      </c>
      <c r="M740">
        <v>23</v>
      </c>
      <c r="N740" s="7">
        <v>6</v>
      </c>
      <c r="O740" s="4" t="str">
        <f t="shared" si="33"/>
        <v>janeiro</v>
      </c>
      <c r="P740" s="4">
        <f t="shared" si="34"/>
        <v>2025</v>
      </c>
      <c r="Q740" s="4" t="str">
        <f t="shared" si="35"/>
        <v/>
      </c>
      <c r="R740" t="s">
        <v>24</v>
      </c>
    </row>
    <row r="741" spans="1:18" x14ac:dyDescent="0.3">
      <c r="A741" s="1" t="d">
        <v>2025-01-01</v>
      </c>
      <c r="B741">
        <v>45501</v>
      </c>
      <c r="C741" t="str">
        <f>VLOOKUP(Fato_Producao[[#This Row],[referencia]], Dim_Produtos!A:B,2,FALSE)</f>
        <v>pescada posta cozer</v>
      </c>
      <c r="D741">
        <v>3158</v>
      </c>
      <c r="E741">
        <v>2965</v>
      </c>
      <c r="F741" s="5">
        <v>6.1100000000000002E-2</v>
      </c>
      <c r="G741" s="6">
        <v>61.76</v>
      </c>
      <c r="H741">
        <v>9</v>
      </c>
      <c r="I741">
        <v>179</v>
      </c>
      <c r="J741">
        <v>5</v>
      </c>
      <c r="K741">
        <f>Fato_Producao[[#This Row],[embalagens_danificadas]]+Fato_Producao[[#This Row],[peso_errado]]+Fato_Producao[[#This Row],[impressao]]</f>
        <v>193</v>
      </c>
      <c r="L741" s="1" t="d">
        <v>2024-12-09</v>
      </c>
      <c r="M741">
        <v>23</v>
      </c>
      <c r="N741" s="7">
        <v>8.65</v>
      </c>
      <c r="O741" s="4" t="str">
        <f t="shared" si="33"/>
        <v>janeiro</v>
      </c>
      <c r="P741" s="4">
        <f t="shared" si="34"/>
        <v>2025</v>
      </c>
      <c r="Q741" s="4" t="str">
        <f t="shared" si="35"/>
        <v/>
      </c>
      <c r="R741" t="s">
        <v>24</v>
      </c>
    </row>
    <row r="742" spans="1:18" x14ac:dyDescent="0.3">
      <c r="A742" s="1" t="d">
        <v>2025-01-02</v>
      </c>
      <c r="B742">
        <v>45514</v>
      </c>
      <c r="C742" t="str">
        <f>VLOOKUP(Fato_Producao[[#This Row],[referencia]], Dim_Produtos!A:B,2,FALSE)</f>
        <v>sardinha pequena</v>
      </c>
      <c r="D742">
        <v>2186</v>
      </c>
      <c r="E742">
        <v>1990</v>
      </c>
      <c r="F742" s="5">
        <v>8.9700000000000002E-2</v>
      </c>
      <c r="G742" s="6">
        <v>58.8</v>
      </c>
      <c r="H742">
        <v>4</v>
      </c>
      <c r="I742">
        <v>188</v>
      </c>
      <c r="J742">
        <v>4</v>
      </c>
      <c r="K742">
        <f>Fato_Producao[[#This Row],[embalagens_danificadas]]+Fato_Producao[[#This Row],[peso_errado]]+Fato_Producao[[#This Row],[impressao]]</f>
        <v>196</v>
      </c>
      <c r="L742" s="1" t="d">
        <v>2024-12-09</v>
      </c>
      <c r="M742">
        <v>24</v>
      </c>
      <c r="N742" s="7">
        <v>7.06</v>
      </c>
      <c r="O742" s="4" t="str">
        <f t="shared" si="33"/>
        <v>janeiro</v>
      </c>
      <c r="P742" s="4">
        <f t="shared" si="34"/>
        <v>2025</v>
      </c>
      <c r="Q742" s="4" t="str">
        <f t="shared" si="35"/>
        <v/>
      </c>
      <c r="R742" t="s">
        <v>24</v>
      </c>
    </row>
    <row r="743" spans="1:18" x14ac:dyDescent="0.3">
      <c r="A743" s="1" t="d">
        <v>2025-01-03</v>
      </c>
      <c r="B743">
        <v>45503</v>
      </c>
      <c r="C743" t="str">
        <f>VLOOKUP(Fato_Producao[[#This Row],[referencia]], Dim_Produtos!A:B,2,FALSE)</f>
        <v>sardinha pequena</v>
      </c>
      <c r="D743">
        <v>2552</v>
      </c>
      <c r="E743">
        <v>2355</v>
      </c>
      <c r="F743" s="5">
        <v>7.7200000000000005E-2</v>
      </c>
      <c r="G743" s="6">
        <v>51.22</v>
      </c>
      <c r="H743">
        <v>14</v>
      </c>
      <c r="I743">
        <v>180</v>
      </c>
      <c r="J743">
        <v>3</v>
      </c>
      <c r="K743">
        <f>Fato_Producao[[#This Row],[embalagens_danificadas]]+Fato_Producao[[#This Row],[peso_errado]]+Fato_Producao[[#This Row],[impressao]]</f>
        <v>197</v>
      </c>
      <c r="L743" s="1" t="d">
        <v>2024-12-09</v>
      </c>
      <c r="M743">
        <v>25</v>
      </c>
      <c r="N743" s="7">
        <v>5.63</v>
      </c>
      <c r="O743" s="4" t="str">
        <f t="shared" si="33"/>
        <v>janeiro</v>
      </c>
      <c r="P743" s="4">
        <f t="shared" si="34"/>
        <v>2025</v>
      </c>
      <c r="Q743" s="4" t="str">
        <f t="shared" si="35"/>
        <v/>
      </c>
      <c r="R743" t="s">
        <v>24</v>
      </c>
    </row>
    <row r="744" spans="1:18" x14ac:dyDescent="0.3">
      <c r="A744" s="1" t="d">
        <v>2025-01-03</v>
      </c>
      <c r="B744">
        <v>45513</v>
      </c>
      <c r="C744" t="str">
        <f>VLOOKUP(Fato_Producao[[#This Row],[referencia]], Dim_Produtos!A:B,2,FALSE)</f>
        <v>filete pescada</v>
      </c>
      <c r="D744">
        <v>2688</v>
      </c>
      <c r="E744">
        <v>2529</v>
      </c>
      <c r="F744" s="5">
        <v>5.9200000000000003E-2</v>
      </c>
      <c r="G744" s="6">
        <v>50.88</v>
      </c>
      <c r="H744">
        <v>12</v>
      </c>
      <c r="I744">
        <v>145</v>
      </c>
      <c r="J744">
        <v>2</v>
      </c>
      <c r="K744">
        <f>Fato_Producao[[#This Row],[embalagens_danificadas]]+Fato_Producao[[#This Row],[peso_errado]]+Fato_Producao[[#This Row],[impressao]]</f>
        <v>159</v>
      </c>
      <c r="L744" s="1" t="d">
        <v>2024-12-09</v>
      </c>
      <c r="M744">
        <v>25</v>
      </c>
      <c r="N744" s="7">
        <v>6.61</v>
      </c>
      <c r="O744" s="4" t="str">
        <f t="shared" si="33"/>
        <v>janeiro</v>
      </c>
      <c r="P744" s="4">
        <f t="shared" si="34"/>
        <v>2025</v>
      </c>
      <c r="Q744" s="4" t="str">
        <f t="shared" si="35"/>
        <v/>
      </c>
      <c r="R744" t="s">
        <v>24</v>
      </c>
    </row>
    <row r="745" spans="1:18" x14ac:dyDescent="0.3">
      <c r="A745" s="1" t="d">
        <v>2025-01-04</v>
      </c>
      <c r="B745">
        <v>45513</v>
      </c>
      <c r="C745" t="str">
        <f>VLOOKUP(Fato_Producao[[#This Row],[referencia]], Dim_Produtos!A:B,2,FALSE)</f>
        <v>filete pescada</v>
      </c>
      <c r="D745">
        <v>2191</v>
      </c>
      <c r="E745">
        <v>2060</v>
      </c>
      <c r="F745" s="5">
        <v>5.9799999999999999E-2</v>
      </c>
      <c r="G745" s="6">
        <v>41.92</v>
      </c>
      <c r="H745">
        <v>7</v>
      </c>
      <c r="I745">
        <v>122</v>
      </c>
      <c r="J745">
        <v>2</v>
      </c>
      <c r="K745">
        <f>Fato_Producao[[#This Row],[embalagens_danificadas]]+Fato_Producao[[#This Row],[peso_errado]]+Fato_Producao[[#This Row],[impressao]]</f>
        <v>131</v>
      </c>
      <c r="L745" s="1" t="d">
        <v>2024-12-09</v>
      </c>
      <c r="M745">
        <v>26</v>
      </c>
      <c r="N745" s="7">
        <v>5.45</v>
      </c>
      <c r="O745" s="4" t="str">
        <f t="shared" si="33"/>
        <v>janeiro</v>
      </c>
      <c r="P745" s="4">
        <f t="shared" si="34"/>
        <v>2025</v>
      </c>
      <c r="Q745" s="4" t="str">
        <f t="shared" si="35"/>
        <v/>
      </c>
      <c r="R745" t="s">
        <v>24</v>
      </c>
    </row>
    <row r="746" spans="1:18" x14ac:dyDescent="0.3">
      <c r="A746" s="1" t="d">
        <v>2025-01-04</v>
      </c>
      <c r="B746">
        <v>45508</v>
      </c>
      <c r="C746" t="str">
        <f>VLOOKUP(Fato_Producao[[#This Row],[referencia]], Dim_Produtos!A:B,2,FALSE)</f>
        <v>lula suja</v>
      </c>
      <c r="D746">
        <v>2139</v>
      </c>
      <c r="E746">
        <v>1902</v>
      </c>
      <c r="F746" s="5">
        <v>0.1108</v>
      </c>
      <c r="G746" s="6">
        <v>75.84</v>
      </c>
      <c r="H746">
        <v>33</v>
      </c>
      <c r="I746">
        <v>199</v>
      </c>
      <c r="J746">
        <v>5</v>
      </c>
      <c r="K746">
        <f>Fato_Producao[[#This Row],[embalagens_danificadas]]+Fato_Producao[[#This Row],[peso_errado]]+Fato_Producao[[#This Row],[impressao]]</f>
        <v>237</v>
      </c>
      <c r="L746" s="1" t="d">
        <v>2024-12-09</v>
      </c>
      <c r="M746">
        <v>26</v>
      </c>
      <c r="N746" s="7">
        <v>10.62</v>
      </c>
      <c r="O746" s="4" t="str">
        <f t="shared" si="33"/>
        <v>janeiro</v>
      </c>
      <c r="P746" s="4">
        <f t="shared" si="34"/>
        <v>2025</v>
      </c>
      <c r="Q746" s="4" t="str">
        <f t="shared" si="35"/>
        <v/>
      </c>
      <c r="R746" t="s">
        <v>24</v>
      </c>
    </row>
    <row r="747" spans="1:18" x14ac:dyDescent="0.3">
      <c r="A747" s="1" t="d">
        <v>2025-01-05</v>
      </c>
      <c r="B747">
        <v>45500</v>
      </c>
      <c r="C747" t="str">
        <f>VLOOKUP(Fato_Producao[[#This Row],[referencia]], Dim_Produtos!A:B,2,FALSE)</f>
        <v>filete pescada</v>
      </c>
      <c r="D747">
        <v>2647</v>
      </c>
      <c r="E747">
        <v>2505</v>
      </c>
      <c r="F747" s="5">
        <v>5.3600000000000002E-2</v>
      </c>
      <c r="G747" s="6">
        <v>39.76</v>
      </c>
      <c r="H747">
        <v>4</v>
      </c>
      <c r="I747">
        <v>135</v>
      </c>
      <c r="J747">
        <v>3</v>
      </c>
      <c r="K747">
        <f>Fato_Producao[[#This Row],[embalagens_danificadas]]+Fato_Producao[[#This Row],[peso_errado]]+Fato_Producao[[#This Row],[impressao]]</f>
        <v>142</v>
      </c>
      <c r="L747" s="1" t="d">
        <v>2024-12-09</v>
      </c>
      <c r="M747">
        <v>27</v>
      </c>
      <c r="N747" s="7">
        <v>4.7699999999999996</v>
      </c>
      <c r="O747" s="4" t="str">
        <f t="shared" si="33"/>
        <v>janeiro</v>
      </c>
      <c r="P747" s="4">
        <f t="shared" si="34"/>
        <v>2025</v>
      </c>
      <c r="Q747" s="4" t="str">
        <f t="shared" si="35"/>
        <v/>
      </c>
      <c r="R747" t="s">
        <v>24</v>
      </c>
    </row>
    <row r="748" spans="1:18" x14ac:dyDescent="0.3">
      <c r="A748" s="1" t="d">
        <v>2025-01-05</v>
      </c>
      <c r="B748">
        <v>45501</v>
      </c>
      <c r="C748" t="str">
        <f>VLOOKUP(Fato_Producao[[#This Row],[referencia]], Dim_Produtos!A:B,2,FALSE)</f>
        <v>pescada posta cozer</v>
      </c>
      <c r="D748">
        <v>2661</v>
      </c>
      <c r="E748">
        <v>2447</v>
      </c>
      <c r="F748" s="5">
        <v>8.0399999999999999E-2</v>
      </c>
      <c r="G748" s="6">
        <v>68.48</v>
      </c>
      <c r="H748">
        <v>16</v>
      </c>
      <c r="I748">
        <v>195</v>
      </c>
      <c r="J748">
        <v>3</v>
      </c>
      <c r="K748">
        <f>Fato_Producao[[#This Row],[embalagens_danificadas]]+Fato_Producao[[#This Row],[peso_errado]]+Fato_Producao[[#This Row],[impressao]]</f>
        <v>214</v>
      </c>
      <c r="L748" s="1" t="d">
        <v>2024-12-09</v>
      </c>
      <c r="M748">
        <v>27</v>
      </c>
      <c r="N748" s="7">
        <v>9.59</v>
      </c>
      <c r="O748" s="4" t="str">
        <f t="shared" si="33"/>
        <v>janeiro</v>
      </c>
      <c r="P748" s="4">
        <f t="shared" si="34"/>
        <v>2025</v>
      </c>
      <c r="Q748" s="4" t="str">
        <f t="shared" si="35"/>
        <v/>
      </c>
      <c r="R748" t="s">
        <v>24</v>
      </c>
    </row>
    <row r="749" spans="1:18" x14ac:dyDescent="0.3">
      <c r="A749" s="1" t="d">
        <v>2025-01-06</v>
      </c>
      <c r="B749">
        <v>45508</v>
      </c>
      <c r="C749" t="str">
        <f>VLOOKUP(Fato_Producao[[#This Row],[referencia]], Dim_Produtos!A:B,2,FALSE)</f>
        <v>lula suja</v>
      </c>
      <c r="D749">
        <v>3657</v>
      </c>
      <c r="E749">
        <v>3302</v>
      </c>
      <c r="F749" s="5">
        <v>9.7100000000000006E-2</v>
      </c>
      <c r="G749" s="6">
        <v>113.6</v>
      </c>
      <c r="H749">
        <v>149</v>
      </c>
      <c r="I749">
        <v>1</v>
      </c>
      <c r="J749">
        <v>205</v>
      </c>
      <c r="K749">
        <f>Fato_Producao[[#This Row],[embalagens_danificadas]]+Fato_Producao[[#This Row],[peso_errado]]+Fato_Producao[[#This Row],[impressao]]</f>
        <v>355</v>
      </c>
      <c r="L749" s="1" t="d">
        <v>2024-12-09</v>
      </c>
      <c r="M749">
        <v>28</v>
      </c>
      <c r="N749" s="7">
        <v>15.9</v>
      </c>
      <c r="O749" s="4" t="str">
        <f t="shared" si="33"/>
        <v>janeiro</v>
      </c>
      <c r="P749" s="4">
        <f t="shared" si="34"/>
        <v>2025</v>
      </c>
      <c r="Q749" s="4" t="str">
        <f t="shared" si="35"/>
        <v/>
      </c>
      <c r="R749" t="s">
        <v>50</v>
      </c>
    </row>
    <row r="750" spans="1:18" x14ac:dyDescent="0.3">
      <c r="A750" s="1" t="d">
        <v>2025-01-06</v>
      </c>
      <c r="B750">
        <v>45505</v>
      </c>
      <c r="C750" t="str">
        <f>VLOOKUP(Fato_Producao[[#This Row],[referencia]], Dim_Produtos!A:B,2,FALSE)</f>
        <v>camarao</v>
      </c>
      <c r="D750">
        <v>3262</v>
      </c>
      <c r="E750">
        <v>2986</v>
      </c>
      <c r="F750" s="5">
        <v>8.4599999999999995E-2</v>
      </c>
      <c r="G750" s="6">
        <v>82.8</v>
      </c>
      <c r="H750">
        <v>77</v>
      </c>
      <c r="I750">
        <v>194</v>
      </c>
      <c r="J750">
        <v>5</v>
      </c>
      <c r="K750">
        <f>Fato_Producao[[#This Row],[embalagens_danificadas]]+Fato_Producao[[#This Row],[peso_errado]]+Fato_Producao[[#This Row],[impressao]]</f>
        <v>276</v>
      </c>
      <c r="L750" s="1" t="d">
        <v>2024-12-09</v>
      </c>
      <c r="M750">
        <v>28</v>
      </c>
      <c r="N750" s="7">
        <v>12.42</v>
      </c>
      <c r="O750" s="4" t="str">
        <f t="shared" si="33"/>
        <v>janeiro</v>
      </c>
      <c r="P750" s="4">
        <f t="shared" si="34"/>
        <v>2025</v>
      </c>
      <c r="Q750" s="4" t="str">
        <f t="shared" si="35"/>
        <v/>
      </c>
      <c r="R750" t="s">
        <v>24</v>
      </c>
    </row>
    <row r="751" spans="1:18" x14ac:dyDescent="0.3">
      <c r="A751" s="1" t="d">
        <v>2025-01-07</v>
      </c>
      <c r="B751">
        <v>45503</v>
      </c>
      <c r="C751" t="str">
        <f>VLOOKUP(Fato_Producao[[#This Row],[referencia]], Dim_Produtos!A:B,2,FALSE)</f>
        <v>sardinha pequena</v>
      </c>
      <c r="D751">
        <v>3972</v>
      </c>
      <c r="E751">
        <v>3630</v>
      </c>
      <c r="F751" s="5">
        <v>8.6099999999999996E-2</v>
      </c>
      <c r="G751" s="6">
        <v>88.92</v>
      </c>
      <c r="H751">
        <v>16</v>
      </c>
      <c r="I751">
        <v>318</v>
      </c>
      <c r="J751">
        <v>8</v>
      </c>
      <c r="K751">
        <f>Fato_Producao[[#This Row],[embalagens_danificadas]]+Fato_Producao[[#This Row],[peso_errado]]+Fato_Producao[[#This Row],[impressao]]</f>
        <v>342</v>
      </c>
      <c r="L751" s="1" t="d">
        <v>2024-12-09</v>
      </c>
      <c r="M751">
        <v>29</v>
      </c>
      <c r="N751" s="7">
        <v>9.7799999999999994</v>
      </c>
      <c r="O751" s="4" t="str">
        <f t="shared" si="33"/>
        <v>janeiro</v>
      </c>
      <c r="P751" s="4">
        <f t="shared" si="34"/>
        <v>2025</v>
      </c>
      <c r="Q751" s="4" t="str">
        <f t="shared" si="35"/>
        <v/>
      </c>
      <c r="R751" t="s">
        <v>24</v>
      </c>
    </row>
    <row r="752" spans="1:18" x14ac:dyDescent="0.3">
      <c r="A752" s="1" t="d">
        <v>2025-01-07</v>
      </c>
      <c r="B752">
        <v>45511</v>
      </c>
      <c r="C752" t="str">
        <f>VLOOKUP(Fato_Producao[[#This Row],[referencia]], Dim_Produtos!A:B,2,FALSE)</f>
        <v>lula limpa</v>
      </c>
      <c r="D752">
        <v>3953</v>
      </c>
      <c r="E752">
        <v>3605</v>
      </c>
      <c r="F752" s="5">
        <v>8.7999999999999995E-2</v>
      </c>
      <c r="G752" s="6">
        <v>111.36</v>
      </c>
      <c r="H752">
        <v>36</v>
      </c>
      <c r="I752">
        <v>305</v>
      </c>
      <c r="J752">
        <v>7</v>
      </c>
      <c r="K752">
        <f>Fato_Producao[[#This Row],[embalagens_danificadas]]+Fato_Producao[[#This Row],[peso_errado]]+Fato_Producao[[#This Row],[impressao]]</f>
        <v>348</v>
      </c>
      <c r="L752" s="1" t="d">
        <v>2024-12-09</v>
      </c>
      <c r="M752">
        <v>29</v>
      </c>
      <c r="N752" s="7">
        <v>15.59</v>
      </c>
      <c r="O752" s="4" t="str">
        <f t="shared" si="33"/>
        <v>janeiro</v>
      </c>
      <c r="P752" s="4">
        <f t="shared" si="34"/>
        <v>2025</v>
      </c>
      <c r="Q752" s="4" t="str">
        <f t="shared" si="35"/>
        <v/>
      </c>
      <c r="R752" t="s">
        <v>24</v>
      </c>
    </row>
    <row r="753" spans="1:18" x14ac:dyDescent="0.3">
      <c r="A753" s="1" t="d">
        <v>2025-01-08</v>
      </c>
      <c r="B753">
        <v>45509</v>
      </c>
      <c r="C753" t="str">
        <f>VLOOKUP(Fato_Producao[[#This Row],[referencia]], Dim_Produtos!A:B,2,FALSE)</f>
        <v>lascas bacalhau</v>
      </c>
      <c r="D753">
        <v>2776</v>
      </c>
      <c r="E753">
        <v>2572</v>
      </c>
      <c r="F753" s="5">
        <v>7.3499999999999996E-2</v>
      </c>
      <c r="G753" s="6">
        <v>57.12</v>
      </c>
      <c r="H753">
        <v>8</v>
      </c>
      <c r="I753">
        <v>194</v>
      </c>
      <c r="J753">
        <v>2</v>
      </c>
      <c r="K753">
        <f>Fato_Producao[[#This Row],[embalagens_danificadas]]+Fato_Producao[[#This Row],[peso_errado]]+Fato_Producao[[#This Row],[impressao]]</f>
        <v>204</v>
      </c>
      <c r="L753" s="1" t="d">
        <v>2024-12-09</v>
      </c>
      <c r="M753">
        <v>30</v>
      </c>
      <c r="N753" s="7">
        <v>7.43</v>
      </c>
      <c r="O753" s="4" t="str">
        <f t="shared" si="33"/>
        <v>janeiro</v>
      </c>
      <c r="P753" s="4">
        <f t="shared" si="34"/>
        <v>2025</v>
      </c>
      <c r="Q753" s="4" t="str">
        <f t="shared" si="35"/>
        <v/>
      </c>
      <c r="R753" t="s">
        <v>24</v>
      </c>
    </row>
    <row r="754" spans="1:18" x14ac:dyDescent="0.3">
      <c r="A754" s="1" t="d">
        <v>2025-01-08</v>
      </c>
      <c r="B754">
        <v>45509</v>
      </c>
      <c r="C754" t="str">
        <f>VLOOKUP(Fato_Producao[[#This Row],[referencia]], Dim_Produtos!A:B,2,FALSE)</f>
        <v>lascas bacalhau</v>
      </c>
      <c r="D754">
        <v>2665</v>
      </c>
      <c r="E754">
        <v>2450</v>
      </c>
      <c r="F754" s="5">
        <v>8.0699999999999994E-2</v>
      </c>
      <c r="G754" s="6">
        <v>60.2</v>
      </c>
      <c r="H754">
        <v>4</v>
      </c>
      <c r="I754">
        <v>206</v>
      </c>
      <c r="J754">
        <v>5</v>
      </c>
      <c r="K754">
        <f>Fato_Producao[[#This Row],[embalagens_danificadas]]+Fato_Producao[[#This Row],[peso_errado]]+Fato_Producao[[#This Row],[impressao]]</f>
        <v>215</v>
      </c>
      <c r="L754" s="1" t="d">
        <v>2024-12-09</v>
      </c>
      <c r="M754">
        <v>30</v>
      </c>
      <c r="N754" s="7">
        <v>7.83</v>
      </c>
      <c r="O754" s="4" t="str">
        <f t="shared" si="33"/>
        <v>janeiro</v>
      </c>
      <c r="P754" s="4">
        <f t="shared" si="34"/>
        <v>2025</v>
      </c>
      <c r="Q754" s="4" t="str">
        <f t="shared" si="35"/>
        <v/>
      </c>
      <c r="R754" t="s">
        <v>24</v>
      </c>
    </row>
    <row r="755" spans="1:18" x14ac:dyDescent="0.3">
      <c r="A755" s="1" t="d">
        <v>2025-01-09</v>
      </c>
      <c r="B755">
        <v>45500</v>
      </c>
      <c r="C755" t="str">
        <f>VLOOKUP(Fato_Producao[[#This Row],[referencia]], Dim_Produtos!A:B,2,FALSE)</f>
        <v>filete pescada</v>
      </c>
      <c r="D755">
        <v>2891</v>
      </c>
      <c r="E755">
        <v>2716</v>
      </c>
      <c r="F755" s="5">
        <v>6.0499999999999998E-2</v>
      </c>
      <c r="G755" s="6">
        <v>49</v>
      </c>
      <c r="H755">
        <v>6</v>
      </c>
      <c r="I755">
        <v>167</v>
      </c>
      <c r="J755">
        <v>2</v>
      </c>
      <c r="K755">
        <f>Fato_Producao[[#This Row],[embalagens_danificadas]]+Fato_Producao[[#This Row],[peso_errado]]+Fato_Producao[[#This Row],[impressao]]</f>
        <v>175</v>
      </c>
      <c r="L755" s="1" t="d">
        <v>2024-12-09</v>
      </c>
      <c r="M755">
        <v>31</v>
      </c>
      <c r="N755" s="7">
        <v>5.88</v>
      </c>
      <c r="O755" s="4" t="str">
        <f t="shared" si="33"/>
        <v>janeiro</v>
      </c>
      <c r="P755" s="4">
        <f t="shared" si="34"/>
        <v>2025</v>
      </c>
      <c r="Q755" s="4" t="str">
        <f t="shared" si="35"/>
        <v/>
      </c>
      <c r="R755" t="s">
        <v>24</v>
      </c>
    </row>
    <row r="756" spans="1:18" x14ac:dyDescent="0.3">
      <c r="A756" s="1" t="d">
        <v>2025-01-10</v>
      </c>
      <c r="B756">
        <v>45513</v>
      </c>
      <c r="C756" t="str">
        <f>VLOOKUP(Fato_Producao[[#This Row],[referencia]], Dim_Produtos!A:B,2,FALSE)</f>
        <v>filete pescada</v>
      </c>
      <c r="D756">
        <v>3586</v>
      </c>
      <c r="E756">
        <v>3329</v>
      </c>
      <c r="F756" s="5">
        <v>7.17E-2</v>
      </c>
      <c r="G756" s="6">
        <v>82.24</v>
      </c>
      <c r="H756">
        <v>16</v>
      </c>
      <c r="I756">
        <v>234</v>
      </c>
      <c r="J756">
        <v>7</v>
      </c>
      <c r="K756">
        <f>Fato_Producao[[#This Row],[embalagens_danificadas]]+Fato_Producao[[#This Row],[peso_errado]]+Fato_Producao[[#This Row],[impressao]]</f>
        <v>257</v>
      </c>
      <c r="L756" s="1" t="d">
        <v>2024-12-09</v>
      </c>
      <c r="M756">
        <v>32</v>
      </c>
      <c r="N756" s="7">
        <v>10.69</v>
      </c>
      <c r="O756" s="4" t="str">
        <f t="shared" si="33"/>
        <v>janeiro</v>
      </c>
      <c r="P756" s="4">
        <f t="shared" si="34"/>
        <v>2025</v>
      </c>
      <c r="Q756" s="4" t="str">
        <f t="shared" si="35"/>
        <v/>
      </c>
      <c r="R756" t="s">
        <v>24</v>
      </c>
    </row>
    <row r="757" spans="1:18" x14ac:dyDescent="0.3">
      <c r="A757" s="1" t="d">
        <v>2025-01-10</v>
      </c>
      <c r="B757">
        <v>45510</v>
      </c>
      <c r="C757" t="str">
        <f>VLOOKUP(Fato_Producao[[#This Row],[referencia]], Dim_Produtos!A:B,2,FALSE)</f>
        <v>tiras pota</v>
      </c>
      <c r="D757">
        <v>2639</v>
      </c>
      <c r="E757">
        <v>2400</v>
      </c>
      <c r="F757" s="5">
        <v>9.06E-2</v>
      </c>
      <c r="G757" s="6">
        <v>76.48</v>
      </c>
      <c r="H757">
        <v>23</v>
      </c>
      <c r="I757">
        <v>212</v>
      </c>
      <c r="J757">
        <v>4</v>
      </c>
      <c r="K757">
        <f>Fato_Producao[[#This Row],[embalagens_danificadas]]+Fato_Producao[[#This Row],[peso_errado]]+Fato_Producao[[#This Row],[impressao]]</f>
        <v>239</v>
      </c>
      <c r="L757" s="1" t="d">
        <v>2024-12-09</v>
      </c>
      <c r="M757">
        <v>32</v>
      </c>
      <c r="N757" s="7">
        <v>10.71</v>
      </c>
      <c r="O757" s="4" t="str">
        <f t="shared" si="33"/>
        <v>janeiro</v>
      </c>
      <c r="P757" s="4">
        <f t="shared" si="34"/>
        <v>2025</v>
      </c>
      <c r="Q757" s="4" t="str">
        <f t="shared" si="35"/>
        <v/>
      </c>
      <c r="R757" t="s">
        <v>24</v>
      </c>
    </row>
    <row r="758" spans="1:18" x14ac:dyDescent="0.3">
      <c r="A758" s="1" t="d">
        <v>2025-01-11</v>
      </c>
      <c r="B758">
        <v>45502</v>
      </c>
      <c r="C758" t="str">
        <f>VLOOKUP(Fato_Producao[[#This Row],[referencia]], Dim_Produtos!A:B,2,FALSE)</f>
        <v>carapau pelim</v>
      </c>
      <c r="D758">
        <v>2781</v>
      </c>
      <c r="E758">
        <v>2606</v>
      </c>
      <c r="F758" s="5">
        <v>6.2899999999999998E-2</v>
      </c>
      <c r="G758" s="6">
        <v>52.5</v>
      </c>
      <c r="H758">
        <v>41</v>
      </c>
      <c r="I758">
        <v>128</v>
      </c>
      <c r="J758">
        <v>6</v>
      </c>
      <c r="K758">
        <f>Fato_Producao[[#This Row],[embalagens_danificadas]]+Fato_Producao[[#This Row],[peso_errado]]+Fato_Producao[[#This Row],[impressao]]</f>
        <v>175</v>
      </c>
      <c r="L758" s="1" t="d">
        <v>2024-12-09</v>
      </c>
      <c r="M758">
        <v>33</v>
      </c>
      <c r="N758" s="7">
        <v>6.83</v>
      </c>
      <c r="O758" s="4" t="str">
        <f t="shared" si="33"/>
        <v>janeiro</v>
      </c>
      <c r="P758" s="4">
        <f t="shared" si="34"/>
        <v>2025</v>
      </c>
      <c r="Q758" s="4" t="str">
        <f t="shared" si="35"/>
        <v/>
      </c>
      <c r="R758" t="s">
        <v>24</v>
      </c>
    </row>
    <row r="759" spans="1:18" x14ac:dyDescent="0.3">
      <c r="A759" s="1" t="d">
        <v>2025-01-12</v>
      </c>
      <c r="B759">
        <v>45512</v>
      </c>
      <c r="C759" t="str">
        <f>VLOOKUP(Fato_Producao[[#This Row],[referencia]], Dim_Produtos!A:B,2,FALSE)</f>
        <v>red-fish posta</v>
      </c>
      <c r="D759">
        <v>3322</v>
      </c>
      <c r="E759">
        <v>3073</v>
      </c>
      <c r="F759" s="5">
        <v>7.4999999999999997E-2</v>
      </c>
      <c r="G759" s="6">
        <v>84.66</v>
      </c>
      <c r="H759">
        <v>14</v>
      </c>
      <c r="I759">
        <v>228</v>
      </c>
      <c r="J759">
        <v>7</v>
      </c>
      <c r="K759">
        <f>Fato_Producao[[#This Row],[embalagens_danificadas]]+Fato_Producao[[#This Row],[peso_errado]]+Fato_Producao[[#This Row],[impressao]]</f>
        <v>249</v>
      </c>
      <c r="L759" s="1" t="d">
        <v>2024-12-09</v>
      </c>
      <c r="M759">
        <v>34</v>
      </c>
      <c r="N759" s="7">
        <v>11.85</v>
      </c>
      <c r="O759" s="4" t="str">
        <f t="shared" si="33"/>
        <v>janeiro</v>
      </c>
      <c r="P759" s="4">
        <f t="shared" si="34"/>
        <v>2025</v>
      </c>
      <c r="Q759" s="4" t="str">
        <f t="shared" si="35"/>
        <v/>
      </c>
      <c r="R759" t="s">
        <v>24</v>
      </c>
    </row>
    <row r="760" spans="1:18" x14ac:dyDescent="0.3">
      <c r="A760" s="1" t="d">
        <v>2025-01-12</v>
      </c>
      <c r="B760">
        <v>45501</v>
      </c>
      <c r="C760" t="str">
        <f>VLOOKUP(Fato_Producao[[#This Row],[referencia]], Dim_Produtos!A:B,2,FALSE)</f>
        <v>pescada posta cozer</v>
      </c>
      <c r="D760">
        <v>1921</v>
      </c>
      <c r="E760">
        <v>1791</v>
      </c>
      <c r="F760" s="5">
        <v>6.7699999999999996E-2</v>
      </c>
      <c r="G760" s="6">
        <v>41.6</v>
      </c>
      <c r="H760">
        <v>5</v>
      </c>
      <c r="I760">
        <v>123</v>
      </c>
      <c r="J760">
        <v>2</v>
      </c>
      <c r="K760">
        <f>Fato_Producao[[#This Row],[embalagens_danificadas]]+Fato_Producao[[#This Row],[peso_errado]]+Fato_Producao[[#This Row],[impressao]]</f>
        <v>130</v>
      </c>
      <c r="L760" s="1" t="d">
        <v>2024-12-09</v>
      </c>
      <c r="M760">
        <v>34</v>
      </c>
      <c r="N760" s="7">
        <v>5.82</v>
      </c>
      <c r="O760" s="4" t="str">
        <f t="shared" si="33"/>
        <v>janeiro</v>
      </c>
      <c r="P760" s="4">
        <f t="shared" si="34"/>
        <v>2025</v>
      </c>
      <c r="Q760" s="4" t="str">
        <f t="shared" si="35"/>
        <v/>
      </c>
      <c r="R760" t="s">
        <v>24</v>
      </c>
    </row>
    <row r="761" spans="1:18" x14ac:dyDescent="0.3">
      <c r="A761" s="1" t="d">
        <v>2025-01-13</v>
      </c>
      <c r="B761">
        <v>45502</v>
      </c>
      <c r="C761" t="str">
        <f>VLOOKUP(Fato_Producao[[#This Row],[referencia]], Dim_Produtos!A:B,2,FALSE)</f>
        <v>carapau pelim</v>
      </c>
      <c r="D761">
        <v>3305</v>
      </c>
      <c r="E761">
        <v>3072</v>
      </c>
      <c r="F761" s="5">
        <v>7.0499999999999993E-2</v>
      </c>
      <c r="G761" s="6">
        <v>69.900000000000006</v>
      </c>
      <c r="H761">
        <v>48</v>
      </c>
      <c r="I761">
        <v>177</v>
      </c>
      <c r="J761">
        <v>8</v>
      </c>
      <c r="K761">
        <f>Fato_Producao[[#This Row],[embalagens_danificadas]]+Fato_Producao[[#This Row],[peso_errado]]+Fato_Producao[[#This Row],[impressao]]</f>
        <v>233</v>
      </c>
      <c r="L761" s="1" t="d">
        <v>2024-12-09</v>
      </c>
      <c r="M761">
        <v>35</v>
      </c>
      <c r="N761" s="7">
        <v>9.09</v>
      </c>
      <c r="O761" s="4" t="str">
        <f t="shared" si="33"/>
        <v>janeiro</v>
      </c>
      <c r="P761" s="4">
        <f t="shared" si="34"/>
        <v>2025</v>
      </c>
      <c r="Q761" s="4" t="str">
        <f t="shared" si="35"/>
        <v/>
      </c>
      <c r="R761" t="s">
        <v>24</v>
      </c>
    </row>
    <row r="762" spans="1:18" x14ac:dyDescent="0.3">
      <c r="A762" s="1" t="d">
        <v>2025-01-13</v>
      </c>
      <c r="B762">
        <v>45512</v>
      </c>
      <c r="C762" t="str">
        <f>VLOOKUP(Fato_Producao[[#This Row],[referencia]], Dim_Produtos!A:B,2,FALSE)</f>
        <v>red-fish posta</v>
      </c>
      <c r="D762">
        <v>3756</v>
      </c>
      <c r="E762">
        <v>3492</v>
      </c>
      <c r="F762" s="5">
        <v>7.0300000000000001E-2</v>
      </c>
      <c r="G762" s="6">
        <v>89.76</v>
      </c>
      <c r="H762">
        <v>17</v>
      </c>
      <c r="I762">
        <v>242</v>
      </c>
      <c r="J762">
        <v>5</v>
      </c>
      <c r="K762">
        <f>Fato_Producao[[#This Row],[embalagens_danificadas]]+Fato_Producao[[#This Row],[peso_errado]]+Fato_Producao[[#This Row],[impressao]]</f>
        <v>264</v>
      </c>
      <c r="L762" s="1" t="d">
        <v>2024-12-09</v>
      </c>
      <c r="M762">
        <v>35</v>
      </c>
      <c r="N762" s="7">
        <v>12.57</v>
      </c>
      <c r="O762" s="4" t="str">
        <f t="shared" si="33"/>
        <v>janeiro</v>
      </c>
      <c r="P762" s="4">
        <f t="shared" si="34"/>
        <v>2025</v>
      </c>
      <c r="Q762" s="4" t="str">
        <f t="shared" si="35"/>
        <v/>
      </c>
      <c r="R762" t="s">
        <v>24</v>
      </c>
    </row>
    <row r="763" spans="1:18" x14ac:dyDescent="0.3">
      <c r="A763" s="1" t="d">
        <v>2025-01-14</v>
      </c>
      <c r="B763">
        <v>45509</v>
      </c>
      <c r="C763" t="str">
        <f>VLOOKUP(Fato_Producao[[#This Row],[referencia]], Dim_Produtos!A:B,2,FALSE)</f>
        <v>lascas bacalhau</v>
      </c>
      <c r="D763">
        <v>1864</v>
      </c>
      <c r="E763">
        <v>1733</v>
      </c>
      <c r="F763" s="5">
        <v>7.0300000000000001E-2</v>
      </c>
      <c r="G763" s="6">
        <v>36.68</v>
      </c>
      <c r="H763">
        <v>7</v>
      </c>
      <c r="I763">
        <v>123</v>
      </c>
      <c r="J763">
        <v>1</v>
      </c>
      <c r="K763">
        <f>Fato_Producao[[#This Row],[embalagens_danificadas]]+Fato_Producao[[#This Row],[peso_errado]]+Fato_Producao[[#This Row],[impressao]]</f>
        <v>131</v>
      </c>
      <c r="L763" s="1" t="d">
        <v>2024-12-09</v>
      </c>
      <c r="M763">
        <v>36</v>
      </c>
      <c r="N763" s="7">
        <v>4.7699999999999996</v>
      </c>
      <c r="O763" s="4" t="str">
        <f t="shared" si="33"/>
        <v>janeiro</v>
      </c>
      <c r="P763" s="4">
        <f t="shared" si="34"/>
        <v>2025</v>
      </c>
      <c r="Q763" s="4" t="str">
        <f t="shared" si="35"/>
        <v/>
      </c>
      <c r="R763" t="s">
        <v>24</v>
      </c>
    </row>
    <row r="764" spans="1:18" x14ac:dyDescent="0.3">
      <c r="A764" s="1" t="d">
        <v>2025-01-14</v>
      </c>
      <c r="B764">
        <v>45510</v>
      </c>
      <c r="C764" t="str">
        <f>VLOOKUP(Fato_Producao[[#This Row],[referencia]], Dim_Produtos!A:B,2,FALSE)</f>
        <v>tiras pota</v>
      </c>
      <c r="D764">
        <v>2334</v>
      </c>
      <c r="E764">
        <v>2111</v>
      </c>
      <c r="F764" s="5">
        <v>9.5500000000000002E-2</v>
      </c>
      <c r="G764" s="6">
        <v>71.36</v>
      </c>
      <c r="H764">
        <v>32</v>
      </c>
      <c r="I764">
        <v>185</v>
      </c>
      <c r="J764">
        <v>6</v>
      </c>
      <c r="K764">
        <f>Fato_Producao[[#This Row],[embalagens_danificadas]]+Fato_Producao[[#This Row],[peso_errado]]+Fato_Producao[[#This Row],[impressao]]</f>
        <v>223</v>
      </c>
      <c r="L764" s="1" t="d">
        <v>2024-12-09</v>
      </c>
      <c r="M764">
        <v>36</v>
      </c>
      <c r="N764" s="7">
        <v>9.99</v>
      </c>
      <c r="O764" s="4" t="str">
        <f t="shared" si="33"/>
        <v>janeiro</v>
      </c>
      <c r="P764" s="4">
        <f t="shared" si="34"/>
        <v>2025</v>
      </c>
      <c r="Q764" s="4" t="str">
        <f t="shared" si="35"/>
        <v/>
      </c>
      <c r="R764" t="s">
        <v>24</v>
      </c>
    </row>
    <row r="765" spans="1:18" x14ac:dyDescent="0.3">
      <c r="A765" s="1" t="d">
        <v>2025-01-15</v>
      </c>
      <c r="B765">
        <v>45506</v>
      </c>
      <c r="C765" t="str">
        <f>VLOOKUP(Fato_Producao[[#This Row],[referencia]], Dim_Produtos!A:B,2,FALSE)</f>
        <v>perca posta</v>
      </c>
      <c r="D765">
        <v>2407</v>
      </c>
      <c r="E765">
        <v>2226</v>
      </c>
      <c r="F765" s="5">
        <v>7.5200000000000003E-2</v>
      </c>
      <c r="G765" s="6">
        <v>63.35</v>
      </c>
      <c r="H765">
        <v>12</v>
      </c>
      <c r="I765">
        <v>166</v>
      </c>
      <c r="J765">
        <v>3</v>
      </c>
      <c r="K765">
        <f>Fato_Producao[[#This Row],[embalagens_danificadas]]+Fato_Producao[[#This Row],[peso_errado]]+Fato_Producao[[#This Row],[impressao]]</f>
        <v>181</v>
      </c>
      <c r="L765" s="1" t="d">
        <v>2024-12-09</v>
      </c>
      <c r="M765">
        <v>37</v>
      </c>
      <c r="N765" s="7">
        <v>9.5</v>
      </c>
      <c r="O765" s="4" t="str">
        <f t="shared" si="33"/>
        <v>janeiro</v>
      </c>
      <c r="P765" s="4">
        <f t="shared" si="34"/>
        <v>2025</v>
      </c>
      <c r="Q765" s="4" t="str">
        <f t="shared" si="35"/>
        <v/>
      </c>
      <c r="R765" t="s">
        <v>24</v>
      </c>
    </row>
    <row r="766" spans="1:18" x14ac:dyDescent="0.3">
      <c r="A766" s="1" t="d">
        <v>2025-01-15</v>
      </c>
      <c r="B766">
        <v>45504</v>
      </c>
      <c r="C766" t="str">
        <f>VLOOKUP(Fato_Producao[[#This Row],[referencia]], Dim_Produtos!A:B,2,FALSE)</f>
        <v>pescada posta fritar</v>
      </c>
      <c r="D766">
        <v>3661</v>
      </c>
      <c r="E766">
        <v>3402</v>
      </c>
      <c r="F766" s="5">
        <v>7.0699999999999999E-2</v>
      </c>
      <c r="G766" s="6">
        <v>82.88</v>
      </c>
      <c r="H766">
        <v>17</v>
      </c>
      <c r="I766">
        <v>237</v>
      </c>
      <c r="J766">
        <v>5</v>
      </c>
      <c r="K766">
        <f>Fato_Producao[[#This Row],[embalagens_danificadas]]+Fato_Producao[[#This Row],[peso_errado]]+Fato_Producao[[#This Row],[impressao]]</f>
        <v>259</v>
      </c>
      <c r="L766" s="1" t="d">
        <v>2024-12-09</v>
      </c>
      <c r="M766">
        <v>37</v>
      </c>
      <c r="N766" s="7">
        <v>11.6</v>
      </c>
      <c r="O766" s="4" t="str">
        <f t="shared" si="33"/>
        <v>janeiro</v>
      </c>
      <c r="P766" s="4">
        <f t="shared" si="34"/>
        <v>2025</v>
      </c>
      <c r="Q766" s="4" t="str">
        <f t="shared" si="35"/>
        <v/>
      </c>
      <c r="R766" t="s">
        <v>24</v>
      </c>
    </row>
    <row r="767" spans="1:18" x14ac:dyDescent="0.3">
      <c r="A767" s="1" t="d">
        <v>2025-01-16</v>
      </c>
      <c r="B767">
        <v>45505</v>
      </c>
      <c r="C767" t="str">
        <f>VLOOKUP(Fato_Producao[[#This Row],[referencia]], Dim_Produtos!A:B,2,FALSE)</f>
        <v>camarao</v>
      </c>
      <c r="D767">
        <v>3892</v>
      </c>
      <c r="E767">
        <v>3494</v>
      </c>
      <c r="F767" s="5">
        <v>0.1023</v>
      </c>
      <c r="G767" s="6">
        <v>119.4</v>
      </c>
      <c r="H767">
        <v>125</v>
      </c>
      <c r="I767">
        <v>267</v>
      </c>
      <c r="J767">
        <v>6</v>
      </c>
      <c r="K767">
        <f>Fato_Producao[[#This Row],[embalagens_danificadas]]+Fato_Producao[[#This Row],[peso_errado]]+Fato_Producao[[#This Row],[impressao]]</f>
        <v>398</v>
      </c>
      <c r="L767" s="1" t="d">
        <v>2024-12-09</v>
      </c>
      <c r="M767">
        <v>38</v>
      </c>
      <c r="N767" s="7">
        <v>17.91</v>
      </c>
      <c r="O767" s="4" t="str">
        <f t="shared" si="33"/>
        <v>janeiro</v>
      </c>
      <c r="P767" s="4">
        <f t="shared" si="34"/>
        <v>2025</v>
      </c>
      <c r="Q767" s="4" t="str">
        <f t="shared" si="35"/>
        <v/>
      </c>
      <c r="R767" t="s">
        <v>24</v>
      </c>
    </row>
    <row r="768" spans="1:18" x14ac:dyDescent="0.3">
      <c r="A768" s="1" t="d">
        <v>2025-01-16</v>
      </c>
      <c r="B768">
        <v>45514</v>
      </c>
      <c r="C768" t="str">
        <f>VLOOKUP(Fato_Producao[[#This Row],[referencia]], Dim_Produtos!A:B,2,FALSE)</f>
        <v>sardinha pequena</v>
      </c>
      <c r="D768">
        <v>2867</v>
      </c>
      <c r="E768">
        <v>2581</v>
      </c>
      <c r="F768" s="5">
        <v>9.98E-2</v>
      </c>
      <c r="G768" s="6">
        <v>85.8</v>
      </c>
      <c r="H768">
        <v>10</v>
      </c>
      <c r="I768">
        <v>270</v>
      </c>
      <c r="J768">
        <v>6</v>
      </c>
      <c r="K768">
        <f>Fato_Producao[[#This Row],[embalagens_danificadas]]+Fato_Producao[[#This Row],[peso_errado]]+Fato_Producao[[#This Row],[impressao]]</f>
        <v>286</v>
      </c>
      <c r="L768" s="1" t="d">
        <v>2024-12-09</v>
      </c>
      <c r="M768">
        <v>38</v>
      </c>
      <c r="N768" s="7">
        <v>10.3</v>
      </c>
      <c r="O768" s="4" t="str">
        <f t="shared" si="33"/>
        <v>janeiro</v>
      </c>
      <c r="P768" s="4">
        <f t="shared" si="34"/>
        <v>2025</v>
      </c>
      <c r="Q768" s="4" t="str">
        <f t="shared" si="35"/>
        <v/>
      </c>
      <c r="R768" t="s">
        <v>24</v>
      </c>
    </row>
    <row r="769" spans="1:18" x14ac:dyDescent="0.3">
      <c r="A769" s="1" t="d">
        <v>2025-01-17</v>
      </c>
      <c r="B769">
        <v>45506</v>
      </c>
      <c r="C769" t="str">
        <f>VLOOKUP(Fato_Producao[[#This Row],[referencia]], Dim_Produtos!A:B,2,FALSE)</f>
        <v>perca posta</v>
      </c>
      <c r="D769">
        <v>2605</v>
      </c>
      <c r="E769">
        <v>2399</v>
      </c>
      <c r="F769" s="5">
        <v>7.9100000000000004E-2</v>
      </c>
      <c r="G769" s="6">
        <v>72.099999999999994</v>
      </c>
      <c r="H769">
        <v>8</v>
      </c>
      <c r="I769">
        <v>195</v>
      </c>
      <c r="J769">
        <v>3</v>
      </c>
      <c r="K769">
        <f>Fato_Producao[[#This Row],[embalagens_danificadas]]+Fato_Producao[[#This Row],[peso_errado]]+Fato_Producao[[#This Row],[impressao]]</f>
        <v>206</v>
      </c>
      <c r="L769" s="1" t="d">
        <v>2024-12-09</v>
      </c>
      <c r="M769">
        <v>39</v>
      </c>
      <c r="N769" s="7">
        <v>10.81</v>
      </c>
      <c r="O769" s="4" t="str">
        <f t="shared" si="33"/>
        <v>janeiro</v>
      </c>
      <c r="P769" s="4">
        <f t="shared" si="34"/>
        <v>2025</v>
      </c>
      <c r="Q769" s="4" t="str">
        <f t="shared" si="35"/>
        <v/>
      </c>
      <c r="R769" t="s">
        <v>24</v>
      </c>
    </row>
    <row r="770" spans="1:18" x14ac:dyDescent="0.3">
      <c r="A770" s="1" t="d">
        <v>2025-01-17</v>
      </c>
      <c r="B770">
        <v>45514</v>
      </c>
      <c r="C770" t="str">
        <f>VLOOKUP(Fato_Producao[[#This Row],[referencia]], Dim_Produtos!A:B,2,FALSE)</f>
        <v>sardinha pequena</v>
      </c>
      <c r="D770">
        <v>3678</v>
      </c>
      <c r="E770">
        <v>3367</v>
      </c>
      <c r="F770" s="5">
        <v>8.4599999999999995E-2</v>
      </c>
      <c r="G770" s="6">
        <v>93.3</v>
      </c>
      <c r="H770">
        <v>8</v>
      </c>
      <c r="I770">
        <v>295</v>
      </c>
      <c r="J770">
        <v>8</v>
      </c>
      <c r="K770">
        <f>Fato_Producao[[#This Row],[embalagens_danificadas]]+Fato_Producao[[#This Row],[peso_errado]]+Fato_Producao[[#This Row],[impressao]]</f>
        <v>311</v>
      </c>
      <c r="L770" s="1" t="d">
        <v>2024-12-09</v>
      </c>
      <c r="M770">
        <v>39</v>
      </c>
      <c r="N770" s="7">
        <v>11.2</v>
      </c>
      <c r="O770" s="4" t="str">
        <f t="shared" ref="O770:O833" si="36">TEXT(A770, "mmmm")</f>
        <v>janeiro</v>
      </c>
      <c r="P770" s="4">
        <f t="shared" ref="P770:P833" si="37">YEAR(A770)</f>
        <v>2025</v>
      </c>
      <c r="Q770" s="4" t="str">
        <f t="shared" ref="Q770:Q833" si="38">IF(M771 &gt;= M770, "", M770)</f>
        <v/>
      </c>
      <c r="R770" t="s">
        <v>24</v>
      </c>
    </row>
    <row r="771" spans="1:18" x14ac:dyDescent="0.3">
      <c r="A771" s="1" t="d">
        <v>2025-01-18</v>
      </c>
      <c r="B771">
        <v>45510</v>
      </c>
      <c r="C771" t="str">
        <f>VLOOKUP(Fato_Producao[[#This Row],[referencia]], Dim_Produtos!A:B,2,FALSE)</f>
        <v>tiras pota</v>
      </c>
      <c r="D771">
        <v>3726</v>
      </c>
      <c r="E771">
        <v>3281</v>
      </c>
      <c r="F771" s="5">
        <v>0.11940000000000001</v>
      </c>
      <c r="G771" s="6">
        <v>142.4</v>
      </c>
      <c r="H771">
        <v>54</v>
      </c>
      <c r="I771">
        <v>381</v>
      </c>
      <c r="J771">
        <v>10</v>
      </c>
      <c r="K771">
        <f>Fato_Producao[[#This Row],[embalagens_danificadas]]+Fato_Producao[[#This Row],[peso_errado]]+Fato_Producao[[#This Row],[impressao]]</f>
        <v>445</v>
      </c>
      <c r="L771" s="1" t="d">
        <v>2024-12-09</v>
      </c>
      <c r="M771">
        <v>40</v>
      </c>
      <c r="N771" s="7">
        <v>19.940000000000001</v>
      </c>
      <c r="O771" s="4" t="str">
        <f t="shared" si="36"/>
        <v>janeiro</v>
      </c>
      <c r="P771" s="4">
        <f t="shared" si="37"/>
        <v>2025</v>
      </c>
      <c r="Q771" s="4" t="str">
        <f t="shared" si="38"/>
        <v/>
      </c>
      <c r="R771" t="s">
        <v>24</v>
      </c>
    </row>
    <row r="772" spans="1:18" x14ac:dyDescent="0.3">
      <c r="A772" s="1" t="d">
        <v>2025-01-18</v>
      </c>
      <c r="B772">
        <v>45505</v>
      </c>
      <c r="C772" t="str">
        <f>VLOOKUP(Fato_Producao[[#This Row],[referencia]], Dim_Produtos!A:B,2,FALSE)</f>
        <v>camarao</v>
      </c>
      <c r="D772">
        <v>2025</v>
      </c>
      <c r="E772">
        <v>1840</v>
      </c>
      <c r="F772" s="5">
        <v>9.1399999999999995E-2</v>
      </c>
      <c r="G772" s="6">
        <v>55.5</v>
      </c>
      <c r="H772">
        <v>45</v>
      </c>
      <c r="I772">
        <v>133</v>
      </c>
      <c r="J772">
        <v>7</v>
      </c>
      <c r="K772">
        <f>Fato_Producao[[#This Row],[embalagens_danificadas]]+Fato_Producao[[#This Row],[peso_errado]]+Fato_Producao[[#This Row],[impressao]]</f>
        <v>185</v>
      </c>
      <c r="L772" s="1" t="d">
        <v>2024-12-09</v>
      </c>
      <c r="M772">
        <v>40</v>
      </c>
      <c r="N772" s="7">
        <v>8.32</v>
      </c>
      <c r="O772" s="4" t="str">
        <f t="shared" si="36"/>
        <v>janeiro</v>
      </c>
      <c r="P772" s="4">
        <f t="shared" si="37"/>
        <v>2025</v>
      </c>
      <c r="Q772" s="4" t="str">
        <f t="shared" si="38"/>
        <v/>
      </c>
      <c r="R772" t="s">
        <v>24</v>
      </c>
    </row>
    <row r="773" spans="1:18" x14ac:dyDescent="0.3">
      <c r="A773" s="1" t="d">
        <v>2025-01-19</v>
      </c>
      <c r="B773">
        <v>45502</v>
      </c>
      <c r="C773" t="str">
        <f>VLOOKUP(Fato_Producao[[#This Row],[referencia]], Dim_Produtos!A:B,2,FALSE)</f>
        <v>carapau pelim</v>
      </c>
      <c r="D773">
        <v>3783</v>
      </c>
      <c r="E773">
        <v>3383</v>
      </c>
      <c r="F773" s="5">
        <v>0.1057</v>
      </c>
      <c r="G773" s="6">
        <v>120</v>
      </c>
      <c r="H773">
        <v>105</v>
      </c>
      <c r="I773">
        <v>285</v>
      </c>
      <c r="J773">
        <v>10</v>
      </c>
      <c r="K773">
        <f>Fato_Producao[[#This Row],[embalagens_danificadas]]+Fato_Producao[[#This Row],[peso_errado]]+Fato_Producao[[#This Row],[impressao]]</f>
        <v>400</v>
      </c>
      <c r="L773" s="1" t="d">
        <v>2024-12-09</v>
      </c>
      <c r="M773">
        <v>41</v>
      </c>
      <c r="N773" s="7">
        <v>15.6</v>
      </c>
      <c r="O773" s="4" t="str">
        <f t="shared" si="36"/>
        <v>janeiro</v>
      </c>
      <c r="P773" s="4">
        <f t="shared" si="37"/>
        <v>2025</v>
      </c>
      <c r="Q773" s="4" t="str">
        <f t="shared" si="38"/>
        <v/>
      </c>
      <c r="R773" t="s">
        <v>24</v>
      </c>
    </row>
    <row r="774" spans="1:18" x14ac:dyDescent="0.3">
      <c r="A774" s="1" t="d">
        <v>2025-01-19</v>
      </c>
      <c r="B774">
        <v>45513</v>
      </c>
      <c r="C774" t="str">
        <f>VLOOKUP(Fato_Producao[[#This Row],[referencia]], Dim_Produtos!A:B,2,FALSE)</f>
        <v>filete pescada</v>
      </c>
      <c r="D774">
        <v>2466</v>
      </c>
      <c r="E774">
        <v>2300</v>
      </c>
      <c r="F774" s="5">
        <v>6.7299999999999999E-2</v>
      </c>
      <c r="G774" s="6">
        <v>53.12</v>
      </c>
      <c r="H774">
        <v>8</v>
      </c>
      <c r="I774">
        <v>155</v>
      </c>
      <c r="J774">
        <v>3</v>
      </c>
      <c r="K774">
        <f>Fato_Producao[[#This Row],[embalagens_danificadas]]+Fato_Producao[[#This Row],[peso_errado]]+Fato_Producao[[#This Row],[impressao]]</f>
        <v>166</v>
      </c>
      <c r="L774" s="1" t="d">
        <v>2024-12-09</v>
      </c>
      <c r="M774">
        <v>41</v>
      </c>
      <c r="N774" s="7">
        <v>6.91</v>
      </c>
      <c r="O774" s="4" t="str">
        <f t="shared" si="36"/>
        <v>janeiro</v>
      </c>
      <c r="P774" s="4">
        <f t="shared" si="37"/>
        <v>2025</v>
      </c>
      <c r="Q774" s="4" t="str">
        <f t="shared" si="38"/>
        <v/>
      </c>
      <c r="R774" t="s">
        <v>24</v>
      </c>
    </row>
    <row r="775" spans="1:18" x14ac:dyDescent="0.3">
      <c r="A775" s="1" t="d">
        <v>2025-01-20</v>
      </c>
      <c r="B775">
        <v>45512</v>
      </c>
      <c r="C775" t="str">
        <f>VLOOKUP(Fato_Producao[[#This Row],[referencia]], Dim_Produtos!A:B,2,FALSE)</f>
        <v>red-fish posta</v>
      </c>
      <c r="D775">
        <v>2785</v>
      </c>
      <c r="E775">
        <v>2553</v>
      </c>
      <c r="F775" s="5">
        <v>8.3299999999999999E-2</v>
      </c>
      <c r="G775" s="6">
        <v>78.88</v>
      </c>
      <c r="H775">
        <v>15</v>
      </c>
      <c r="I775">
        <v>212</v>
      </c>
      <c r="J775">
        <v>5</v>
      </c>
      <c r="K775">
        <f>Fato_Producao[[#This Row],[embalagens_danificadas]]+Fato_Producao[[#This Row],[peso_errado]]+Fato_Producao[[#This Row],[impressao]]</f>
        <v>232</v>
      </c>
      <c r="L775" s="1" t="d">
        <v>2024-12-09</v>
      </c>
      <c r="M775">
        <v>42</v>
      </c>
      <c r="N775" s="7">
        <v>11.04</v>
      </c>
      <c r="O775" s="4" t="str">
        <f t="shared" si="36"/>
        <v>janeiro</v>
      </c>
      <c r="P775" s="4">
        <f t="shared" si="37"/>
        <v>2025</v>
      </c>
      <c r="Q775" s="4" t="str">
        <f t="shared" si="38"/>
        <v/>
      </c>
      <c r="R775" t="s">
        <v>24</v>
      </c>
    </row>
    <row r="776" spans="1:18" x14ac:dyDescent="0.3">
      <c r="A776" s="1" t="d">
        <v>2025-01-20</v>
      </c>
      <c r="B776">
        <v>45510</v>
      </c>
      <c r="C776" t="str">
        <f>VLOOKUP(Fato_Producao[[#This Row],[referencia]], Dim_Produtos!A:B,2,FALSE)</f>
        <v>tiras pota</v>
      </c>
      <c r="D776">
        <v>1840</v>
      </c>
      <c r="E776">
        <v>1666</v>
      </c>
      <c r="F776" s="5">
        <v>9.4600000000000004E-2</v>
      </c>
      <c r="G776" s="6">
        <v>55.68</v>
      </c>
      <c r="H776">
        <v>14</v>
      </c>
      <c r="I776">
        <v>157</v>
      </c>
      <c r="J776">
        <v>3</v>
      </c>
      <c r="K776">
        <f>Fato_Producao[[#This Row],[embalagens_danificadas]]+Fato_Producao[[#This Row],[peso_errado]]+Fato_Producao[[#This Row],[impressao]]</f>
        <v>174</v>
      </c>
      <c r="L776" s="1" t="d">
        <v>2024-12-09</v>
      </c>
      <c r="M776">
        <v>42</v>
      </c>
      <c r="N776" s="7">
        <v>7.8</v>
      </c>
      <c r="O776" s="4" t="str">
        <f t="shared" si="36"/>
        <v>janeiro</v>
      </c>
      <c r="P776" s="4">
        <f t="shared" si="37"/>
        <v>2025</v>
      </c>
      <c r="Q776" s="4" t="str">
        <f t="shared" si="38"/>
        <v/>
      </c>
      <c r="R776" t="s">
        <v>24</v>
      </c>
    </row>
    <row r="777" spans="1:18" x14ac:dyDescent="0.3">
      <c r="A777" s="1" t="d">
        <v>2025-01-21</v>
      </c>
      <c r="B777">
        <v>45508</v>
      </c>
      <c r="C777" t="str">
        <f>VLOOKUP(Fato_Producao[[#This Row],[referencia]], Dim_Produtos!A:B,2,FALSE)</f>
        <v>lula suja</v>
      </c>
      <c r="D777">
        <v>3096</v>
      </c>
      <c r="E777">
        <v>2761</v>
      </c>
      <c r="F777" s="5">
        <v>0.1082</v>
      </c>
      <c r="G777" s="6">
        <v>107.2</v>
      </c>
      <c r="H777">
        <v>49</v>
      </c>
      <c r="I777">
        <v>281</v>
      </c>
      <c r="J777">
        <v>5</v>
      </c>
      <c r="K777">
        <f>Fato_Producao[[#This Row],[embalagens_danificadas]]+Fato_Producao[[#This Row],[peso_errado]]+Fato_Producao[[#This Row],[impressao]]</f>
        <v>335</v>
      </c>
      <c r="L777" s="1" t="d">
        <v>2024-12-09</v>
      </c>
      <c r="M777">
        <v>43</v>
      </c>
      <c r="N777" s="7">
        <v>15.01</v>
      </c>
      <c r="O777" s="4" t="str">
        <f t="shared" si="36"/>
        <v>janeiro</v>
      </c>
      <c r="P777" s="4">
        <f t="shared" si="37"/>
        <v>2025</v>
      </c>
      <c r="Q777" s="4" t="str">
        <f t="shared" si="38"/>
        <v/>
      </c>
      <c r="R777" t="s">
        <v>24</v>
      </c>
    </row>
    <row r="778" spans="1:18" x14ac:dyDescent="0.3">
      <c r="A778" s="1" t="d">
        <v>2025-01-22</v>
      </c>
      <c r="B778">
        <v>45504</v>
      </c>
      <c r="C778" t="str">
        <f>VLOOKUP(Fato_Producao[[#This Row],[referencia]], Dim_Produtos!A:B,2,FALSE)</f>
        <v>pescada posta fritar</v>
      </c>
      <c r="D778">
        <v>2494</v>
      </c>
      <c r="E778">
        <v>2288</v>
      </c>
      <c r="F778" s="5">
        <v>8.2600000000000007E-2</v>
      </c>
      <c r="G778" s="6">
        <v>65.92</v>
      </c>
      <c r="H778">
        <v>8</v>
      </c>
      <c r="I778">
        <v>195</v>
      </c>
      <c r="J778">
        <v>3</v>
      </c>
      <c r="K778">
        <f>Fato_Producao[[#This Row],[embalagens_danificadas]]+Fato_Producao[[#This Row],[peso_errado]]+Fato_Producao[[#This Row],[impressao]]</f>
        <v>206</v>
      </c>
      <c r="L778" s="1" t="d">
        <v>2024-12-09</v>
      </c>
      <c r="M778">
        <v>44</v>
      </c>
      <c r="N778" s="7">
        <v>9.23</v>
      </c>
      <c r="O778" s="4" t="str">
        <f t="shared" si="36"/>
        <v>janeiro</v>
      </c>
      <c r="P778" s="4">
        <f t="shared" si="37"/>
        <v>2025</v>
      </c>
      <c r="Q778" s="4" t="str">
        <f t="shared" si="38"/>
        <v/>
      </c>
      <c r="R778" t="s">
        <v>24</v>
      </c>
    </row>
    <row r="779" spans="1:18" x14ac:dyDescent="0.3">
      <c r="A779" s="1" t="d">
        <v>2025-01-22</v>
      </c>
      <c r="B779">
        <v>45512</v>
      </c>
      <c r="C779" t="str">
        <f>VLOOKUP(Fato_Producao[[#This Row],[referencia]], Dim_Produtos!A:B,2,FALSE)</f>
        <v>red-fish posta</v>
      </c>
      <c r="D779">
        <v>2905</v>
      </c>
      <c r="E779">
        <v>2683</v>
      </c>
      <c r="F779" s="5">
        <v>7.6399999999999996E-2</v>
      </c>
      <c r="G779" s="6">
        <v>75.48</v>
      </c>
      <c r="H779">
        <v>7</v>
      </c>
      <c r="I779">
        <v>212</v>
      </c>
      <c r="J779">
        <v>3</v>
      </c>
      <c r="K779">
        <f>Fato_Producao[[#This Row],[embalagens_danificadas]]+Fato_Producao[[#This Row],[peso_errado]]+Fato_Producao[[#This Row],[impressao]]</f>
        <v>222</v>
      </c>
      <c r="L779" s="1" t="d">
        <v>2024-12-09</v>
      </c>
      <c r="M779">
        <v>44</v>
      </c>
      <c r="N779" s="7">
        <v>10.57</v>
      </c>
      <c r="O779" s="4" t="str">
        <f t="shared" si="36"/>
        <v>janeiro</v>
      </c>
      <c r="P779" s="4">
        <f t="shared" si="37"/>
        <v>2025</v>
      </c>
      <c r="Q779" s="4" t="str">
        <f t="shared" si="38"/>
        <v/>
      </c>
      <c r="R779" t="s">
        <v>24</v>
      </c>
    </row>
    <row r="780" spans="1:18" x14ac:dyDescent="0.3">
      <c r="A780" s="1" t="d">
        <v>2025-01-23</v>
      </c>
      <c r="B780">
        <v>45510</v>
      </c>
      <c r="C780" t="str">
        <f>VLOOKUP(Fato_Producao[[#This Row],[referencia]], Dim_Produtos!A:B,2,FALSE)</f>
        <v>tiras pota</v>
      </c>
      <c r="D780">
        <v>3227</v>
      </c>
      <c r="E780">
        <v>2842</v>
      </c>
      <c r="F780" s="5">
        <v>0.1193</v>
      </c>
      <c r="G780" s="6">
        <v>123.2</v>
      </c>
      <c r="H780">
        <v>39</v>
      </c>
      <c r="I780">
        <v>338</v>
      </c>
      <c r="J780">
        <v>8</v>
      </c>
      <c r="K780">
        <f>Fato_Producao[[#This Row],[embalagens_danificadas]]+Fato_Producao[[#This Row],[peso_errado]]+Fato_Producao[[#This Row],[impressao]]</f>
        <v>385</v>
      </c>
      <c r="L780" s="1" t="d">
        <v>2024-12-09</v>
      </c>
      <c r="M780">
        <v>45</v>
      </c>
      <c r="N780" s="7">
        <v>17.25</v>
      </c>
      <c r="O780" s="4" t="str">
        <f t="shared" si="36"/>
        <v>janeiro</v>
      </c>
      <c r="P780" s="4">
        <f t="shared" si="37"/>
        <v>2025</v>
      </c>
      <c r="Q780" s="4" t="str">
        <f t="shared" si="38"/>
        <v/>
      </c>
      <c r="R780" t="s">
        <v>24</v>
      </c>
    </row>
    <row r="781" spans="1:18" x14ac:dyDescent="0.3">
      <c r="A781" s="1" t="d">
        <v>2025-01-24</v>
      </c>
      <c r="B781">
        <v>45506</v>
      </c>
      <c r="C781" t="str">
        <f>VLOOKUP(Fato_Producao[[#This Row],[referencia]], Dim_Produtos!A:B,2,FALSE)</f>
        <v>perca posta</v>
      </c>
      <c r="D781">
        <v>2330</v>
      </c>
      <c r="E781">
        <v>2102</v>
      </c>
      <c r="F781" s="5">
        <v>9.7900000000000001E-2</v>
      </c>
      <c r="G781" s="6">
        <v>79.8</v>
      </c>
      <c r="H781">
        <v>10</v>
      </c>
      <c r="I781">
        <v>213</v>
      </c>
      <c r="J781">
        <v>5</v>
      </c>
      <c r="K781">
        <f>Fato_Producao[[#This Row],[embalagens_danificadas]]+Fato_Producao[[#This Row],[peso_errado]]+Fato_Producao[[#This Row],[impressao]]</f>
        <v>228</v>
      </c>
      <c r="L781" s="1" t="d">
        <v>2024-12-09</v>
      </c>
      <c r="M781">
        <v>46</v>
      </c>
      <c r="N781" s="7">
        <v>11.97</v>
      </c>
      <c r="O781" s="4" t="str">
        <f t="shared" si="36"/>
        <v>janeiro</v>
      </c>
      <c r="P781" s="4">
        <f t="shared" si="37"/>
        <v>2025</v>
      </c>
      <c r="Q781" s="4" t="str">
        <f t="shared" si="38"/>
        <v/>
      </c>
      <c r="R781" t="s">
        <v>24</v>
      </c>
    </row>
    <row r="782" spans="1:18" x14ac:dyDescent="0.3">
      <c r="A782" s="1" t="d">
        <v>2025-01-25</v>
      </c>
      <c r="B782">
        <v>45500</v>
      </c>
      <c r="C782" t="str">
        <f>VLOOKUP(Fato_Producao[[#This Row],[referencia]], Dim_Produtos!A:B,2,FALSE)</f>
        <v>filete pescada</v>
      </c>
      <c r="D782">
        <v>4185</v>
      </c>
      <c r="E782">
        <v>3893</v>
      </c>
      <c r="F782" s="5">
        <v>6.9800000000000001E-2</v>
      </c>
      <c r="G782" s="6">
        <v>81.760000000000005</v>
      </c>
      <c r="H782">
        <v>13</v>
      </c>
      <c r="I782">
        <v>274</v>
      </c>
      <c r="J782">
        <v>5</v>
      </c>
      <c r="K782">
        <f>Fato_Producao[[#This Row],[embalagens_danificadas]]+Fato_Producao[[#This Row],[peso_errado]]+Fato_Producao[[#This Row],[impressao]]</f>
        <v>292</v>
      </c>
      <c r="L782" s="1" t="d">
        <v>2024-12-09</v>
      </c>
      <c r="M782">
        <v>47</v>
      </c>
      <c r="N782" s="7">
        <v>9.81</v>
      </c>
      <c r="O782" s="4" t="str">
        <f t="shared" si="36"/>
        <v>janeiro</v>
      </c>
      <c r="P782" s="4">
        <f t="shared" si="37"/>
        <v>2025</v>
      </c>
      <c r="Q782" s="4" t="str">
        <f t="shared" si="38"/>
        <v/>
      </c>
      <c r="R782" t="s">
        <v>24</v>
      </c>
    </row>
    <row r="783" spans="1:18" x14ac:dyDescent="0.3">
      <c r="A783" s="1" t="d">
        <v>2025-01-26</v>
      </c>
      <c r="B783">
        <v>45507</v>
      </c>
      <c r="C783" t="str">
        <f>VLOOKUP(Fato_Producao[[#This Row],[referencia]], Dim_Produtos!A:B,2,FALSE)</f>
        <v>salmao posta</v>
      </c>
      <c r="D783">
        <v>2442</v>
      </c>
      <c r="E783">
        <v>2230</v>
      </c>
      <c r="F783" s="5">
        <v>8.6800000000000002E-2</v>
      </c>
      <c r="G783" s="6">
        <v>74.2</v>
      </c>
      <c r="H783">
        <v>6</v>
      </c>
      <c r="I783">
        <v>202</v>
      </c>
      <c r="J783">
        <v>4</v>
      </c>
      <c r="K783">
        <f>Fato_Producao[[#This Row],[embalagens_danificadas]]+Fato_Producao[[#This Row],[peso_errado]]+Fato_Producao[[#This Row],[impressao]]</f>
        <v>212</v>
      </c>
      <c r="L783" s="1" t="d">
        <v>2024-12-09</v>
      </c>
      <c r="M783">
        <v>48</v>
      </c>
      <c r="N783" s="7">
        <v>11.87</v>
      </c>
      <c r="O783" s="4" t="str">
        <f t="shared" si="36"/>
        <v>janeiro</v>
      </c>
      <c r="P783" s="4">
        <f t="shared" si="37"/>
        <v>2025</v>
      </c>
      <c r="Q783" s="4" t="str">
        <f t="shared" si="38"/>
        <v/>
      </c>
      <c r="R783" t="s">
        <v>24</v>
      </c>
    </row>
    <row r="784" spans="1:18" x14ac:dyDescent="0.3">
      <c r="A784" s="1" t="d">
        <v>2025-01-26</v>
      </c>
      <c r="B784">
        <v>45503</v>
      </c>
      <c r="C784" t="str">
        <f>VLOOKUP(Fato_Producao[[#This Row],[referencia]], Dim_Produtos!A:B,2,FALSE)</f>
        <v>sardinha pequena</v>
      </c>
      <c r="D784">
        <v>3598</v>
      </c>
      <c r="E784">
        <v>3243</v>
      </c>
      <c r="F784" s="5">
        <v>9.8699999999999996E-2</v>
      </c>
      <c r="G784" s="6">
        <v>92.3</v>
      </c>
      <c r="H784">
        <v>12</v>
      </c>
      <c r="I784">
        <v>336</v>
      </c>
      <c r="J784">
        <v>7</v>
      </c>
      <c r="K784">
        <f>Fato_Producao[[#This Row],[embalagens_danificadas]]+Fato_Producao[[#This Row],[peso_errado]]+Fato_Producao[[#This Row],[impressao]]</f>
        <v>355</v>
      </c>
      <c r="L784" s="1" t="d">
        <v>2024-12-09</v>
      </c>
      <c r="M784">
        <v>48</v>
      </c>
      <c r="N784" s="7">
        <v>10.15</v>
      </c>
      <c r="O784" s="4" t="str">
        <f t="shared" si="36"/>
        <v>janeiro</v>
      </c>
      <c r="P784" s="4">
        <f t="shared" si="37"/>
        <v>2025</v>
      </c>
      <c r="Q784" s="4" t="str">
        <f t="shared" si="38"/>
        <v/>
      </c>
      <c r="R784" t="s">
        <v>24</v>
      </c>
    </row>
    <row r="785" spans="1:18" x14ac:dyDescent="0.3">
      <c r="A785" s="1" t="d">
        <v>2025-01-27</v>
      </c>
      <c r="B785">
        <v>45505</v>
      </c>
      <c r="C785" t="str">
        <f>VLOOKUP(Fato_Producao[[#This Row],[referencia]], Dim_Produtos!A:B,2,FALSE)</f>
        <v>camarao</v>
      </c>
      <c r="D785">
        <v>1943</v>
      </c>
      <c r="E785">
        <v>1800</v>
      </c>
      <c r="F785" s="5">
        <v>7.3599999999999999E-2</v>
      </c>
      <c r="G785" s="6">
        <v>42.9</v>
      </c>
      <c r="H785">
        <v>41</v>
      </c>
      <c r="I785">
        <v>99</v>
      </c>
      <c r="J785">
        <v>3</v>
      </c>
      <c r="K785">
        <f>Fato_Producao[[#This Row],[embalagens_danificadas]]+Fato_Producao[[#This Row],[peso_errado]]+Fato_Producao[[#This Row],[impressao]]</f>
        <v>143</v>
      </c>
      <c r="L785" s="1" t="d">
        <v>2024-12-09</v>
      </c>
      <c r="M785">
        <v>49</v>
      </c>
      <c r="N785" s="7">
        <v>6.43</v>
      </c>
      <c r="O785" s="4" t="str">
        <f t="shared" si="36"/>
        <v>janeiro</v>
      </c>
      <c r="P785" s="4">
        <f t="shared" si="37"/>
        <v>2025</v>
      </c>
      <c r="Q785" s="4" t="str">
        <f t="shared" si="38"/>
        <v/>
      </c>
      <c r="R785" t="s">
        <v>24</v>
      </c>
    </row>
    <row r="786" spans="1:18" x14ac:dyDescent="0.3">
      <c r="A786" s="1" t="d">
        <v>2025-01-28</v>
      </c>
      <c r="B786">
        <v>45506</v>
      </c>
      <c r="C786" t="str">
        <f>VLOOKUP(Fato_Producao[[#This Row],[referencia]], Dim_Produtos!A:B,2,FALSE)</f>
        <v>perca posta</v>
      </c>
      <c r="D786">
        <v>3157</v>
      </c>
      <c r="E786">
        <v>2938</v>
      </c>
      <c r="F786" s="5">
        <v>6.9400000000000003E-2</v>
      </c>
      <c r="G786" s="6">
        <v>76.650000000000006</v>
      </c>
      <c r="H786">
        <v>8</v>
      </c>
      <c r="I786">
        <v>207</v>
      </c>
      <c r="J786">
        <v>4</v>
      </c>
      <c r="K786">
        <f>Fato_Producao[[#This Row],[embalagens_danificadas]]+Fato_Producao[[#This Row],[peso_errado]]+Fato_Producao[[#This Row],[impressao]]</f>
        <v>219</v>
      </c>
      <c r="L786" s="1" t="d">
        <v>2024-12-09</v>
      </c>
      <c r="M786">
        <v>50</v>
      </c>
      <c r="N786" s="7">
        <v>11.5</v>
      </c>
      <c r="O786" s="4" t="str">
        <f t="shared" si="36"/>
        <v>janeiro</v>
      </c>
      <c r="P786" s="4">
        <f t="shared" si="37"/>
        <v>2025</v>
      </c>
      <c r="Q786" s="4" t="str">
        <f t="shared" si="38"/>
        <v/>
      </c>
      <c r="R786" t="s">
        <v>24</v>
      </c>
    </row>
    <row r="787" spans="1:18" x14ac:dyDescent="0.3">
      <c r="A787" s="1" t="d">
        <v>2025-01-28</v>
      </c>
      <c r="B787">
        <v>45514</v>
      </c>
      <c r="C787" t="str">
        <f>VLOOKUP(Fato_Producao[[#This Row],[referencia]], Dim_Produtos!A:B,2,FALSE)</f>
        <v>sardinha pequena</v>
      </c>
      <c r="D787">
        <v>3259</v>
      </c>
      <c r="E787">
        <v>2921</v>
      </c>
      <c r="F787" s="5">
        <v>0.1037</v>
      </c>
      <c r="G787" s="6">
        <v>101.4</v>
      </c>
      <c r="H787">
        <v>16</v>
      </c>
      <c r="I787">
        <v>314</v>
      </c>
      <c r="J787">
        <v>8</v>
      </c>
      <c r="K787">
        <f>Fato_Producao[[#This Row],[embalagens_danificadas]]+Fato_Producao[[#This Row],[peso_errado]]+Fato_Producao[[#This Row],[impressao]]</f>
        <v>338</v>
      </c>
      <c r="L787" s="1" t="d">
        <v>2024-12-09</v>
      </c>
      <c r="M787">
        <v>50</v>
      </c>
      <c r="N787" s="7">
        <v>12.17</v>
      </c>
      <c r="O787" s="4" t="str">
        <f t="shared" si="36"/>
        <v>janeiro</v>
      </c>
      <c r="P787" s="4">
        <f t="shared" si="37"/>
        <v>2025</v>
      </c>
      <c r="Q787" s="4" t="str">
        <f t="shared" si="38"/>
        <v/>
      </c>
      <c r="R787" t="s">
        <v>24</v>
      </c>
    </row>
    <row r="788" spans="1:18" x14ac:dyDescent="0.3">
      <c r="A788" s="1" t="d">
        <v>2025-01-29</v>
      </c>
      <c r="B788">
        <v>45500</v>
      </c>
      <c r="C788" t="str">
        <f>VLOOKUP(Fato_Producao[[#This Row],[referencia]], Dim_Produtos!A:B,2,FALSE)</f>
        <v>filete pescada</v>
      </c>
      <c r="D788">
        <v>2963</v>
      </c>
      <c r="E788">
        <v>2732</v>
      </c>
      <c r="F788" s="5">
        <v>7.8E-2</v>
      </c>
      <c r="G788" s="6">
        <v>64.680000000000007</v>
      </c>
      <c r="H788">
        <v>8</v>
      </c>
      <c r="I788">
        <v>218</v>
      </c>
      <c r="J788">
        <v>5</v>
      </c>
      <c r="K788">
        <f>Fato_Producao[[#This Row],[embalagens_danificadas]]+Fato_Producao[[#This Row],[peso_errado]]+Fato_Producao[[#This Row],[impressao]]</f>
        <v>231</v>
      </c>
      <c r="L788" s="1" t="d">
        <v>2024-12-09</v>
      </c>
      <c r="M788">
        <v>51</v>
      </c>
      <c r="N788" s="7">
        <v>7.76</v>
      </c>
      <c r="O788" s="4" t="str">
        <f t="shared" si="36"/>
        <v>janeiro</v>
      </c>
      <c r="P788" s="4">
        <f t="shared" si="37"/>
        <v>2025</v>
      </c>
      <c r="Q788" s="4" t="str">
        <f t="shared" si="38"/>
        <v/>
      </c>
      <c r="R788" t="s">
        <v>24</v>
      </c>
    </row>
    <row r="789" spans="1:18" x14ac:dyDescent="0.3">
      <c r="A789" s="1" t="d">
        <v>2025-01-29</v>
      </c>
      <c r="B789">
        <v>45504</v>
      </c>
      <c r="C789" t="str">
        <f>VLOOKUP(Fato_Producao[[#This Row],[referencia]], Dim_Produtos!A:B,2,FALSE)</f>
        <v>pescada posta fritar</v>
      </c>
      <c r="D789">
        <v>2795</v>
      </c>
      <c r="E789">
        <v>2521</v>
      </c>
      <c r="F789" s="5">
        <v>9.8000000000000004E-2</v>
      </c>
      <c r="G789" s="6">
        <v>87.68</v>
      </c>
      <c r="H789">
        <v>19</v>
      </c>
      <c r="I789">
        <v>250</v>
      </c>
      <c r="J789">
        <v>5</v>
      </c>
      <c r="K789">
        <f>Fato_Producao[[#This Row],[embalagens_danificadas]]+Fato_Producao[[#This Row],[peso_errado]]+Fato_Producao[[#This Row],[impressao]]</f>
        <v>274</v>
      </c>
      <c r="L789" s="1" t="d">
        <v>2024-12-09</v>
      </c>
      <c r="M789">
        <v>51</v>
      </c>
      <c r="N789" s="7">
        <v>12.28</v>
      </c>
      <c r="O789" s="4" t="str">
        <f t="shared" si="36"/>
        <v>janeiro</v>
      </c>
      <c r="P789" s="4">
        <f t="shared" si="37"/>
        <v>2025</v>
      </c>
      <c r="Q789" s="4" t="str">
        <f t="shared" si="38"/>
        <v/>
      </c>
      <c r="R789" t="s">
        <v>24</v>
      </c>
    </row>
    <row r="790" spans="1:18" x14ac:dyDescent="0.3">
      <c r="A790" s="1" t="d">
        <v>2025-01-30</v>
      </c>
      <c r="B790">
        <v>45500</v>
      </c>
      <c r="C790" t="str">
        <f>VLOOKUP(Fato_Producao[[#This Row],[referencia]], Dim_Produtos!A:B,2,FALSE)</f>
        <v>filete pescada</v>
      </c>
      <c r="D790">
        <v>4151</v>
      </c>
      <c r="E790">
        <v>3875</v>
      </c>
      <c r="F790" s="5">
        <v>6.6500000000000004E-2</v>
      </c>
      <c r="G790" s="6">
        <v>77.28</v>
      </c>
      <c r="H790">
        <v>10</v>
      </c>
      <c r="I790">
        <v>259</v>
      </c>
      <c r="J790">
        <v>7</v>
      </c>
      <c r="K790">
        <f>Fato_Producao[[#This Row],[embalagens_danificadas]]+Fato_Producao[[#This Row],[peso_errado]]+Fato_Producao[[#This Row],[impressao]]</f>
        <v>276</v>
      </c>
      <c r="L790" s="1" t="d">
        <v>2024-12-09</v>
      </c>
      <c r="M790">
        <v>52</v>
      </c>
      <c r="N790" s="7">
        <v>9.27</v>
      </c>
      <c r="O790" s="4" t="str">
        <f t="shared" si="36"/>
        <v>janeiro</v>
      </c>
      <c r="P790" s="4">
        <f t="shared" si="37"/>
        <v>2025</v>
      </c>
      <c r="Q790" s="4" t="str">
        <f t="shared" si="38"/>
        <v/>
      </c>
      <c r="R790" t="s">
        <v>24</v>
      </c>
    </row>
    <row r="791" spans="1:18" x14ac:dyDescent="0.3">
      <c r="A791" s="1" t="d">
        <v>2025-01-31</v>
      </c>
      <c r="B791">
        <v>45503</v>
      </c>
      <c r="C791" t="str">
        <f>VLOOKUP(Fato_Producao[[#This Row],[referencia]], Dim_Produtos!A:B,2,FALSE)</f>
        <v>sardinha pequena</v>
      </c>
      <c r="D791">
        <v>1877</v>
      </c>
      <c r="E791">
        <v>1691</v>
      </c>
      <c r="F791" s="5">
        <v>9.9099999999999994E-2</v>
      </c>
      <c r="G791" s="6">
        <v>48.36</v>
      </c>
      <c r="H791">
        <v>10</v>
      </c>
      <c r="I791">
        <v>172</v>
      </c>
      <c r="J791">
        <v>4</v>
      </c>
      <c r="K791">
        <f>Fato_Producao[[#This Row],[embalagens_danificadas]]+Fato_Producao[[#This Row],[peso_errado]]+Fato_Producao[[#This Row],[impressao]]</f>
        <v>186</v>
      </c>
      <c r="L791" s="1" t="d">
        <v>2024-12-09</v>
      </c>
      <c r="M791">
        <v>53</v>
      </c>
      <c r="N791" s="7">
        <v>5.32</v>
      </c>
      <c r="O791" s="4" t="str">
        <f t="shared" si="36"/>
        <v>janeiro</v>
      </c>
      <c r="P791" s="4">
        <f t="shared" si="37"/>
        <v>2025</v>
      </c>
      <c r="Q791" s="4" t="str">
        <f t="shared" si="38"/>
        <v/>
      </c>
      <c r="R791" t="s">
        <v>24</v>
      </c>
    </row>
    <row r="792" spans="1:18" x14ac:dyDescent="0.3">
      <c r="A792" s="1" t="d">
        <v>2025-01-31</v>
      </c>
      <c r="B792">
        <v>45505</v>
      </c>
      <c r="C792" t="str">
        <f>VLOOKUP(Fato_Producao[[#This Row],[referencia]], Dim_Produtos!A:B,2,FALSE)</f>
        <v>camarao</v>
      </c>
      <c r="D792">
        <v>3796</v>
      </c>
      <c r="E792">
        <v>3389</v>
      </c>
      <c r="F792" s="5">
        <v>0.1072</v>
      </c>
      <c r="G792" s="6">
        <v>122.1</v>
      </c>
      <c r="H792">
        <v>96</v>
      </c>
      <c r="I792">
        <v>301</v>
      </c>
      <c r="J792">
        <v>10</v>
      </c>
      <c r="K792">
        <f>Fato_Producao[[#This Row],[embalagens_danificadas]]+Fato_Producao[[#This Row],[peso_errado]]+Fato_Producao[[#This Row],[impressao]]</f>
        <v>407</v>
      </c>
      <c r="L792" s="1" t="d">
        <v>2024-12-09</v>
      </c>
      <c r="M792">
        <v>53</v>
      </c>
      <c r="N792" s="7">
        <v>18.309999999999999</v>
      </c>
      <c r="O792" s="4" t="str">
        <f t="shared" si="36"/>
        <v>janeiro</v>
      </c>
      <c r="P792" s="4">
        <f t="shared" si="37"/>
        <v>2025</v>
      </c>
      <c r="Q792" s="4" t="str">
        <f t="shared" si="38"/>
        <v/>
      </c>
      <c r="R792" t="s">
        <v>24</v>
      </c>
    </row>
    <row r="793" spans="1:18" x14ac:dyDescent="0.3">
      <c r="A793" s="1" t="d">
        <v>2025-02-01</v>
      </c>
      <c r="B793">
        <v>45505</v>
      </c>
      <c r="C793" t="str">
        <f>VLOOKUP(Fato_Producao[[#This Row],[referencia]], Dim_Produtos!A:B,2,FALSE)</f>
        <v>camarao</v>
      </c>
      <c r="D793">
        <v>3931</v>
      </c>
      <c r="E793">
        <v>3567</v>
      </c>
      <c r="F793" s="5">
        <v>9.2600000000000002E-2</v>
      </c>
      <c r="G793" s="6">
        <v>109.2</v>
      </c>
      <c r="H793">
        <v>70</v>
      </c>
      <c r="I793">
        <v>282</v>
      </c>
      <c r="J793">
        <v>12</v>
      </c>
      <c r="K793">
        <f>Fato_Producao[[#This Row],[embalagens_danificadas]]+Fato_Producao[[#This Row],[peso_errado]]+Fato_Producao[[#This Row],[impressao]]</f>
        <v>364</v>
      </c>
      <c r="L793" s="1" t="d">
        <v>2024-12-09</v>
      </c>
      <c r="M793">
        <v>54</v>
      </c>
      <c r="N793" s="7">
        <v>16.38</v>
      </c>
      <c r="O793" s="4" t="str">
        <f t="shared" si="36"/>
        <v>fevereiro</v>
      </c>
      <c r="P793" s="4">
        <f t="shared" si="37"/>
        <v>2025</v>
      </c>
      <c r="Q793" s="4" t="str">
        <f t="shared" si="38"/>
        <v/>
      </c>
      <c r="R793" t="s">
        <v>24</v>
      </c>
    </row>
    <row r="794" spans="1:18" x14ac:dyDescent="0.3">
      <c r="A794" s="1" t="d">
        <v>2025-02-01</v>
      </c>
      <c r="B794">
        <v>45510</v>
      </c>
      <c r="C794" t="str">
        <f>VLOOKUP(Fato_Producao[[#This Row],[referencia]], Dim_Produtos!A:B,2,FALSE)</f>
        <v>tiras pota</v>
      </c>
      <c r="D794">
        <v>1942</v>
      </c>
      <c r="E794">
        <v>1752</v>
      </c>
      <c r="F794" s="5">
        <v>9.7799999999999998E-2</v>
      </c>
      <c r="G794" s="6">
        <v>60.8</v>
      </c>
      <c r="H794">
        <v>23</v>
      </c>
      <c r="I794">
        <v>163</v>
      </c>
      <c r="J794">
        <v>4</v>
      </c>
      <c r="K794">
        <f>Fato_Producao[[#This Row],[embalagens_danificadas]]+Fato_Producao[[#This Row],[peso_errado]]+Fato_Producao[[#This Row],[impressao]]</f>
        <v>190</v>
      </c>
      <c r="L794" s="1" t="d">
        <v>2024-12-09</v>
      </c>
      <c r="M794">
        <v>54</v>
      </c>
      <c r="N794" s="7">
        <v>8.51</v>
      </c>
      <c r="O794" s="4" t="str">
        <f t="shared" si="36"/>
        <v>fevereiro</v>
      </c>
      <c r="P794" s="4">
        <f t="shared" si="37"/>
        <v>2025</v>
      </c>
      <c r="Q794" s="4">
        <f t="shared" si="38"/>
        <v>54</v>
      </c>
      <c r="R794" t="s">
        <v>24</v>
      </c>
    </row>
    <row r="795" spans="1:18" x14ac:dyDescent="0.3">
      <c r="A795" s="1" t="d">
        <v>2025-02-02</v>
      </c>
      <c r="B795">
        <v>45500</v>
      </c>
      <c r="C795" t="str">
        <f>VLOOKUP(Fato_Producao[[#This Row],[referencia]], Dim_Produtos!A:B,2,FALSE)</f>
        <v>filete pescada</v>
      </c>
      <c r="D795">
        <v>2977</v>
      </c>
      <c r="E795">
        <v>2880</v>
      </c>
      <c r="F795" s="5">
        <v>3.2599999999999997E-2</v>
      </c>
      <c r="G795" s="6">
        <v>27.16</v>
      </c>
      <c r="H795">
        <v>5</v>
      </c>
      <c r="I795">
        <v>90</v>
      </c>
      <c r="J795">
        <v>2</v>
      </c>
      <c r="K795">
        <f>Fato_Producao[[#This Row],[embalagens_danificadas]]+Fato_Producao[[#This Row],[peso_errado]]+Fato_Producao[[#This Row],[impressao]]</f>
        <v>97</v>
      </c>
      <c r="L795" s="1" t="d">
        <v>2025-02-02</v>
      </c>
      <c r="M795">
        <v>0</v>
      </c>
      <c r="N795" s="7">
        <v>3.26</v>
      </c>
      <c r="O795" s="4" t="str">
        <f t="shared" si="36"/>
        <v>fevereiro</v>
      </c>
      <c r="P795" s="4">
        <f t="shared" si="37"/>
        <v>2025</v>
      </c>
      <c r="Q795" s="4" t="str">
        <f t="shared" si="38"/>
        <v/>
      </c>
      <c r="R795" t="s">
        <v>24</v>
      </c>
    </row>
    <row r="796" spans="1:18" x14ac:dyDescent="0.3">
      <c r="A796" s="1" t="d">
        <v>2025-02-03</v>
      </c>
      <c r="B796">
        <v>45507</v>
      </c>
      <c r="C796" t="str">
        <f>VLOOKUP(Fato_Producao[[#This Row],[referencia]], Dim_Produtos!A:B,2,FALSE)</f>
        <v>salmao posta</v>
      </c>
      <c r="D796">
        <v>2346</v>
      </c>
      <c r="E796">
        <v>2271</v>
      </c>
      <c r="F796" s="5">
        <v>3.2000000000000001E-2</v>
      </c>
      <c r="G796" s="6">
        <v>26.25</v>
      </c>
      <c r="H796">
        <v>5</v>
      </c>
      <c r="I796">
        <v>69</v>
      </c>
      <c r="J796">
        <v>1</v>
      </c>
      <c r="K796">
        <f>Fato_Producao[[#This Row],[embalagens_danificadas]]+Fato_Producao[[#This Row],[peso_errado]]+Fato_Producao[[#This Row],[impressao]]</f>
        <v>75</v>
      </c>
      <c r="L796" s="1" t="d">
        <v>2025-02-02</v>
      </c>
      <c r="M796">
        <v>1</v>
      </c>
      <c r="N796" s="7">
        <v>4.2</v>
      </c>
      <c r="O796" s="4" t="str">
        <f t="shared" si="36"/>
        <v>fevereiro</v>
      </c>
      <c r="P796" s="4">
        <f t="shared" si="37"/>
        <v>2025</v>
      </c>
      <c r="Q796" s="4" t="str">
        <f t="shared" si="38"/>
        <v/>
      </c>
      <c r="R796" t="s">
        <v>24</v>
      </c>
    </row>
    <row r="797" spans="1:18" x14ac:dyDescent="0.3">
      <c r="A797" s="1" t="d">
        <v>2025-02-03</v>
      </c>
      <c r="B797">
        <v>45501</v>
      </c>
      <c r="C797" t="str">
        <f>VLOOKUP(Fato_Producao[[#This Row],[referencia]], Dim_Produtos!A:B,2,FALSE)</f>
        <v>pescada posta cozer</v>
      </c>
      <c r="D797">
        <v>2433</v>
      </c>
      <c r="E797">
        <v>2331</v>
      </c>
      <c r="F797" s="5">
        <v>4.19E-2</v>
      </c>
      <c r="G797" s="6">
        <v>32.64</v>
      </c>
      <c r="H797">
        <v>2</v>
      </c>
      <c r="I797">
        <v>97</v>
      </c>
      <c r="J797">
        <v>3</v>
      </c>
      <c r="K797">
        <f>Fato_Producao[[#This Row],[embalagens_danificadas]]+Fato_Producao[[#This Row],[peso_errado]]+Fato_Producao[[#This Row],[impressao]]</f>
        <v>102</v>
      </c>
      <c r="L797" s="1" t="d">
        <v>2025-02-02</v>
      </c>
      <c r="M797">
        <v>1</v>
      </c>
      <c r="N797" s="7">
        <v>4.57</v>
      </c>
      <c r="O797" s="4" t="str">
        <f t="shared" si="36"/>
        <v>fevereiro</v>
      </c>
      <c r="P797" s="4">
        <f t="shared" si="37"/>
        <v>2025</v>
      </c>
      <c r="Q797" s="4" t="str">
        <f t="shared" si="38"/>
        <v/>
      </c>
      <c r="R797" t="s">
        <v>24</v>
      </c>
    </row>
    <row r="798" spans="1:18" x14ac:dyDescent="0.3">
      <c r="A798" s="1" t="d">
        <v>2025-02-04</v>
      </c>
      <c r="B798">
        <v>45506</v>
      </c>
      <c r="C798" t="str">
        <f>VLOOKUP(Fato_Producao[[#This Row],[referencia]], Dim_Produtos!A:B,2,FALSE)</f>
        <v>perca posta</v>
      </c>
      <c r="D798">
        <v>2315</v>
      </c>
      <c r="E798">
        <v>2201</v>
      </c>
      <c r="F798" s="5">
        <v>4.9200000000000001E-2</v>
      </c>
      <c r="G798" s="6">
        <v>39.9</v>
      </c>
      <c r="H798">
        <v>3</v>
      </c>
      <c r="I798">
        <v>109</v>
      </c>
      <c r="J798">
        <v>2</v>
      </c>
      <c r="K798">
        <f>Fato_Producao[[#This Row],[embalagens_danificadas]]+Fato_Producao[[#This Row],[peso_errado]]+Fato_Producao[[#This Row],[impressao]]</f>
        <v>114</v>
      </c>
      <c r="L798" s="1" t="d">
        <v>2025-02-02</v>
      </c>
      <c r="M798">
        <v>2</v>
      </c>
      <c r="N798" s="7">
        <v>5.98</v>
      </c>
      <c r="O798" s="4" t="str">
        <f t="shared" si="36"/>
        <v>fevereiro</v>
      </c>
      <c r="P798" s="4">
        <f t="shared" si="37"/>
        <v>2025</v>
      </c>
      <c r="Q798" s="4" t="str">
        <f t="shared" si="38"/>
        <v/>
      </c>
      <c r="R798" t="s">
        <v>24</v>
      </c>
    </row>
    <row r="799" spans="1:18" x14ac:dyDescent="0.3">
      <c r="A799" s="1" t="d">
        <v>2025-02-04</v>
      </c>
      <c r="B799">
        <v>45502</v>
      </c>
      <c r="C799" t="str">
        <f>VLOOKUP(Fato_Producao[[#This Row],[referencia]], Dim_Produtos!A:B,2,FALSE)</f>
        <v>carapau pelim</v>
      </c>
      <c r="D799">
        <v>2441</v>
      </c>
      <c r="E799">
        <v>2329</v>
      </c>
      <c r="F799" s="5">
        <v>4.5900000000000003E-2</v>
      </c>
      <c r="G799" s="6">
        <v>33.6</v>
      </c>
      <c r="H799">
        <v>31</v>
      </c>
      <c r="I799">
        <v>79</v>
      </c>
      <c r="J799">
        <v>2</v>
      </c>
      <c r="K799">
        <f>Fato_Producao[[#This Row],[embalagens_danificadas]]+Fato_Producao[[#This Row],[peso_errado]]+Fato_Producao[[#This Row],[impressao]]</f>
        <v>112</v>
      </c>
      <c r="L799" s="1" t="d">
        <v>2025-02-02</v>
      </c>
      <c r="M799">
        <v>2</v>
      </c>
      <c r="N799" s="7">
        <v>4.37</v>
      </c>
      <c r="O799" s="4" t="str">
        <f t="shared" si="36"/>
        <v>fevereiro</v>
      </c>
      <c r="P799" s="4">
        <f t="shared" si="37"/>
        <v>2025</v>
      </c>
      <c r="Q799" s="4" t="str">
        <f t="shared" si="38"/>
        <v/>
      </c>
      <c r="R799" t="s">
        <v>24</v>
      </c>
    </row>
    <row r="800" spans="1:18" x14ac:dyDescent="0.3">
      <c r="A800" s="1" t="d">
        <v>2025-02-05</v>
      </c>
      <c r="B800">
        <v>45510</v>
      </c>
      <c r="C800" t="str">
        <f>VLOOKUP(Fato_Producao[[#This Row],[referencia]], Dim_Produtos!A:B,2,FALSE)</f>
        <v>tiras pota</v>
      </c>
      <c r="D800">
        <v>2825</v>
      </c>
      <c r="E800">
        <v>2692</v>
      </c>
      <c r="F800" s="5">
        <v>4.7100000000000003E-2</v>
      </c>
      <c r="G800" s="6">
        <v>42.56</v>
      </c>
      <c r="H800">
        <v>13</v>
      </c>
      <c r="I800">
        <v>117</v>
      </c>
      <c r="J800">
        <v>3</v>
      </c>
      <c r="K800">
        <f>Fato_Producao[[#This Row],[embalagens_danificadas]]+Fato_Producao[[#This Row],[peso_errado]]+Fato_Producao[[#This Row],[impressao]]</f>
        <v>133</v>
      </c>
      <c r="L800" s="1" t="d">
        <v>2025-02-02</v>
      </c>
      <c r="M800">
        <v>3</v>
      </c>
      <c r="N800" s="7">
        <v>5.96</v>
      </c>
      <c r="O800" s="4" t="str">
        <f t="shared" si="36"/>
        <v>fevereiro</v>
      </c>
      <c r="P800" s="4">
        <f t="shared" si="37"/>
        <v>2025</v>
      </c>
      <c r="Q800" s="4" t="str">
        <f t="shared" si="38"/>
        <v/>
      </c>
      <c r="R800" t="s">
        <v>24</v>
      </c>
    </row>
    <row r="801" spans="1:18" x14ac:dyDescent="0.3">
      <c r="A801" s="1" t="d">
        <v>2025-02-06</v>
      </c>
      <c r="B801">
        <v>45512</v>
      </c>
      <c r="C801" t="str">
        <f>VLOOKUP(Fato_Producao[[#This Row],[referencia]], Dim_Produtos!A:B,2,FALSE)</f>
        <v>red-fish posta</v>
      </c>
      <c r="D801">
        <v>2673</v>
      </c>
      <c r="E801">
        <v>2542</v>
      </c>
      <c r="F801" s="5">
        <v>4.9000000000000002E-2</v>
      </c>
      <c r="G801" s="6">
        <v>44.54</v>
      </c>
      <c r="H801">
        <v>5</v>
      </c>
      <c r="I801">
        <v>124</v>
      </c>
      <c r="J801">
        <v>2</v>
      </c>
      <c r="K801">
        <f>Fato_Producao[[#This Row],[embalagens_danificadas]]+Fato_Producao[[#This Row],[peso_errado]]+Fato_Producao[[#This Row],[impressao]]</f>
        <v>131</v>
      </c>
      <c r="L801" s="1" t="d">
        <v>2025-02-02</v>
      </c>
      <c r="M801">
        <v>4</v>
      </c>
      <c r="N801" s="7">
        <v>6.24</v>
      </c>
      <c r="O801" s="4" t="str">
        <f t="shared" si="36"/>
        <v>fevereiro</v>
      </c>
      <c r="P801" s="4">
        <f t="shared" si="37"/>
        <v>2025</v>
      </c>
      <c r="Q801" s="4" t="str">
        <f t="shared" si="38"/>
        <v/>
      </c>
      <c r="R801" t="s">
        <v>24</v>
      </c>
    </row>
    <row r="802" spans="1:18" x14ac:dyDescent="0.3">
      <c r="A802" s="1" t="d">
        <v>2025-02-07</v>
      </c>
      <c r="B802">
        <v>45504</v>
      </c>
      <c r="C802" t="str">
        <f>VLOOKUP(Fato_Producao[[#This Row],[referencia]], Dim_Produtos!A:B,2,FALSE)</f>
        <v>pescada posta fritar</v>
      </c>
      <c r="D802">
        <v>4083</v>
      </c>
      <c r="E802">
        <v>3839</v>
      </c>
      <c r="F802" s="5">
        <v>5.9799999999999999E-2</v>
      </c>
      <c r="G802" s="6">
        <v>78.08</v>
      </c>
      <c r="H802">
        <v>12</v>
      </c>
      <c r="I802">
        <v>228</v>
      </c>
      <c r="J802">
        <v>4</v>
      </c>
      <c r="K802">
        <f>Fato_Producao[[#This Row],[embalagens_danificadas]]+Fato_Producao[[#This Row],[peso_errado]]+Fato_Producao[[#This Row],[impressao]]</f>
        <v>244</v>
      </c>
      <c r="L802" s="1" t="d">
        <v>2025-02-02</v>
      </c>
      <c r="M802">
        <v>5</v>
      </c>
      <c r="N802" s="7">
        <v>10.93</v>
      </c>
      <c r="O802" s="4" t="str">
        <f t="shared" si="36"/>
        <v>fevereiro</v>
      </c>
      <c r="P802" s="4">
        <f t="shared" si="37"/>
        <v>2025</v>
      </c>
      <c r="Q802" s="4" t="str">
        <f t="shared" si="38"/>
        <v/>
      </c>
      <c r="R802" t="s">
        <v>24</v>
      </c>
    </row>
    <row r="803" spans="1:18" x14ac:dyDescent="0.3">
      <c r="A803" s="1" t="d">
        <v>2025-02-08</v>
      </c>
      <c r="B803">
        <v>45505</v>
      </c>
      <c r="C803" t="str">
        <f>VLOOKUP(Fato_Producao[[#This Row],[referencia]], Dim_Produtos!A:B,2,FALSE)</f>
        <v>camarao</v>
      </c>
      <c r="D803">
        <v>3379</v>
      </c>
      <c r="E803">
        <v>3190</v>
      </c>
      <c r="F803" s="5">
        <v>5.5899999999999998E-2</v>
      </c>
      <c r="G803" s="6">
        <v>56.7</v>
      </c>
      <c r="H803">
        <v>57</v>
      </c>
      <c r="I803">
        <v>130</v>
      </c>
      <c r="J803">
        <v>2</v>
      </c>
      <c r="K803">
        <f>Fato_Producao[[#This Row],[embalagens_danificadas]]+Fato_Producao[[#This Row],[peso_errado]]+Fato_Producao[[#This Row],[impressao]]</f>
        <v>189</v>
      </c>
      <c r="L803" s="1" t="d">
        <v>2025-02-02</v>
      </c>
      <c r="M803">
        <v>6</v>
      </c>
      <c r="N803" s="7">
        <v>8.51</v>
      </c>
      <c r="O803" s="4" t="str">
        <f t="shared" si="36"/>
        <v>fevereiro</v>
      </c>
      <c r="P803" s="4">
        <f t="shared" si="37"/>
        <v>2025</v>
      </c>
      <c r="Q803" s="4" t="str">
        <f t="shared" si="38"/>
        <v/>
      </c>
      <c r="R803" t="s">
        <v>24</v>
      </c>
    </row>
    <row r="804" spans="1:18" x14ac:dyDescent="0.3">
      <c r="A804" s="1" t="d">
        <v>2025-02-08</v>
      </c>
      <c r="B804">
        <v>45505</v>
      </c>
      <c r="C804" t="str">
        <f>VLOOKUP(Fato_Producao[[#This Row],[referencia]], Dim_Produtos!A:B,2,FALSE)</f>
        <v>camarao</v>
      </c>
      <c r="D804">
        <v>3480</v>
      </c>
      <c r="E804">
        <v>3299</v>
      </c>
      <c r="F804" s="5">
        <v>5.1999999999999998E-2</v>
      </c>
      <c r="G804" s="6">
        <v>54.3</v>
      </c>
      <c r="H804">
        <v>49</v>
      </c>
      <c r="I804">
        <v>128</v>
      </c>
      <c r="J804">
        <v>4</v>
      </c>
      <c r="K804">
        <f>Fato_Producao[[#This Row],[embalagens_danificadas]]+Fato_Producao[[#This Row],[peso_errado]]+Fato_Producao[[#This Row],[impressao]]</f>
        <v>181</v>
      </c>
      <c r="L804" s="1" t="d">
        <v>2025-02-02</v>
      </c>
      <c r="M804">
        <v>6</v>
      </c>
      <c r="N804" s="7">
        <v>8.14</v>
      </c>
      <c r="O804" s="4" t="str">
        <f t="shared" si="36"/>
        <v>fevereiro</v>
      </c>
      <c r="P804" s="4">
        <f t="shared" si="37"/>
        <v>2025</v>
      </c>
      <c r="Q804" s="4" t="str">
        <f t="shared" si="38"/>
        <v/>
      </c>
      <c r="R804" t="s">
        <v>24</v>
      </c>
    </row>
    <row r="805" spans="1:18" x14ac:dyDescent="0.3">
      <c r="A805" s="1" t="d">
        <v>2025-02-09</v>
      </c>
      <c r="B805">
        <v>45508</v>
      </c>
      <c r="C805" t="str">
        <f>VLOOKUP(Fato_Producao[[#This Row],[referencia]], Dim_Produtos!A:B,2,FALSE)</f>
        <v>lula suja</v>
      </c>
      <c r="D805">
        <v>3205</v>
      </c>
      <c r="E805">
        <v>2941</v>
      </c>
      <c r="F805" s="5">
        <v>8.2400000000000001E-2</v>
      </c>
      <c r="G805" s="6">
        <v>84.48</v>
      </c>
      <c r="H805">
        <v>30</v>
      </c>
      <c r="I805">
        <v>227</v>
      </c>
      <c r="J805">
        <v>7</v>
      </c>
      <c r="K805">
        <f>Fato_Producao[[#This Row],[embalagens_danificadas]]+Fato_Producao[[#This Row],[peso_errado]]+Fato_Producao[[#This Row],[impressao]]</f>
        <v>264</v>
      </c>
      <c r="L805" s="1" t="d">
        <v>2025-02-02</v>
      </c>
      <c r="M805">
        <v>7</v>
      </c>
      <c r="N805" s="7">
        <v>11.83</v>
      </c>
      <c r="O805" s="4" t="str">
        <f t="shared" si="36"/>
        <v>fevereiro</v>
      </c>
      <c r="P805" s="4">
        <f t="shared" si="37"/>
        <v>2025</v>
      </c>
      <c r="Q805" s="4" t="str">
        <f t="shared" si="38"/>
        <v/>
      </c>
      <c r="R805" t="s">
        <v>24</v>
      </c>
    </row>
    <row r="806" spans="1:18" x14ac:dyDescent="0.3">
      <c r="A806" s="1" t="d">
        <v>2025-02-10</v>
      </c>
      <c r="B806">
        <v>45503</v>
      </c>
      <c r="C806" t="str">
        <f>VLOOKUP(Fato_Producao[[#This Row],[referencia]], Dim_Produtos!A:B,2,FALSE)</f>
        <v>sardinha pequena</v>
      </c>
      <c r="D806">
        <v>4199</v>
      </c>
      <c r="E806">
        <v>3918</v>
      </c>
      <c r="F806" s="5">
        <v>6.6900000000000001E-2</v>
      </c>
      <c r="G806" s="6">
        <v>73.06</v>
      </c>
      <c r="H806">
        <v>7</v>
      </c>
      <c r="I806">
        <v>269</v>
      </c>
      <c r="J806">
        <v>5</v>
      </c>
      <c r="K806">
        <f>Fato_Producao[[#This Row],[embalagens_danificadas]]+Fato_Producao[[#This Row],[peso_errado]]+Fato_Producao[[#This Row],[impressao]]</f>
        <v>281</v>
      </c>
      <c r="L806" s="1" t="d">
        <v>2025-02-02</v>
      </c>
      <c r="M806">
        <v>8</v>
      </c>
      <c r="N806" s="7">
        <v>8.0399999999999991</v>
      </c>
      <c r="O806" s="4" t="str">
        <f t="shared" si="36"/>
        <v>fevereiro</v>
      </c>
      <c r="P806" s="4">
        <f t="shared" si="37"/>
        <v>2025</v>
      </c>
      <c r="Q806" s="4" t="str">
        <f t="shared" si="38"/>
        <v/>
      </c>
      <c r="R806" t="s">
        <v>24</v>
      </c>
    </row>
    <row r="807" spans="1:18" x14ac:dyDescent="0.3">
      <c r="A807" s="1" t="d">
        <v>2025-02-10</v>
      </c>
      <c r="B807">
        <v>45506</v>
      </c>
      <c r="C807" t="str">
        <f>VLOOKUP(Fato_Producao[[#This Row],[referencia]], Dim_Produtos!A:B,2,FALSE)</f>
        <v>perca posta</v>
      </c>
      <c r="D807">
        <v>2537</v>
      </c>
      <c r="E807">
        <v>2427</v>
      </c>
      <c r="F807" s="5">
        <v>4.3400000000000001E-2</v>
      </c>
      <c r="G807" s="6">
        <v>38.5</v>
      </c>
      <c r="H807">
        <v>6</v>
      </c>
      <c r="I807">
        <v>102</v>
      </c>
      <c r="J807">
        <v>2</v>
      </c>
      <c r="K807">
        <f>Fato_Producao[[#This Row],[embalagens_danificadas]]+Fato_Producao[[#This Row],[peso_errado]]+Fato_Producao[[#This Row],[impressao]]</f>
        <v>110</v>
      </c>
      <c r="L807" s="1" t="d">
        <v>2025-02-02</v>
      </c>
      <c r="M807">
        <v>8</v>
      </c>
      <c r="N807" s="7">
        <v>5.77</v>
      </c>
      <c r="O807" s="4" t="str">
        <f t="shared" si="36"/>
        <v>fevereiro</v>
      </c>
      <c r="P807" s="4">
        <f t="shared" si="37"/>
        <v>2025</v>
      </c>
      <c r="Q807" s="4" t="str">
        <f t="shared" si="38"/>
        <v/>
      </c>
      <c r="R807" t="s">
        <v>24</v>
      </c>
    </row>
    <row r="808" spans="1:18" x14ac:dyDescent="0.3">
      <c r="A808" s="1" t="d">
        <v>2025-02-11</v>
      </c>
      <c r="B808">
        <v>45506</v>
      </c>
      <c r="C808" t="str">
        <f>VLOOKUP(Fato_Producao[[#This Row],[referencia]], Dim_Produtos!A:B,2,FALSE)</f>
        <v>perca posta</v>
      </c>
      <c r="D808">
        <v>3055</v>
      </c>
      <c r="E808">
        <v>2911</v>
      </c>
      <c r="F808" s="5">
        <v>4.7100000000000003E-2</v>
      </c>
      <c r="G808" s="6">
        <v>50.4</v>
      </c>
      <c r="H808">
        <v>5</v>
      </c>
      <c r="I808">
        <v>137</v>
      </c>
      <c r="J808">
        <v>2</v>
      </c>
      <c r="K808">
        <f>Fato_Producao[[#This Row],[embalagens_danificadas]]+Fato_Producao[[#This Row],[peso_errado]]+Fato_Producao[[#This Row],[impressao]]</f>
        <v>144</v>
      </c>
      <c r="L808" s="1" t="d">
        <v>2025-02-02</v>
      </c>
      <c r="M808">
        <v>9</v>
      </c>
      <c r="N808" s="7">
        <v>7.56</v>
      </c>
      <c r="O808" s="4" t="str">
        <f t="shared" si="36"/>
        <v>fevereiro</v>
      </c>
      <c r="P808" s="4">
        <f t="shared" si="37"/>
        <v>2025</v>
      </c>
      <c r="Q808" s="4" t="str">
        <f t="shared" si="38"/>
        <v/>
      </c>
      <c r="R808" t="s">
        <v>24</v>
      </c>
    </row>
    <row r="809" spans="1:18" x14ac:dyDescent="0.3">
      <c r="A809" s="1" t="d">
        <v>2025-02-11</v>
      </c>
      <c r="B809">
        <v>45501</v>
      </c>
      <c r="C809" t="str">
        <f>VLOOKUP(Fato_Producao[[#This Row],[referencia]], Dim_Produtos!A:B,2,FALSE)</f>
        <v>pescada posta cozer</v>
      </c>
      <c r="D809">
        <v>3935</v>
      </c>
      <c r="E809">
        <v>3742</v>
      </c>
      <c r="F809" s="5">
        <v>4.9000000000000002E-2</v>
      </c>
      <c r="G809" s="6">
        <v>61.76</v>
      </c>
      <c r="H809">
        <v>6</v>
      </c>
      <c r="I809">
        <v>184</v>
      </c>
      <c r="J809">
        <v>3</v>
      </c>
      <c r="K809">
        <f>Fato_Producao[[#This Row],[embalagens_danificadas]]+Fato_Producao[[#This Row],[peso_errado]]+Fato_Producao[[#This Row],[impressao]]</f>
        <v>193</v>
      </c>
      <c r="L809" s="1" t="d">
        <v>2025-02-02</v>
      </c>
      <c r="M809">
        <v>9</v>
      </c>
      <c r="N809" s="7">
        <v>8.65</v>
      </c>
      <c r="O809" s="4" t="str">
        <f t="shared" si="36"/>
        <v>fevereiro</v>
      </c>
      <c r="P809" s="4">
        <f t="shared" si="37"/>
        <v>2025</v>
      </c>
      <c r="Q809" s="4" t="str">
        <f t="shared" si="38"/>
        <v/>
      </c>
      <c r="R809" t="s">
        <v>24</v>
      </c>
    </row>
    <row r="810" spans="1:18" x14ac:dyDescent="0.3">
      <c r="A810" s="1" t="d">
        <v>2025-02-12</v>
      </c>
      <c r="B810">
        <v>45500</v>
      </c>
      <c r="C810" t="str">
        <f>VLOOKUP(Fato_Producao[[#This Row],[referencia]], Dim_Produtos!A:B,2,FALSE)</f>
        <v>filete pescada</v>
      </c>
      <c r="D810">
        <v>1938</v>
      </c>
      <c r="E810">
        <v>1850</v>
      </c>
      <c r="F810" s="5">
        <v>4.5400000000000003E-2</v>
      </c>
      <c r="G810" s="6">
        <v>24.64</v>
      </c>
      <c r="H810">
        <v>5</v>
      </c>
      <c r="I810">
        <v>81</v>
      </c>
      <c r="J810">
        <v>2</v>
      </c>
      <c r="K810">
        <f>Fato_Producao[[#This Row],[embalagens_danificadas]]+Fato_Producao[[#This Row],[peso_errado]]+Fato_Producao[[#This Row],[impressao]]</f>
        <v>88</v>
      </c>
      <c r="L810" s="1" t="d">
        <v>2025-02-02</v>
      </c>
      <c r="M810">
        <v>10</v>
      </c>
      <c r="N810" s="7">
        <v>2.96</v>
      </c>
      <c r="O810" s="4" t="str">
        <f t="shared" si="36"/>
        <v>fevereiro</v>
      </c>
      <c r="P810" s="4">
        <f t="shared" si="37"/>
        <v>2025</v>
      </c>
      <c r="Q810" s="4" t="str">
        <f t="shared" si="38"/>
        <v/>
      </c>
      <c r="R810" t="s">
        <v>24</v>
      </c>
    </row>
    <row r="811" spans="1:18" x14ac:dyDescent="0.3">
      <c r="A811" s="1" t="d">
        <v>2025-02-12</v>
      </c>
      <c r="B811">
        <v>45509</v>
      </c>
      <c r="C811" t="str">
        <f>VLOOKUP(Fato_Producao[[#This Row],[referencia]], Dim_Produtos!A:B,2,FALSE)</f>
        <v>lascas bacalhau</v>
      </c>
      <c r="D811">
        <v>4057</v>
      </c>
      <c r="E811">
        <v>3765</v>
      </c>
      <c r="F811" s="5">
        <v>7.1999999999999995E-2</v>
      </c>
      <c r="G811" s="6">
        <v>81.760000000000005</v>
      </c>
      <c r="H811">
        <v>12</v>
      </c>
      <c r="I811">
        <v>273</v>
      </c>
      <c r="J811">
        <v>7</v>
      </c>
      <c r="K811">
        <f>Fato_Producao[[#This Row],[embalagens_danificadas]]+Fato_Producao[[#This Row],[peso_errado]]+Fato_Producao[[#This Row],[impressao]]</f>
        <v>292</v>
      </c>
      <c r="L811" s="1" t="d">
        <v>2025-02-02</v>
      </c>
      <c r="M811">
        <v>10</v>
      </c>
      <c r="N811" s="7">
        <v>10.63</v>
      </c>
      <c r="O811" s="4" t="str">
        <f t="shared" si="36"/>
        <v>fevereiro</v>
      </c>
      <c r="P811" s="4">
        <f t="shared" si="37"/>
        <v>2025</v>
      </c>
      <c r="Q811" s="4" t="str">
        <f t="shared" si="38"/>
        <v/>
      </c>
      <c r="R811" t="s">
        <v>24</v>
      </c>
    </row>
    <row r="812" spans="1:18" x14ac:dyDescent="0.3">
      <c r="A812" s="1" t="d">
        <v>2025-02-13</v>
      </c>
      <c r="B812">
        <v>45500</v>
      </c>
      <c r="C812" t="str">
        <f>VLOOKUP(Fato_Producao[[#This Row],[referencia]], Dim_Produtos!A:B,2,FALSE)</f>
        <v>filete pescada</v>
      </c>
      <c r="D812">
        <v>3987</v>
      </c>
      <c r="E812">
        <v>3776</v>
      </c>
      <c r="F812" s="5">
        <v>5.2900000000000003E-2</v>
      </c>
      <c r="G812" s="6">
        <v>59.08</v>
      </c>
      <c r="H812">
        <v>10</v>
      </c>
      <c r="I812">
        <v>198</v>
      </c>
      <c r="J812">
        <v>3</v>
      </c>
      <c r="K812">
        <f>Fato_Producao[[#This Row],[embalagens_danificadas]]+Fato_Producao[[#This Row],[peso_errado]]+Fato_Producao[[#This Row],[impressao]]</f>
        <v>211</v>
      </c>
      <c r="L812" s="1" t="d">
        <v>2025-02-02</v>
      </c>
      <c r="M812">
        <v>11</v>
      </c>
      <c r="N812" s="7">
        <v>7.09</v>
      </c>
      <c r="O812" s="4" t="str">
        <f t="shared" si="36"/>
        <v>fevereiro</v>
      </c>
      <c r="P812" s="4">
        <f t="shared" si="37"/>
        <v>2025</v>
      </c>
      <c r="Q812" s="4" t="str">
        <f t="shared" si="38"/>
        <v/>
      </c>
      <c r="R812" t="s">
        <v>24</v>
      </c>
    </row>
    <row r="813" spans="1:18" x14ac:dyDescent="0.3">
      <c r="A813" s="1" t="d">
        <v>2025-02-14</v>
      </c>
      <c r="B813">
        <v>45509</v>
      </c>
      <c r="C813" t="str">
        <f>VLOOKUP(Fato_Producao[[#This Row],[referencia]], Dim_Produtos!A:B,2,FALSE)</f>
        <v>lascas bacalhau</v>
      </c>
      <c r="D813">
        <v>3073</v>
      </c>
      <c r="E813">
        <v>2880</v>
      </c>
      <c r="F813" s="5">
        <v>6.2799999999999995E-2</v>
      </c>
      <c r="G813" s="6">
        <v>54.04</v>
      </c>
      <c r="H813">
        <v>4</v>
      </c>
      <c r="I813">
        <v>184</v>
      </c>
      <c r="J813">
        <v>5</v>
      </c>
      <c r="K813">
        <f>Fato_Producao[[#This Row],[embalagens_danificadas]]+Fato_Producao[[#This Row],[peso_errado]]+Fato_Producao[[#This Row],[impressao]]</f>
        <v>193</v>
      </c>
      <c r="L813" s="1" t="d">
        <v>2025-02-02</v>
      </c>
      <c r="M813">
        <v>12</v>
      </c>
      <c r="N813" s="7">
        <v>7.03</v>
      </c>
      <c r="O813" s="4" t="str">
        <f t="shared" si="36"/>
        <v>fevereiro</v>
      </c>
      <c r="P813" s="4">
        <f t="shared" si="37"/>
        <v>2025</v>
      </c>
      <c r="Q813" s="4" t="str">
        <f t="shared" si="38"/>
        <v/>
      </c>
      <c r="R813" t="s">
        <v>24</v>
      </c>
    </row>
    <row r="814" spans="1:18" x14ac:dyDescent="0.3">
      <c r="A814" s="1" t="d">
        <v>2025-02-15</v>
      </c>
      <c r="B814">
        <v>45504</v>
      </c>
      <c r="C814" t="str">
        <f>VLOOKUP(Fato_Producao[[#This Row],[referencia]], Dim_Produtos!A:B,2,FALSE)</f>
        <v>pescada posta fritar</v>
      </c>
      <c r="D814">
        <v>3081</v>
      </c>
      <c r="E814">
        <v>2906</v>
      </c>
      <c r="F814" s="5">
        <v>5.6800000000000003E-2</v>
      </c>
      <c r="G814" s="6">
        <v>56</v>
      </c>
      <c r="H814">
        <v>72</v>
      </c>
      <c r="I814">
        <v>9</v>
      </c>
      <c r="J814">
        <v>94</v>
      </c>
      <c r="K814">
        <f>Fato_Producao[[#This Row],[embalagens_danificadas]]+Fato_Producao[[#This Row],[peso_errado]]+Fato_Producao[[#This Row],[impressao]]</f>
        <v>175</v>
      </c>
      <c r="L814" s="1" t="d">
        <v>2025-02-02</v>
      </c>
      <c r="M814">
        <v>13</v>
      </c>
      <c r="N814" s="7">
        <v>7.84</v>
      </c>
      <c r="O814" s="4" t="str">
        <f t="shared" si="36"/>
        <v>fevereiro</v>
      </c>
      <c r="P814" s="4">
        <f t="shared" si="37"/>
        <v>2025</v>
      </c>
      <c r="Q814" s="4" t="str">
        <f t="shared" si="38"/>
        <v/>
      </c>
      <c r="R814" t="s">
        <v>50</v>
      </c>
    </row>
    <row r="815" spans="1:18" x14ac:dyDescent="0.3">
      <c r="A815" s="1" t="d">
        <v>2025-02-15</v>
      </c>
      <c r="B815">
        <v>45514</v>
      </c>
      <c r="C815" t="str">
        <f>VLOOKUP(Fato_Producao[[#This Row],[referencia]], Dim_Produtos!A:B,2,FALSE)</f>
        <v>sardinha pequena</v>
      </c>
      <c r="D815">
        <v>3220</v>
      </c>
      <c r="E815">
        <v>2962</v>
      </c>
      <c r="F815" s="5">
        <v>8.0100000000000005E-2</v>
      </c>
      <c r="G815" s="6">
        <v>77.400000000000006</v>
      </c>
      <c r="H815">
        <v>6</v>
      </c>
      <c r="I815">
        <v>246</v>
      </c>
      <c r="J815">
        <v>6</v>
      </c>
      <c r="K815">
        <f>Fato_Producao[[#This Row],[embalagens_danificadas]]+Fato_Producao[[#This Row],[peso_errado]]+Fato_Producao[[#This Row],[impressao]]</f>
        <v>258</v>
      </c>
      <c r="L815" s="1" t="d">
        <v>2025-02-02</v>
      </c>
      <c r="M815">
        <v>13</v>
      </c>
      <c r="N815" s="7">
        <v>9.2899999999999991</v>
      </c>
      <c r="O815" s="4" t="str">
        <f t="shared" si="36"/>
        <v>fevereiro</v>
      </c>
      <c r="P815" s="4">
        <f t="shared" si="37"/>
        <v>2025</v>
      </c>
      <c r="Q815" s="4" t="str">
        <f t="shared" si="38"/>
        <v/>
      </c>
      <c r="R815" t="s">
        <v>24</v>
      </c>
    </row>
    <row r="816" spans="1:18" x14ac:dyDescent="0.3">
      <c r="A816" s="1" t="d">
        <v>2025-02-16</v>
      </c>
      <c r="B816">
        <v>45501</v>
      </c>
      <c r="C816" t="str">
        <f>VLOOKUP(Fato_Producao[[#This Row],[referencia]], Dim_Produtos!A:B,2,FALSE)</f>
        <v>pescada posta cozer</v>
      </c>
      <c r="D816">
        <v>2454</v>
      </c>
      <c r="E816">
        <v>2284</v>
      </c>
      <c r="F816" s="5">
        <v>6.93E-2</v>
      </c>
      <c r="G816" s="6">
        <v>54.4</v>
      </c>
      <c r="H816">
        <v>10</v>
      </c>
      <c r="I816">
        <v>156</v>
      </c>
      <c r="J816">
        <v>4</v>
      </c>
      <c r="K816">
        <f>Fato_Producao[[#This Row],[embalagens_danificadas]]+Fato_Producao[[#This Row],[peso_errado]]+Fato_Producao[[#This Row],[impressao]]</f>
        <v>170</v>
      </c>
      <c r="L816" s="1" t="d">
        <v>2025-02-02</v>
      </c>
      <c r="M816">
        <v>14</v>
      </c>
      <c r="N816" s="7">
        <v>7.62</v>
      </c>
      <c r="O816" s="4" t="str">
        <f t="shared" si="36"/>
        <v>fevereiro</v>
      </c>
      <c r="P816" s="4">
        <f t="shared" si="37"/>
        <v>2025</v>
      </c>
      <c r="Q816" s="4" t="str">
        <f t="shared" si="38"/>
        <v/>
      </c>
      <c r="R816" t="s">
        <v>24</v>
      </c>
    </row>
    <row r="817" spans="1:18" x14ac:dyDescent="0.3">
      <c r="A817" s="1" t="d">
        <v>2025-02-17</v>
      </c>
      <c r="B817">
        <v>45510</v>
      </c>
      <c r="C817" t="str">
        <f>VLOOKUP(Fato_Producao[[#This Row],[referencia]], Dim_Produtos!A:B,2,FALSE)</f>
        <v>tiras pota</v>
      </c>
      <c r="D817">
        <v>1825</v>
      </c>
      <c r="E817">
        <v>1663</v>
      </c>
      <c r="F817" s="5">
        <v>8.8800000000000004E-2</v>
      </c>
      <c r="G817" s="6">
        <v>51.84</v>
      </c>
      <c r="H817">
        <v>24</v>
      </c>
      <c r="I817">
        <v>135</v>
      </c>
      <c r="J817">
        <v>3</v>
      </c>
      <c r="K817">
        <f>Fato_Producao[[#This Row],[embalagens_danificadas]]+Fato_Producao[[#This Row],[peso_errado]]+Fato_Producao[[#This Row],[impressao]]</f>
        <v>162</v>
      </c>
      <c r="L817" s="1" t="d">
        <v>2025-02-02</v>
      </c>
      <c r="M817">
        <v>15</v>
      </c>
      <c r="N817" s="7">
        <v>7.26</v>
      </c>
      <c r="O817" s="4" t="str">
        <f t="shared" si="36"/>
        <v>fevereiro</v>
      </c>
      <c r="P817" s="4">
        <f t="shared" si="37"/>
        <v>2025</v>
      </c>
      <c r="Q817" s="4" t="str">
        <f t="shared" si="38"/>
        <v/>
      </c>
      <c r="R817" t="s">
        <v>24</v>
      </c>
    </row>
    <row r="818" spans="1:18" x14ac:dyDescent="0.3">
      <c r="A818" s="1" t="d">
        <v>2025-02-17</v>
      </c>
      <c r="B818">
        <v>45512</v>
      </c>
      <c r="C818" t="str">
        <f>VLOOKUP(Fato_Producao[[#This Row],[referencia]], Dim_Produtos!A:B,2,FALSE)</f>
        <v>red-fish posta</v>
      </c>
      <c r="D818">
        <v>4084</v>
      </c>
      <c r="E818">
        <v>3814</v>
      </c>
      <c r="F818" s="5">
        <v>6.6100000000000006E-2</v>
      </c>
      <c r="G818" s="6">
        <v>91.8</v>
      </c>
      <c r="H818">
        <v>6</v>
      </c>
      <c r="I818">
        <v>259</v>
      </c>
      <c r="J818">
        <v>5</v>
      </c>
      <c r="K818">
        <f>Fato_Producao[[#This Row],[embalagens_danificadas]]+Fato_Producao[[#This Row],[peso_errado]]+Fato_Producao[[#This Row],[impressao]]</f>
        <v>270</v>
      </c>
      <c r="L818" s="1" t="d">
        <v>2025-02-02</v>
      </c>
      <c r="M818">
        <v>15</v>
      </c>
      <c r="N818" s="7">
        <v>12.85</v>
      </c>
      <c r="O818" s="4" t="str">
        <f t="shared" si="36"/>
        <v>fevereiro</v>
      </c>
      <c r="P818" s="4">
        <f t="shared" si="37"/>
        <v>2025</v>
      </c>
      <c r="Q818" s="4" t="str">
        <f t="shared" si="38"/>
        <v/>
      </c>
      <c r="R818" t="s">
        <v>24</v>
      </c>
    </row>
    <row r="819" spans="1:18" x14ac:dyDescent="0.3">
      <c r="A819" s="1" t="d">
        <v>2025-02-18</v>
      </c>
      <c r="B819">
        <v>45507</v>
      </c>
      <c r="C819" t="str">
        <f>VLOOKUP(Fato_Producao[[#This Row],[referencia]], Dim_Produtos!A:B,2,FALSE)</f>
        <v>salmao posta</v>
      </c>
      <c r="D819">
        <v>4183</v>
      </c>
      <c r="E819">
        <v>3960</v>
      </c>
      <c r="F819" s="5">
        <v>5.33E-2</v>
      </c>
      <c r="G819" s="6">
        <v>78.05</v>
      </c>
      <c r="H819">
        <v>15</v>
      </c>
      <c r="I819">
        <v>206</v>
      </c>
      <c r="J819">
        <v>2</v>
      </c>
      <c r="K819">
        <f>Fato_Producao[[#This Row],[embalagens_danificadas]]+Fato_Producao[[#This Row],[peso_errado]]+Fato_Producao[[#This Row],[impressao]]</f>
        <v>223</v>
      </c>
      <c r="L819" s="1" t="d">
        <v>2025-02-02</v>
      </c>
      <c r="M819">
        <v>16</v>
      </c>
      <c r="N819" s="7">
        <v>12.49</v>
      </c>
      <c r="O819" s="4" t="str">
        <f t="shared" si="36"/>
        <v>fevereiro</v>
      </c>
      <c r="P819" s="4">
        <f t="shared" si="37"/>
        <v>2025</v>
      </c>
      <c r="Q819" s="4" t="str">
        <f t="shared" si="38"/>
        <v/>
      </c>
      <c r="R819" t="s">
        <v>24</v>
      </c>
    </row>
    <row r="820" spans="1:18" x14ac:dyDescent="0.3">
      <c r="A820" s="1" t="d">
        <v>2025-02-18</v>
      </c>
      <c r="B820">
        <v>45509</v>
      </c>
      <c r="C820" t="str">
        <f>VLOOKUP(Fato_Producao[[#This Row],[referencia]], Dim_Produtos!A:B,2,FALSE)</f>
        <v>lascas bacalhau</v>
      </c>
      <c r="D820">
        <v>2156</v>
      </c>
      <c r="E820">
        <v>2068</v>
      </c>
      <c r="F820" s="5">
        <v>4.0800000000000003E-2</v>
      </c>
      <c r="G820" s="6">
        <v>24.64</v>
      </c>
      <c r="H820">
        <v>4</v>
      </c>
      <c r="I820">
        <v>83</v>
      </c>
      <c r="J820">
        <v>1</v>
      </c>
      <c r="K820">
        <f>Fato_Producao[[#This Row],[embalagens_danificadas]]+Fato_Producao[[#This Row],[peso_errado]]+Fato_Producao[[#This Row],[impressao]]</f>
        <v>88</v>
      </c>
      <c r="L820" s="1" t="d">
        <v>2025-02-02</v>
      </c>
      <c r="M820">
        <v>16</v>
      </c>
      <c r="N820" s="7">
        <v>3.2</v>
      </c>
      <c r="O820" s="4" t="str">
        <f t="shared" si="36"/>
        <v>fevereiro</v>
      </c>
      <c r="P820" s="4">
        <f t="shared" si="37"/>
        <v>2025</v>
      </c>
      <c r="Q820" s="4" t="str">
        <f t="shared" si="38"/>
        <v/>
      </c>
      <c r="R820" t="s">
        <v>24</v>
      </c>
    </row>
    <row r="821" spans="1:18" x14ac:dyDescent="0.3">
      <c r="A821" s="1" t="d">
        <v>2025-02-19</v>
      </c>
      <c r="B821">
        <v>45501</v>
      </c>
      <c r="C821" t="str">
        <f>VLOOKUP(Fato_Producao[[#This Row],[referencia]], Dim_Produtos!A:B,2,FALSE)</f>
        <v>pescada posta cozer</v>
      </c>
      <c r="D821">
        <v>3668</v>
      </c>
      <c r="E821">
        <v>3427</v>
      </c>
      <c r="F821" s="5">
        <v>6.5699999999999995E-2</v>
      </c>
      <c r="G821" s="6">
        <v>77.12</v>
      </c>
      <c r="H821">
        <v>10</v>
      </c>
      <c r="I821">
        <v>225</v>
      </c>
      <c r="J821">
        <v>6</v>
      </c>
      <c r="K821">
        <f>Fato_Producao[[#This Row],[embalagens_danificadas]]+Fato_Producao[[#This Row],[peso_errado]]+Fato_Producao[[#This Row],[impressao]]</f>
        <v>241</v>
      </c>
      <c r="L821" s="1" t="d">
        <v>2025-02-02</v>
      </c>
      <c r="M821">
        <v>17</v>
      </c>
      <c r="N821" s="7">
        <v>10.8</v>
      </c>
      <c r="O821" s="4" t="str">
        <f t="shared" si="36"/>
        <v>fevereiro</v>
      </c>
      <c r="P821" s="4">
        <f t="shared" si="37"/>
        <v>2025</v>
      </c>
      <c r="Q821" s="4" t="str">
        <f t="shared" si="38"/>
        <v/>
      </c>
      <c r="R821" t="s">
        <v>24</v>
      </c>
    </row>
    <row r="822" spans="1:18" x14ac:dyDescent="0.3">
      <c r="A822" s="1" t="d">
        <v>2025-02-19</v>
      </c>
      <c r="B822">
        <v>45510</v>
      </c>
      <c r="C822" t="str">
        <f>VLOOKUP(Fato_Producao[[#This Row],[referencia]], Dim_Produtos!A:B,2,FALSE)</f>
        <v>tiras pota</v>
      </c>
      <c r="D822">
        <v>2865</v>
      </c>
      <c r="E822">
        <v>2583</v>
      </c>
      <c r="F822" s="5">
        <v>9.8400000000000001E-2</v>
      </c>
      <c r="G822" s="6">
        <v>90.24</v>
      </c>
      <c r="H822">
        <v>35</v>
      </c>
      <c r="I822">
        <v>239</v>
      </c>
      <c r="J822">
        <v>8</v>
      </c>
      <c r="K822">
        <f>Fato_Producao[[#This Row],[embalagens_danificadas]]+Fato_Producao[[#This Row],[peso_errado]]+Fato_Producao[[#This Row],[impressao]]</f>
        <v>282</v>
      </c>
      <c r="L822" s="1" t="d">
        <v>2025-02-02</v>
      </c>
      <c r="M822">
        <v>17</v>
      </c>
      <c r="N822" s="7">
        <v>12.63</v>
      </c>
      <c r="O822" s="4" t="str">
        <f t="shared" si="36"/>
        <v>fevereiro</v>
      </c>
      <c r="P822" s="4">
        <f t="shared" si="37"/>
        <v>2025</v>
      </c>
      <c r="Q822" s="4" t="str">
        <f t="shared" si="38"/>
        <v/>
      </c>
      <c r="R822" t="s">
        <v>24</v>
      </c>
    </row>
    <row r="823" spans="1:18" x14ac:dyDescent="0.3">
      <c r="A823" s="1" t="d">
        <v>2025-02-20</v>
      </c>
      <c r="B823">
        <v>45510</v>
      </c>
      <c r="C823" t="str">
        <f>VLOOKUP(Fato_Producao[[#This Row],[referencia]], Dim_Produtos!A:B,2,FALSE)</f>
        <v>tiras pota</v>
      </c>
      <c r="D823">
        <v>2454</v>
      </c>
      <c r="E823">
        <v>2284</v>
      </c>
      <c r="F823" s="5">
        <v>6.93E-2</v>
      </c>
      <c r="G823" s="6">
        <v>54.4</v>
      </c>
      <c r="H823">
        <v>14</v>
      </c>
      <c r="I823">
        <v>153</v>
      </c>
      <c r="J823">
        <v>3</v>
      </c>
      <c r="K823">
        <f>Fato_Producao[[#This Row],[embalagens_danificadas]]+Fato_Producao[[#This Row],[peso_errado]]+Fato_Producao[[#This Row],[impressao]]</f>
        <v>170</v>
      </c>
      <c r="L823" s="1" t="d">
        <v>2025-02-02</v>
      </c>
      <c r="M823">
        <v>18</v>
      </c>
      <c r="N823" s="7">
        <v>7.62</v>
      </c>
      <c r="O823" s="4" t="str">
        <f t="shared" si="36"/>
        <v>fevereiro</v>
      </c>
      <c r="P823" s="4">
        <f t="shared" si="37"/>
        <v>2025</v>
      </c>
      <c r="Q823" s="4" t="str">
        <f t="shared" si="38"/>
        <v/>
      </c>
      <c r="R823" t="s">
        <v>24</v>
      </c>
    </row>
    <row r="824" spans="1:18" x14ac:dyDescent="0.3">
      <c r="A824" s="1" t="d">
        <v>2025-02-20</v>
      </c>
      <c r="B824">
        <v>45502</v>
      </c>
      <c r="C824" t="str">
        <f>VLOOKUP(Fato_Producao[[#This Row],[referencia]], Dim_Produtos!A:B,2,FALSE)</f>
        <v>carapau pelim</v>
      </c>
      <c r="D824">
        <v>3219</v>
      </c>
      <c r="E824">
        <v>3004</v>
      </c>
      <c r="F824" s="5">
        <v>6.6799999999999998E-2</v>
      </c>
      <c r="G824" s="6">
        <v>64.5</v>
      </c>
      <c r="H824">
        <v>46</v>
      </c>
      <c r="I824">
        <v>163</v>
      </c>
      <c r="J824">
        <v>6</v>
      </c>
      <c r="K824">
        <f>Fato_Producao[[#This Row],[embalagens_danificadas]]+Fato_Producao[[#This Row],[peso_errado]]+Fato_Producao[[#This Row],[impressao]]</f>
        <v>215</v>
      </c>
      <c r="L824" s="1" t="d">
        <v>2025-02-02</v>
      </c>
      <c r="M824">
        <v>18</v>
      </c>
      <c r="N824" s="7">
        <v>8.3800000000000008</v>
      </c>
      <c r="O824" s="4" t="str">
        <f t="shared" si="36"/>
        <v>fevereiro</v>
      </c>
      <c r="P824" s="4">
        <f t="shared" si="37"/>
        <v>2025</v>
      </c>
      <c r="Q824" s="4" t="str">
        <f t="shared" si="38"/>
        <v/>
      </c>
      <c r="R824" t="s">
        <v>24</v>
      </c>
    </row>
    <row r="825" spans="1:18" x14ac:dyDescent="0.3">
      <c r="A825" s="1" t="d">
        <v>2025-02-21</v>
      </c>
      <c r="B825">
        <v>45504</v>
      </c>
      <c r="C825" t="str">
        <f>VLOOKUP(Fato_Producao[[#This Row],[referencia]], Dim_Produtos!A:B,2,FALSE)</f>
        <v>pescada posta fritar</v>
      </c>
      <c r="D825">
        <v>2457</v>
      </c>
      <c r="E825">
        <v>2304</v>
      </c>
      <c r="F825" s="5">
        <v>6.2300000000000001E-2</v>
      </c>
      <c r="G825" s="6">
        <v>48.96</v>
      </c>
      <c r="H825">
        <v>6</v>
      </c>
      <c r="I825">
        <v>143</v>
      </c>
      <c r="J825">
        <v>4</v>
      </c>
      <c r="K825">
        <f>Fato_Producao[[#This Row],[embalagens_danificadas]]+Fato_Producao[[#This Row],[peso_errado]]+Fato_Producao[[#This Row],[impressao]]</f>
        <v>153</v>
      </c>
      <c r="L825" s="1" t="d">
        <v>2025-02-02</v>
      </c>
      <c r="M825">
        <v>19</v>
      </c>
      <c r="N825" s="7">
        <v>6.85</v>
      </c>
      <c r="O825" s="4" t="str">
        <f t="shared" si="36"/>
        <v>fevereiro</v>
      </c>
      <c r="P825" s="4">
        <f t="shared" si="37"/>
        <v>2025</v>
      </c>
      <c r="Q825" s="4" t="str">
        <f t="shared" si="38"/>
        <v/>
      </c>
      <c r="R825" t="s">
        <v>24</v>
      </c>
    </row>
    <row r="826" spans="1:18" x14ac:dyDescent="0.3">
      <c r="A826" s="1" t="d">
        <v>2025-02-21</v>
      </c>
      <c r="B826">
        <v>45501</v>
      </c>
      <c r="C826" t="str">
        <f>VLOOKUP(Fato_Producao[[#This Row],[referencia]], Dim_Produtos!A:B,2,FALSE)</f>
        <v>pescada posta cozer</v>
      </c>
      <c r="D826">
        <v>1904</v>
      </c>
      <c r="E826">
        <v>1784</v>
      </c>
      <c r="F826" s="5">
        <v>6.3E-2</v>
      </c>
      <c r="G826" s="6">
        <v>38.4</v>
      </c>
      <c r="H826">
        <v>7</v>
      </c>
      <c r="I826">
        <v>111</v>
      </c>
      <c r="J826">
        <v>2</v>
      </c>
      <c r="K826">
        <f>Fato_Producao[[#This Row],[embalagens_danificadas]]+Fato_Producao[[#This Row],[peso_errado]]+Fato_Producao[[#This Row],[impressao]]</f>
        <v>120</v>
      </c>
      <c r="L826" s="1" t="d">
        <v>2025-02-02</v>
      </c>
      <c r="M826">
        <v>19</v>
      </c>
      <c r="N826" s="7">
        <v>5.38</v>
      </c>
      <c r="O826" s="4" t="str">
        <f t="shared" si="36"/>
        <v>fevereiro</v>
      </c>
      <c r="P826" s="4">
        <f t="shared" si="37"/>
        <v>2025</v>
      </c>
      <c r="Q826" s="4" t="str">
        <f t="shared" si="38"/>
        <v/>
      </c>
      <c r="R826" t="s">
        <v>24</v>
      </c>
    </row>
    <row r="827" spans="1:18" x14ac:dyDescent="0.3">
      <c r="A827" s="1" t="d">
        <v>2025-02-22</v>
      </c>
      <c r="B827">
        <v>45503</v>
      </c>
      <c r="C827" t="str">
        <f>VLOOKUP(Fato_Producao[[#This Row],[referencia]], Dim_Produtos!A:B,2,FALSE)</f>
        <v>sardinha pequena</v>
      </c>
      <c r="D827">
        <v>2665</v>
      </c>
      <c r="E827">
        <v>2411</v>
      </c>
      <c r="F827" s="5">
        <v>9.5299999999999996E-2</v>
      </c>
      <c r="G827" s="6">
        <v>66.040000000000006</v>
      </c>
      <c r="H827">
        <v>17</v>
      </c>
      <c r="I827">
        <v>233</v>
      </c>
      <c r="J827">
        <v>4</v>
      </c>
      <c r="K827">
        <f>Fato_Producao[[#This Row],[embalagens_danificadas]]+Fato_Producao[[#This Row],[peso_errado]]+Fato_Producao[[#This Row],[impressao]]</f>
        <v>254</v>
      </c>
      <c r="L827" s="1" t="d">
        <v>2025-02-02</v>
      </c>
      <c r="M827">
        <v>20</v>
      </c>
      <c r="N827" s="7">
        <v>7.26</v>
      </c>
      <c r="O827" s="4" t="str">
        <f t="shared" si="36"/>
        <v>fevereiro</v>
      </c>
      <c r="P827" s="4">
        <f t="shared" si="37"/>
        <v>2025</v>
      </c>
      <c r="Q827" s="4" t="str">
        <f t="shared" si="38"/>
        <v/>
      </c>
      <c r="R827" t="s">
        <v>24</v>
      </c>
    </row>
    <row r="828" spans="1:18" x14ac:dyDescent="0.3">
      <c r="A828" s="1" t="d">
        <v>2025-02-22</v>
      </c>
      <c r="B828">
        <v>45510</v>
      </c>
      <c r="C828" t="str">
        <f>VLOOKUP(Fato_Producao[[#This Row],[referencia]], Dim_Produtos!A:B,2,FALSE)</f>
        <v>tiras pota</v>
      </c>
      <c r="D828">
        <v>2655</v>
      </c>
      <c r="E828">
        <v>2413</v>
      </c>
      <c r="F828" s="5">
        <v>9.11E-2</v>
      </c>
      <c r="G828" s="6">
        <v>77.44</v>
      </c>
      <c r="H828">
        <v>29</v>
      </c>
      <c r="I828">
        <v>207</v>
      </c>
      <c r="J828">
        <v>6</v>
      </c>
      <c r="K828">
        <f>Fato_Producao[[#This Row],[embalagens_danificadas]]+Fato_Producao[[#This Row],[peso_errado]]+Fato_Producao[[#This Row],[impressao]]</f>
        <v>242</v>
      </c>
      <c r="L828" s="1" t="d">
        <v>2025-02-02</v>
      </c>
      <c r="M828">
        <v>20</v>
      </c>
      <c r="N828" s="7">
        <v>10.84</v>
      </c>
      <c r="O828" s="4" t="str">
        <f t="shared" si="36"/>
        <v>fevereiro</v>
      </c>
      <c r="P828" s="4">
        <f t="shared" si="37"/>
        <v>2025</v>
      </c>
      <c r="Q828" s="4" t="str">
        <f t="shared" si="38"/>
        <v/>
      </c>
      <c r="R828" t="s">
        <v>24</v>
      </c>
    </row>
    <row r="829" spans="1:18" x14ac:dyDescent="0.3">
      <c r="A829" s="1" t="d">
        <v>2025-02-23</v>
      </c>
      <c r="B829">
        <v>45500</v>
      </c>
      <c r="C829" t="str">
        <f>VLOOKUP(Fato_Producao[[#This Row],[referencia]], Dim_Produtos!A:B,2,FALSE)</f>
        <v>filete pescada</v>
      </c>
      <c r="D829">
        <v>3906</v>
      </c>
      <c r="E829">
        <v>3693</v>
      </c>
      <c r="F829" s="5">
        <v>5.45E-2</v>
      </c>
      <c r="G829" s="6">
        <v>59.64</v>
      </c>
      <c r="H829">
        <v>12</v>
      </c>
      <c r="I829">
        <v>199</v>
      </c>
      <c r="J829">
        <v>2</v>
      </c>
      <c r="K829">
        <f>Fato_Producao[[#This Row],[embalagens_danificadas]]+Fato_Producao[[#This Row],[peso_errado]]+Fato_Producao[[#This Row],[impressao]]</f>
        <v>213</v>
      </c>
      <c r="L829" s="1" t="d">
        <v>2025-02-02</v>
      </c>
      <c r="M829">
        <v>21</v>
      </c>
      <c r="N829" s="7">
        <v>7.16</v>
      </c>
      <c r="O829" s="4" t="str">
        <f t="shared" si="36"/>
        <v>fevereiro</v>
      </c>
      <c r="P829" s="4">
        <f t="shared" si="37"/>
        <v>2025</v>
      </c>
      <c r="Q829" s="4" t="str">
        <f t="shared" si="38"/>
        <v/>
      </c>
      <c r="R829" t="s">
        <v>24</v>
      </c>
    </row>
    <row r="830" spans="1:18" x14ac:dyDescent="0.3">
      <c r="A830" s="1" t="d">
        <v>2025-02-23</v>
      </c>
      <c r="B830">
        <v>45507</v>
      </c>
      <c r="C830" t="str">
        <f>VLOOKUP(Fato_Producao[[#This Row],[referencia]], Dim_Produtos!A:B,2,FALSE)</f>
        <v>salmao posta</v>
      </c>
      <c r="D830">
        <v>2046</v>
      </c>
      <c r="E830">
        <v>1923</v>
      </c>
      <c r="F830" s="5">
        <v>6.0100000000000001E-2</v>
      </c>
      <c r="G830" s="6">
        <v>43.05</v>
      </c>
      <c r="H830">
        <v>7</v>
      </c>
      <c r="I830">
        <v>114</v>
      </c>
      <c r="J830">
        <v>2</v>
      </c>
      <c r="K830">
        <f>Fato_Producao[[#This Row],[embalagens_danificadas]]+Fato_Producao[[#This Row],[peso_errado]]+Fato_Producao[[#This Row],[impressao]]</f>
        <v>123</v>
      </c>
      <c r="L830" s="1" t="d">
        <v>2025-02-02</v>
      </c>
      <c r="M830">
        <v>21</v>
      </c>
      <c r="N830" s="7">
        <v>6.89</v>
      </c>
      <c r="O830" s="4" t="str">
        <f t="shared" si="36"/>
        <v>fevereiro</v>
      </c>
      <c r="P830" s="4">
        <f t="shared" si="37"/>
        <v>2025</v>
      </c>
      <c r="Q830" s="4" t="str">
        <f t="shared" si="38"/>
        <v/>
      </c>
      <c r="R830" t="s">
        <v>24</v>
      </c>
    </row>
    <row r="831" spans="1:18" x14ac:dyDescent="0.3">
      <c r="A831" s="1" t="d">
        <v>2025-02-24</v>
      </c>
      <c r="B831">
        <v>45500</v>
      </c>
      <c r="C831" t="str">
        <f>VLOOKUP(Fato_Producao[[#This Row],[referencia]], Dim_Produtos!A:B,2,FALSE)</f>
        <v>filete pescada</v>
      </c>
      <c r="D831">
        <v>3284</v>
      </c>
      <c r="E831">
        <v>3062</v>
      </c>
      <c r="F831" s="5">
        <v>6.7599999999999993E-2</v>
      </c>
      <c r="G831" s="6">
        <v>62.16</v>
      </c>
      <c r="H831">
        <v>11</v>
      </c>
      <c r="I831">
        <v>207</v>
      </c>
      <c r="J831">
        <v>4</v>
      </c>
      <c r="K831">
        <f>Fato_Producao[[#This Row],[embalagens_danificadas]]+Fato_Producao[[#This Row],[peso_errado]]+Fato_Producao[[#This Row],[impressao]]</f>
        <v>222</v>
      </c>
      <c r="L831" s="1" t="d">
        <v>2025-02-02</v>
      </c>
      <c r="M831">
        <v>22</v>
      </c>
      <c r="N831" s="7">
        <v>7.46</v>
      </c>
      <c r="O831" s="4" t="str">
        <f t="shared" si="36"/>
        <v>fevereiro</v>
      </c>
      <c r="P831" s="4">
        <f t="shared" si="37"/>
        <v>2025</v>
      </c>
      <c r="Q831" s="4" t="str">
        <f t="shared" si="38"/>
        <v/>
      </c>
      <c r="R831" t="s">
        <v>24</v>
      </c>
    </row>
    <row r="832" spans="1:18" x14ac:dyDescent="0.3">
      <c r="A832" s="1" t="d">
        <v>2025-02-24</v>
      </c>
      <c r="B832">
        <v>45511</v>
      </c>
      <c r="C832" t="str">
        <f>VLOOKUP(Fato_Producao[[#This Row],[referencia]], Dim_Produtos!A:B,2,FALSE)</f>
        <v>lula limpa</v>
      </c>
      <c r="D832">
        <v>2506</v>
      </c>
      <c r="E832">
        <v>2310</v>
      </c>
      <c r="F832" s="5">
        <v>7.8200000000000006E-2</v>
      </c>
      <c r="G832" s="6">
        <v>62.72</v>
      </c>
      <c r="H832">
        <v>23</v>
      </c>
      <c r="I832">
        <v>171</v>
      </c>
      <c r="J832">
        <v>2</v>
      </c>
      <c r="K832">
        <f>Fato_Producao[[#This Row],[embalagens_danificadas]]+Fato_Producao[[#This Row],[peso_errado]]+Fato_Producao[[#This Row],[impressao]]</f>
        <v>196</v>
      </c>
      <c r="L832" s="1" t="d">
        <v>2025-02-02</v>
      </c>
      <c r="M832">
        <v>22</v>
      </c>
      <c r="N832" s="7">
        <v>8.7799999999999994</v>
      </c>
      <c r="O832" s="4" t="str">
        <f t="shared" si="36"/>
        <v>fevereiro</v>
      </c>
      <c r="P832" s="4">
        <f t="shared" si="37"/>
        <v>2025</v>
      </c>
      <c r="Q832" s="4" t="str">
        <f t="shared" si="38"/>
        <v/>
      </c>
      <c r="R832" t="s">
        <v>24</v>
      </c>
    </row>
    <row r="833" spans="1:18" x14ac:dyDescent="0.3">
      <c r="A833" s="1" t="d">
        <v>2025-02-25</v>
      </c>
      <c r="B833">
        <v>45507</v>
      </c>
      <c r="C833" t="str">
        <f>VLOOKUP(Fato_Producao[[#This Row],[referencia]], Dim_Produtos!A:B,2,FALSE)</f>
        <v>salmao posta</v>
      </c>
      <c r="D833">
        <v>2006</v>
      </c>
      <c r="E833">
        <v>1878</v>
      </c>
      <c r="F833" s="5">
        <v>6.3799999999999996E-2</v>
      </c>
      <c r="G833" s="6">
        <v>44.8</v>
      </c>
      <c r="H833">
        <v>8</v>
      </c>
      <c r="I833">
        <v>118</v>
      </c>
      <c r="J833">
        <v>2</v>
      </c>
      <c r="K833">
        <f>Fato_Producao[[#This Row],[embalagens_danificadas]]+Fato_Producao[[#This Row],[peso_errado]]+Fato_Producao[[#This Row],[impressao]]</f>
        <v>128</v>
      </c>
      <c r="L833" s="1" t="d">
        <v>2025-02-02</v>
      </c>
      <c r="M833">
        <v>23</v>
      </c>
      <c r="N833" s="7">
        <v>7.17</v>
      </c>
      <c r="O833" s="4" t="str">
        <f t="shared" si="36"/>
        <v>fevereiro</v>
      </c>
      <c r="P833" s="4">
        <f t="shared" si="37"/>
        <v>2025</v>
      </c>
      <c r="Q833" s="4" t="str">
        <f t="shared" si="38"/>
        <v/>
      </c>
      <c r="R833" t="s">
        <v>24</v>
      </c>
    </row>
    <row r="834" spans="1:18" x14ac:dyDescent="0.3">
      <c r="A834" s="1" t="d">
        <v>2025-02-25</v>
      </c>
      <c r="B834">
        <v>45500</v>
      </c>
      <c r="C834" t="str">
        <f>VLOOKUP(Fato_Producao[[#This Row],[referencia]], Dim_Produtos!A:B,2,FALSE)</f>
        <v>filete pescada</v>
      </c>
      <c r="D834">
        <v>3884</v>
      </c>
      <c r="E834">
        <v>3690</v>
      </c>
      <c r="F834" s="5">
        <v>4.99E-2</v>
      </c>
      <c r="G834" s="6">
        <v>54.32</v>
      </c>
      <c r="H834">
        <v>13</v>
      </c>
      <c r="I834">
        <v>178</v>
      </c>
      <c r="J834">
        <v>3</v>
      </c>
      <c r="K834">
        <f>Fato_Producao[[#This Row],[embalagens_danificadas]]+Fato_Producao[[#This Row],[peso_errado]]+Fato_Producao[[#This Row],[impressao]]</f>
        <v>194</v>
      </c>
      <c r="L834" s="1" t="d">
        <v>2025-02-02</v>
      </c>
      <c r="M834">
        <v>23</v>
      </c>
      <c r="N834" s="7">
        <v>6.52</v>
      </c>
      <c r="O834" s="4" t="str">
        <f t="shared" ref="O834:O897" si="39">TEXT(A834, "mmmm")</f>
        <v>fevereiro</v>
      </c>
      <c r="P834" s="4">
        <f t="shared" ref="P834:P897" si="40">YEAR(A834)</f>
        <v>2025</v>
      </c>
      <c r="Q834" s="4" t="str">
        <f t="shared" ref="Q834:Q897" si="41">IF(M835 &gt;= M834, "", M834)</f>
        <v/>
      </c>
      <c r="R834" t="s">
        <v>24</v>
      </c>
    </row>
    <row r="835" spans="1:18" x14ac:dyDescent="0.3">
      <c r="A835" s="1" t="d">
        <v>2025-02-26</v>
      </c>
      <c r="B835">
        <v>45512</v>
      </c>
      <c r="C835" t="str">
        <f>VLOOKUP(Fato_Producao[[#This Row],[referencia]], Dim_Produtos!A:B,2,FALSE)</f>
        <v>red-fish posta</v>
      </c>
      <c r="D835">
        <v>2940</v>
      </c>
      <c r="E835">
        <v>2734</v>
      </c>
      <c r="F835" s="5">
        <v>7.0099999999999996E-2</v>
      </c>
      <c r="G835" s="6">
        <v>70.040000000000006</v>
      </c>
      <c r="H835">
        <v>6</v>
      </c>
      <c r="I835">
        <v>197</v>
      </c>
      <c r="J835">
        <v>3</v>
      </c>
      <c r="K835">
        <f>Fato_Producao[[#This Row],[embalagens_danificadas]]+Fato_Producao[[#This Row],[peso_errado]]+Fato_Producao[[#This Row],[impressao]]</f>
        <v>206</v>
      </c>
      <c r="L835" s="1" t="d">
        <v>2025-02-02</v>
      </c>
      <c r="M835">
        <v>24</v>
      </c>
      <c r="N835" s="7">
        <v>9.81</v>
      </c>
      <c r="O835" s="4" t="str">
        <f t="shared" si="39"/>
        <v>fevereiro</v>
      </c>
      <c r="P835" s="4">
        <f t="shared" si="40"/>
        <v>2025</v>
      </c>
      <c r="Q835" s="4" t="str">
        <f t="shared" si="41"/>
        <v/>
      </c>
      <c r="R835" t="s">
        <v>24</v>
      </c>
    </row>
    <row r="836" spans="1:18" x14ac:dyDescent="0.3">
      <c r="A836" s="1" t="d">
        <v>2025-02-26</v>
      </c>
      <c r="B836">
        <v>45509</v>
      </c>
      <c r="C836" t="str">
        <f>VLOOKUP(Fato_Producao[[#This Row],[referencia]], Dim_Produtos!A:B,2,FALSE)</f>
        <v>lascas bacalhau</v>
      </c>
      <c r="D836">
        <v>1841</v>
      </c>
      <c r="E836">
        <v>1714</v>
      </c>
      <c r="F836" s="5">
        <v>6.9000000000000006E-2</v>
      </c>
      <c r="G836" s="6">
        <v>35.56</v>
      </c>
      <c r="H836">
        <v>8</v>
      </c>
      <c r="I836">
        <v>117</v>
      </c>
      <c r="J836">
        <v>2</v>
      </c>
      <c r="K836">
        <f>Fato_Producao[[#This Row],[embalagens_danificadas]]+Fato_Producao[[#This Row],[peso_errado]]+Fato_Producao[[#This Row],[impressao]]</f>
        <v>127</v>
      </c>
      <c r="L836" s="1" t="d">
        <v>2025-02-02</v>
      </c>
      <c r="M836">
        <v>24</v>
      </c>
      <c r="N836" s="7">
        <v>4.62</v>
      </c>
      <c r="O836" s="4" t="str">
        <f t="shared" si="39"/>
        <v>fevereiro</v>
      </c>
      <c r="P836" s="4">
        <f t="shared" si="40"/>
        <v>2025</v>
      </c>
      <c r="Q836" s="4" t="str">
        <f t="shared" si="41"/>
        <v/>
      </c>
      <c r="R836" t="s">
        <v>24</v>
      </c>
    </row>
    <row r="837" spans="1:18" x14ac:dyDescent="0.3">
      <c r="A837" s="1" t="d">
        <v>2025-02-27</v>
      </c>
      <c r="B837">
        <v>45504</v>
      </c>
      <c r="C837" t="str">
        <f>VLOOKUP(Fato_Producao[[#This Row],[referencia]], Dim_Produtos!A:B,2,FALSE)</f>
        <v>pescada posta fritar</v>
      </c>
      <c r="D837">
        <v>3016</v>
      </c>
      <c r="E837">
        <v>2807</v>
      </c>
      <c r="F837" s="5">
        <v>6.93E-2</v>
      </c>
      <c r="G837" s="6">
        <v>66.88</v>
      </c>
      <c r="H837">
        <v>13</v>
      </c>
      <c r="I837">
        <v>193</v>
      </c>
      <c r="J837">
        <v>3</v>
      </c>
      <c r="K837">
        <f>Fato_Producao[[#This Row],[embalagens_danificadas]]+Fato_Producao[[#This Row],[peso_errado]]+Fato_Producao[[#This Row],[impressao]]</f>
        <v>209</v>
      </c>
      <c r="L837" s="1" t="d">
        <v>2025-02-02</v>
      </c>
      <c r="M837">
        <v>25</v>
      </c>
      <c r="N837" s="7">
        <v>9.36</v>
      </c>
      <c r="O837" s="4" t="str">
        <f t="shared" si="39"/>
        <v>fevereiro</v>
      </c>
      <c r="P837" s="4">
        <f t="shared" si="40"/>
        <v>2025</v>
      </c>
      <c r="Q837" s="4" t="str">
        <f t="shared" si="41"/>
        <v/>
      </c>
      <c r="R837" t="s">
        <v>24</v>
      </c>
    </row>
    <row r="838" spans="1:18" x14ac:dyDescent="0.3">
      <c r="A838" s="1" t="d">
        <v>2025-02-27</v>
      </c>
      <c r="B838">
        <v>45504</v>
      </c>
      <c r="C838" t="str">
        <f>VLOOKUP(Fato_Producao[[#This Row],[referencia]], Dim_Produtos!A:B,2,FALSE)</f>
        <v>pescada posta fritar</v>
      </c>
      <c r="D838">
        <v>1848</v>
      </c>
      <c r="E838">
        <v>1719</v>
      </c>
      <c r="F838" s="5">
        <v>6.9800000000000001E-2</v>
      </c>
      <c r="G838" s="6">
        <v>41.28</v>
      </c>
      <c r="H838">
        <v>8</v>
      </c>
      <c r="I838">
        <v>120</v>
      </c>
      <c r="J838">
        <v>1</v>
      </c>
      <c r="K838">
        <f>Fato_Producao[[#This Row],[embalagens_danificadas]]+Fato_Producao[[#This Row],[peso_errado]]+Fato_Producao[[#This Row],[impressao]]</f>
        <v>129</v>
      </c>
      <c r="L838" s="1" t="d">
        <v>2025-02-02</v>
      </c>
      <c r="M838">
        <v>25</v>
      </c>
      <c r="N838" s="7">
        <v>5.78</v>
      </c>
      <c r="O838" s="4" t="str">
        <f t="shared" si="39"/>
        <v>fevereiro</v>
      </c>
      <c r="P838" s="4">
        <f t="shared" si="40"/>
        <v>2025</v>
      </c>
      <c r="Q838" s="4" t="str">
        <f t="shared" si="41"/>
        <v/>
      </c>
      <c r="R838" t="s">
        <v>24</v>
      </c>
    </row>
    <row r="839" spans="1:18" x14ac:dyDescent="0.3">
      <c r="A839" s="1" t="d">
        <v>2025-02-28</v>
      </c>
      <c r="B839">
        <v>45500</v>
      </c>
      <c r="C839" t="str">
        <f>VLOOKUP(Fato_Producao[[#This Row],[referencia]], Dim_Produtos!A:B,2,FALSE)</f>
        <v>filete pescada</v>
      </c>
      <c r="D839">
        <v>3669</v>
      </c>
      <c r="E839">
        <v>3502</v>
      </c>
      <c r="F839" s="5">
        <v>4.5499999999999999E-2</v>
      </c>
      <c r="G839" s="6">
        <v>46.76</v>
      </c>
      <c r="H839">
        <v>6</v>
      </c>
      <c r="I839">
        <v>157</v>
      </c>
      <c r="J839">
        <v>4</v>
      </c>
      <c r="K839">
        <f>Fato_Producao[[#This Row],[embalagens_danificadas]]+Fato_Producao[[#This Row],[peso_errado]]+Fato_Producao[[#This Row],[impressao]]</f>
        <v>167</v>
      </c>
      <c r="L839" s="1" t="d">
        <v>2025-02-02</v>
      </c>
      <c r="M839">
        <v>26</v>
      </c>
      <c r="N839" s="7">
        <v>5.61</v>
      </c>
      <c r="O839" s="4" t="str">
        <f t="shared" si="39"/>
        <v>fevereiro</v>
      </c>
      <c r="P839" s="4">
        <f t="shared" si="40"/>
        <v>2025</v>
      </c>
      <c r="Q839" s="4" t="str">
        <f t="shared" si="41"/>
        <v/>
      </c>
      <c r="R839" t="s">
        <v>24</v>
      </c>
    </row>
    <row r="840" spans="1:18" x14ac:dyDescent="0.3">
      <c r="A840" s="1" t="d">
        <v>2025-02-28</v>
      </c>
      <c r="B840">
        <v>45503</v>
      </c>
      <c r="C840" t="str">
        <f>VLOOKUP(Fato_Producao[[#This Row],[referencia]], Dim_Produtos!A:B,2,FALSE)</f>
        <v>sardinha pequena</v>
      </c>
      <c r="D840">
        <v>3201</v>
      </c>
      <c r="E840">
        <v>2960</v>
      </c>
      <c r="F840" s="5">
        <v>7.5300000000000006E-2</v>
      </c>
      <c r="G840" s="6">
        <v>62.66</v>
      </c>
      <c r="H840">
        <v>7</v>
      </c>
      <c r="I840">
        <v>229</v>
      </c>
      <c r="J840">
        <v>5</v>
      </c>
      <c r="K840">
        <f>Fato_Producao[[#This Row],[embalagens_danificadas]]+Fato_Producao[[#This Row],[peso_errado]]+Fato_Producao[[#This Row],[impressao]]</f>
        <v>241</v>
      </c>
      <c r="L840" s="1" t="d">
        <v>2025-02-02</v>
      </c>
      <c r="M840">
        <v>26</v>
      </c>
      <c r="N840" s="7">
        <v>6.89</v>
      </c>
      <c r="O840" s="4" t="str">
        <f t="shared" si="39"/>
        <v>fevereiro</v>
      </c>
      <c r="P840" s="4">
        <f t="shared" si="40"/>
        <v>2025</v>
      </c>
      <c r="Q840" s="4" t="str">
        <f t="shared" si="41"/>
        <v/>
      </c>
      <c r="R840" t="s">
        <v>24</v>
      </c>
    </row>
    <row r="841" spans="1:18" x14ac:dyDescent="0.3">
      <c r="A841" s="1" t="d">
        <v>2025-03-01</v>
      </c>
      <c r="B841">
        <v>45507</v>
      </c>
      <c r="C841" t="str">
        <f>VLOOKUP(Fato_Producao[[#This Row],[referencia]], Dim_Produtos!A:B,2,FALSE)</f>
        <v>salmao posta</v>
      </c>
      <c r="D841">
        <v>2782</v>
      </c>
      <c r="E841">
        <v>2649</v>
      </c>
      <c r="F841" s="5">
        <v>4.7800000000000002E-2</v>
      </c>
      <c r="G841" s="6">
        <v>46.55</v>
      </c>
      <c r="H841">
        <v>4</v>
      </c>
      <c r="I841">
        <v>125</v>
      </c>
      <c r="J841">
        <v>4</v>
      </c>
      <c r="K841">
        <f>Fato_Producao[[#This Row],[embalagens_danificadas]]+Fato_Producao[[#This Row],[peso_errado]]+Fato_Producao[[#This Row],[impressao]]</f>
        <v>133</v>
      </c>
      <c r="L841" s="1" t="d">
        <v>2025-02-02</v>
      </c>
      <c r="M841">
        <v>27</v>
      </c>
      <c r="N841" s="7">
        <v>7.45</v>
      </c>
      <c r="O841" s="4" t="str">
        <f t="shared" si="39"/>
        <v>março</v>
      </c>
      <c r="P841" s="4">
        <f t="shared" si="40"/>
        <v>2025</v>
      </c>
      <c r="Q841" s="4" t="str">
        <f t="shared" si="41"/>
        <v/>
      </c>
      <c r="R841" t="s">
        <v>24</v>
      </c>
    </row>
    <row r="842" spans="1:18" x14ac:dyDescent="0.3">
      <c r="A842" s="1" t="d">
        <v>2025-03-01</v>
      </c>
      <c r="B842">
        <v>45504</v>
      </c>
      <c r="C842" t="str">
        <f>VLOOKUP(Fato_Producao[[#This Row],[referencia]], Dim_Produtos!A:B,2,FALSE)</f>
        <v>pescada posta fritar</v>
      </c>
      <c r="D842">
        <v>3612</v>
      </c>
      <c r="E842">
        <v>3410</v>
      </c>
      <c r="F842" s="5">
        <v>5.5899999999999998E-2</v>
      </c>
      <c r="G842" s="6">
        <v>64.64</v>
      </c>
      <c r="H842">
        <v>8</v>
      </c>
      <c r="I842">
        <v>188</v>
      </c>
      <c r="J842">
        <v>6</v>
      </c>
      <c r="K842">
        <f>Fato_Producao[[#This Row],[embalagens_danificadas]]+Fato_Producao[[#This Row],[peso_errado]]+Fato_Producao[[#This Row],[impressao]]</f>
        <v>202</v>
      </c>
      <c r="L842" s="1" t="d">
        <v>2025-02-02</v>
      </c>
      <c r="M842">
        <v>27</v>
      </c>
      <c r="N842" s="7">
        <v>9.0500000000000007</v>
      </c>
      <c r="O842" s="4" t="str">
        <f t="shared" si="39"/>
        <v>março</v>
      </c>
      <c r="P842" s="4">
        <f t="shared" si="40"/>
        <v>2025</v>
      </c>
      <c r="Q842" s="4" t="str">
        <f t="shared" si="41"/>
        <v/>
      </c>
      <c r="R842" t="s">
        <v>24</v>
      </c>
    </row>
    <row r="843" spans="1:18" x14ac:dyDescent="0.3">
      <c r="A843" s="1" t="d">
        <v>2025-03-02</v>
      </c>
      <c r="B843">
        <v>45504</v>
      </c>
      <c r="C843" t="str">
        <f>VLOOKUP(Fato_Producao[[#This Row],[referencia]], Dim_Produtos!A:B,2,FALSE)</f>
        <v>pescada posta fritar</v>
      </c>
      <c r="D843">
        <v>2544</v>
      </c>
      <c r="E843">
        <v>2342</v>
      </c>
      <c r="F843" s="5">
        <v>7.9399999999999998E-2</v>
      </c>
      <c r="G843" s="6">
        <v>64.64</v>
      </c>
      <c r="H843">
        <v>8</v>
      </c>
      <c r="I843">
        <v>191</v>
      </c>
      <c r="J843">
        <v>3</v>
      </c>
      <c r="K843">
        <f>Fato_Producao[[#This Row],[embalagens_danificadas]]+Fato_Producao[[#This Row],[peso_errado]]+Fato_Producao[[#This Row],[impressao]]</f>
        <v>202</v>
      </c>
      <c r="L843" s="1" t="d">
        <v>2025-02-02</v>
      </c>
      <c r="M843">
        <v>28</v>
      </c>
      <c r="N843" s="7">
        <v>9.0500000000000007</v>
      </c>
      <c r="O843" s="4" t="str">
        <f t="shared" si="39"/>
        <v>março</v>
      </c>
      <c r="P843" s="4">
        <f t="shared" si="40"/>
        <v>2025</v>
      </c>
      <c r="Q843" s="4" t="str">
        <f t="shared" si="41"/>
        <v/>
      </c>
      <c r="R843" t="s">
        <v>24</v>
      </c>
    </row>
    <row r="844" spans="1:18" x14ac:dyDescent="0.3">
      <c r="A844" s="1" t="d">
        <v>2025-03-03</v>
      </c>
      <c r="B844">
        <v>45503</v>
      </c>
      <c r="C844" t="str">
        <f>VLOOKUP(Fato_Producao[[#This Row],[referencia]], Dim_Produtos!A:B,2,FALSE)</f>
        <v>sardinha pequena</v>
      </c>
      <c r="D844">
        <v>3259</v>
      </c>
      <c r="E844">
        <v>2948</v>
      </c>
      <c r="F844" s="5">
        <v>9.5399999999999999E-2</v>
      </c>
      <c r="G844" s="6">
        <v>80.86</v>
      </c>
      <c r="H844">
        <v>19</v>
      </c>
      <c r="I844">
        <v>287</v>
      </c>
      <c r="J844">
        <v>5</v>
      </c>
      <c r="K844">
        <f>Fato_Producao[[#This Row],[embalagens_danificadas]]+Fato_Producao[[#This Row],[peso_errado]]+Fato_Producao[[#This Row],[impressao]]</f>
        <v>311</v>
      </c>
      <c r="L844" s="1" t="d">
        <v>2025-02-02</v>
      </c>
      <c r="M844">
        <v>29</v>
      </c>
      <c r="N844" s="7">
        <v>8.89</v>
      </c>
      <c r="O844" s="4" t="str">
        <f t="shared" si="39"/>
        <v>março</v>
      </c>
      <c r="P844" s="4">
        <f t="shared" si="40"/>
        <v>2025</v>
      </c>
      <c r="Q844" s="4" t="str">
        <f t="shared" si="41"/>
        <v/>
      </c>
      <c r="R844" t="s">
        <v>24</v>
      </c>
    </row>
    <row r="845" spans="1:18" x14ac:dyDescent="0.3">
      <c r="A845" s="1" t="d">
        <v>2025-03-04</v>
      </c>
      <c r="B845">
        <v>45512</v>
      </c>
      <c r="C845" t="str">
        <f>VLOOKUP(Fato_Producao[[#This Row],[referencia]], Dim_Produtos!A:B,2,FALSE)</f>
        <v>red-fish posta</v>
      </c>
      <c r="D845">
        <v>3145</v>
      </c>
      <c r="E845">
        <v>2942</v>
      </c>
      <c r="F845" s="5">
        <v>6.4500000000000002E-2</v>
      </c>
      <c r="G845" s="6">
        <v>69.02</v>
      </c>
      <c r="H845">
        <v>7</v>
      </c>
      <c r="I845">
        <v>192</v>
      </c>
      <c r="J845">
        <v>4</v>
      </c>
      <c r="K845">
        <f>Fato_Producao[[#This Row],[embalagens_danificadas]]+Fato_Producao[[#This Row],[peso_errado]]+Fato_Producao[[#This Row],[impressao]]</f>
        <v>203</v>
      </c>
      <c r="L845" s="1" t="d">
        <v>2025-02-02</v>
      </c>
      <c r="M845">
        <v>30</v>
      </c>
      <c r="N845" s="7">
        <v>9.66</v>
      </c>
      <c r="O845" s="4" t="str">
        <f t="shared" si="39"/>
        <v>março</v>
      </c>
      <c r="P845" s="4">
        <f t="shared" si="40"/>
        <v>2025</v>
      </c>
      <c r="Q845" s="4" t="str">
        <f t="shared" si="41"/>
        <v/>
      </c>
      <c r="R845" t="s">
        <v>24</v>
      </c>
    </row>
    <row r="846" spans="1:18" x14ac:dyDescent="0.3">
      <c r="A846" s="1" t="d">
        <v>2025-03-04</v>
      </c>
      <c r="B846">
        <v>45509</v>
      </c>
      <c r="C846" t="str">
        <f>VLOOKUP(Fato_Producao[[#This Row],[referencia]], Dim_Produtos!A:B,2,FALSE)</f>
        <v>lascas bacalhau</v>
      </c>
      <c r="D846">
        <v>3889</v>
      </c>
      <c r="E846">
        <v>3584</v>
      </c>
      <c r="F846" s="5">
        <v>7.8399999999999997E-2</v>
      </c>
      <c r="G846" s="6">
        <v>85.4</v>
      </c>
      <c r="H846">
        <v>12</v>
      </c>
      <c r="I846">
        <v>289</v>
      </c>
      <c r="J846">
        <v>4</v>
      </c>
      <c r="K846">
        <f>Fato_Producao[[#This Row],[embalagens_danificadas]]+Fato_Producao[[#This Row],[peso_errado]]+Fato_Producao[[#This Row],[impressao]]</f>
        <v>305</v>
      </c>
      <c r="L846" s="1" t="d">
        <v>2025-02-02</v>
      </c>
      <c r="M846">
        <v>30</v>
      </c>
      <c r="N846" s="7">
        <v>11.1</v>
      </c>
      <c r="O846" s="4" t="str">
        <f t="shared" si="39"/>
        <v>março</v>
      </c>
      <c r="P846" s="4">
        <f t="shared" si="40"/>
        <v>2025</v>
      </c>
      <c r="Q846" s="4" t="str">
        <f t="shared" si="41"/>
        <v/>
      </c>
      <c r="R846" t="s">
        <v>24</v>
      </c>
    </row>
    <row r="847" spans="1:18" x14ac:dyDescent="0.3">
      <c r="A847" s="1" t="d">
        <v>2025-03-05</v>
      </c>
      <c r="B847">
        <v>45505</v>
      </c>
      <c r="C847" t="str">
        <f>VLOOKUP(Fato_Producao[[#This Row],[referencia]], Dim_Produtos!A:B,2,FALSE)</f>
        <v>camarao</v>
      </c>
      <c r="D847">
        <v>2904</v>
      </c>
      <c r="E847">
        <v>2688</v>
      </c>
      <c r="F847" s="5">
        <v>7.4399999999999994E-2</v>
      </c>
      <c r="G847" s="6">
        <v>64.8</v>
      </c>
      <c r="H847">
        <v>41</v>
      </c>
      <c r="I847">
        <v>172</v>
      </c>
      <c r="J847">
        <v>3</v>
      </c>
      <c r="K847">
        <f>Fato_Producao[[#This Row],[embalagens_danificadas]]+Fato_Producao[[#This Row],[peso_errado]]+Fato_Producao[[#This Row],[impressao]]</f>
        <v>216</v>
      </c>
      <c r="L847" s="1" t="d">
        <v>2025-02-02</v>
      </c>
      <c r="M847">
        <v>31</v>
      </c>
      <c r="N847" s="7">
        <v>9.7200000000000006</v>
      </c>
      <c r="O847" s="4" t="str">
        <f t="shared" si="39"/>
        <v>março</v>
      </c>
      <c r="P847" s="4">
        <f t="shared" si="40"/>
        <v>2025</v>
      </c>
      <c r="Q847" s="4" t="str">
        <f t="shared" si="41"/>
        <v/>
      </c>
      <c r="R847" t="s">
        <v>24</v>
      </c>
    </row>
    <row r="848" spans="1:18" x14ac:dyDescent="0.3">
      <c r="A848" s="1" t="d">
        <v>2025-03-05</v>
      </c>
      <c r="B848">
        <v>45508</v>
      </c>
      <c r="C848" t="str">
        <f>VLOOKUP(Fato_Producao[[#This Row],[referencia]], Dim_Produtos!A:B,2,FALSE)</f>
        <v>lula suja</v>
      </c>
      <c r="D848">
        <v>2003</v>
      </c>
      <c r="E848">
        <v>1811</v>
      </c>
      <c r="F848" s="5">
        <v>9.5899999999999999E-2</v>
      </c>
      <c r="G848" s="6">
        <v>61.44</v>
      </c>
      <c r="H848">
        <v>17</v>
      </c>
      <c r="I848">
        <v>171</v>
      </c>
      <c r="J848">
        <v>4</v>
      </c>
      <c r="K848">
        <f>Fato_Producao[[#This Row],[embalagens_danificadas]]+Fato_Producao[[#This Row],[peso_errado]]+Fato_Producao[[#This Row],[impressao]]</f>
        <v>192</v>
      </c>
      <c r="L848" s="1" t="d">
        <v>2025-02-02</v>
      </c>
      <c r="M848">
        <v>31</v>
      </c>
      <c r="N848" s="7">
        <v>8.6</v>
      </c>
      <c r="O848" s="4" t="str">
        <f t="shared" si="39"/>
        <v>março</v>
      </c>
      <c r="P848" s="4">
        <f t="shared" si="40"/>
        <v>2025</v>
      </c>
      <c r="Q848" s="4" t="str">
        <f t="shared" si="41"/>
        <v/>
      </c>
      <c r="R848" t="s">
        <v>24</v>
      </c>
    </row>
    <row r="849" spans="1:18" x14ac:dyDescent="0.3">
      <c r="A849" s="1" t="d">
        <v>2025-03-06</v>
      </c>
      <c r="B849">
        <v>45513</v>
      </c>
      <c r="C849" t="str">
        <f>VLOOKUP(Fato_Producao[[#This Row],[referencia]], Dim_Produtos!A:B,2,FALSE)</f>
        <v>filete pescada</v>
      </c>
      <c r="D849">
        <v>2143</v>
      </c>
      <c r="E849">
        <v>2002</v>
      </c>
      <c r="F849" s="5">
        <v>6.5799999999999997E-2</v>
      </c>
      <c r="G849" s="6">
        <v>45.12</v>
      </c>
      <c r="H849">
        <v>9</v>
      </c>
      <c r="I849">
        <v>128</v>
      </c>
      <c r="J849">
        <v>4</v>
      </c>
      <c r="K849">
        <f>Fato_Producao[[#This Row],[embalagens_danificadas]]+Fato_Producao[[#This Row],[peso_errado]]+Fato_Producao[[#This Row],[impressao]]</f>
        <v>141</v>
      </c>
      <c r="L849" s="1" t="d">
        <v>2025-02-02</v>
      </c>
      <c r="M849">
        <v>32</v>
      </c>
      <c r="N849" s="7">
        <v>5.87</v>
      </c>
      <c r="O849" s="4" t="str">
        <f t="shared" si="39"/>
        <v>março</v>
      </c>
      <c r="P849" s="4">
        <f t="shared" si="40"/>
        <v>2025</v>
      </c>
      <c r="Q849" s="4" t="str">
        <f t="shared" si="41"/>
        <v/>
      </c>
      <c r="R849" t="s">
        <v>24</v>
      </c>
    </row>
    <row r="850" spans="1:18" x14ac:dyDescent="0.3">
      <c r="A850" s="1" t="d">
        <v>2025-03-07</v>
      </c>
      <c r="B850">
        <v>45508</v>
      </c>
      <c r="C850" t="str">
        <f>VLOOKUP(Fato_Producao[[#This Row],[referencia]], Dim_Produtos!A:B,2,FALSE)</f>
        <v>lula suja</v>
      </c>
      <c r="D850">
        <v>4118</v>
      </c>
      <c r="E850">
        <v>3698</v>
      </c>
      <c r="F850" s="5">
        <v>0.10199999999999999</v>
      </c>
      <c r="G850" s="6">
        <v>134.4</v>
      </c>
      <c r="H850">
        <v>57</v>
      </c>
      <c r="I850">
        <v>356</v>
      </c>
      <c r="J850">
        <v>7</v>
      </c>
      <c r="K850">
        <f>Fato_Producao[[#This Row],[embalagens_danificadas]]+Fato_Producao[[#This Row],[peso_errado]]+Fato_Producao[[#This Row],[impressao]]</f>
        <v>420</v>
      </c>
      <c r="L850" s="1" t="d">
        <v>2025-02-02</v>
      </c>
      <c r="M850">
        <v>33</v>
      </c>
      <c r="N850" s="7">
        <v>18.82</v>
      </c>
      <c r="O850" s="4" t="str">
        <f t="shared" si="39"/>
        <v>março</v>
      </c>
      <c r="P850" s="4">
        <f t="shared" si="40"/>
        <v>2025</v>
      </c>
      <c r="Q850" s="4" t="str">
        <f t="shared" si="41"/>
        <v/>
      </c>
      <c r="R850" t="s">
        <v>24</v>
      </c>
    </row>
    <row r="851" spans="1:18" x14ac:dyDescent="0.3">
      <c r="A851" s="1" t="d">
        <v>2025-03-08</v>
      </c>
      <c r="B851">
        <v>45504</v>
      </c>
      <c r="C851" t="str">
        <f>VLOOKUP(Fato_Producao[[#This Row],[referencia]], Dim_Produtos!A:B,2,FALSE)</f>
        <v>pescada posta fritar</v>
      </c>
      <c r="D851">
        <v>3956</v>
      </c>
      <c r="E851">
        <v>3653</v>
      </c>
      <c r="F851" s="5">
        <v>7.6600000000000001E-2</v>
      </c>
      <c r="G851" s="6">
        <v>96.96</v>
      </c>
      <c r="H851">
        <v>20</v>
      </c>
      <c r="I851">
        <v>280</v>
      </c>
      <c r="J851">
        <v>3</v>
      </c>
      <c r="K851">
        <f>Fato_Producao[[#This Row],[embalagens_danificadas]]+Fato_Producao[[#This Row],[peso_errado]]+Fato_Producao[[#This Row],[impressao]]</f>
        <v>303</v>
      </c>
      <c r="L851" s="1" t="d">
        <v>2025-02-02</v>
      </c>
      <c r="M851">
        <v>34</v>
      </c>
      <c r="N851" s="7">
        <v>13.57</v>
      </c>
      <c r="O851" s="4" t="str">
        <f t="shared" si="39"/>
        <v>março</v>
      </c>
      <c r="P851" s="4">
        <f t="shared" si="40"/>
        <v>2025</v>
      </c>
      <c r="Q851" s="4" t="str">
        <f t="shared" si="41"/>
        <v/>
      </c>
      <c r="R851" t="s">
        <v>24</v>
      </c>
    </row>
    <row r="852" spans="1:18" x14ac:dyDescent="0.3">
      <c r="A852" s="1" t="d">
        <v>2025-03-08</v>
      </c>
      <c r="B852">
        <v>45513</v>
      </c>
      <c r="C852" t="str">
        <f>VLOOKUP(Fato_Producao[[#This Row],[referencia]], Dim_Produtos!A:B,2,FALSE)</f>
        <v>filete pescada</v>
      </c>
      <c r="D852">
        <v>1902</v>
      </c>
      <c r="E852">
        <v>1823</v>
      </c>
      <c r="F852" s="5">
        <v>4.1500000000000002E-2</v>
      </c>
      <c r="G852" s="6">
        <v>25.28</v>
      </c>
      <c r="H852">
        <v>3</v>
      </c>
      <c r="I852">
        <v>74</v>
      </c>
      <c r="J852">
        <v>2</v>
      </c>
      <c r="K852">
        <f>Fato_Producao[[#This Row],[embalagens_danificadas]]+Fato_Producao[[#This Row],[peso_errado]]+Fato_Producao[[#This Row],[impressao]]</f>
        <v>79</v>
      </c>
      <c r="L852" s="1" t="d">
        <v>2025-02-02</v>
      </c>
      <c r="M852">
        <v>34</v>
      </c>
      <c r="N852" s="7">
        <v>3.29</v>
      </c>
      <c r="O852" s="4" t="str">
        <f t="shared" si="39"/>
        <v>março</v>
      </c>
      <c r="P852" s="4">
        <f t="shared" si="40"/>
        <v>2025</v>
      </c>
      <c r="Q852" s="4" t="str">
        <f t="shared" si="41"/>
        <v/>
      </c>
      <c r="R852" t="s">
        <v>24</v>
      </c>
    </row>
    <row r="853" spans="1:18" x14ac:dyDescent="0.3">
      <c r="A853" s="1" t="d">
        <v>2025-03-09</v>
      </c>
      <c r="B853">
        <v>45512</v>
      </c>
      <c r="C853" t="str">
        <f>VLOOKUP(Fato_Producao[[#This Row],[referencia]], Dim_Produtos!A:B,2,FALSE)</f>
        <v>red-fish posta</v>
      </c>
      <c r="D853">
        <v>2905</v>
      </c>
      <c r="E853">
        <v>2681</v>
      </c>
      <c r="F853" s="5">
        <v>7.7100000000000002E-2</v>
      </c>
      <c r="G853" s="6">
        <v>76.16</v>
      </c>
      <c r="H853">
        <v>9</v>
      </c>
      <c r="I853">
        <v>210</v>
      </c>
      <c r="J853">
        <v>5</v>
      </c>
      <c r="K853">
        <f>Fato_Producao[[#This Row],[embalagens_danificadas]]+Fato_Producao[[#This Row],[peso_errado]]+Fato_Producao[[#This Row],[impressao]]</f>
        <v>224</v>
      </c>
      <c r="L853" s="1" t="d">
        <v>2025-02-02</v>
      </c>
      <c r="M853">
        <v>35</v>
      </c>
      <c r="N853" s="7">
        <v>10.66</v>
      </c>
      <c r="O853" s="4" t="str">
        <f t="shared" si="39"/>
        <v>março</v>
      </c>
      <c r="P853" s="4">
        <f t="shared" si="40"/>
        <v>2025</v>
      </c>
      <c r="Q853" s="4" t="str">
        <f t="shared" si="41"/>
        <v/>
      </c>
      <c r="R853" t="s">
        <v>24</v>
      </c>
    </row>
    <row r="854" spans="1:18" x14ac:dyDescent="0.3">
      <c r="A854" s="1" t="d">
        <v>2025-03-10</v>
      </c>
      <c r="B854">
        <v>45501</v>
      </c>
      <c r="C854" t="str">
        <f>VLOOKUP(Fato_Producao[[#This Row],[referencia]], Dim_Produtos!A:B,2,FALSE)</f>
        <v>pescada posta cozer</v>
      </c>
      <c r="D854">
        <v>2861</v>
      </c>
      <c r="E854">
        <v>2617</v>
      </c>
      <c r="F854" s="5">
        <v>8.5300000000000001E-2</v>
      </c>
      <c r="G854" s="6">
        <v>78.08</v>
      </c>
      <c r="H854">
        <v>15</v>
      </c>
      <c r="I854">
        <v>224</v>
      </c>
      <c r="J854">
        <v>5</v>
      </c>
      <c r="K854">
        <f>Fato_Producao[[#This Row],[embalagens_danificadas]]+Fato_Producao[[#This Row],[peso_errado]]+Fato_Producao[[#This Row],[impressao]]</f>
        <v>244</v>
      </c>
      <c r="L854" s="1" t="d">
        <v>2025-02-02</v>
      </c>
      <c r="M854">
        <v>36</v>
      </c>
      <c r="N854" s="7">
        <v>10.93</v>
      </c>
      <c r="O854" s="4" t="str">
        <f t="shared" si="39"/>
        <v>março</v>
      </c>
      <c r="P854" s="4">
        <f t="shared" si="40"/>
        <v>2025</v>
      </c>
      <c r="Q854" s="4" t="str">
        <f t="shared" si="41"/>
        <v/>
      </c>
      <c r="R854" t="s">
        <v>24</v>
      </c>
    </row>
    <row r="855" spans="1:18" x14ac:dyDescent="0.3">
      <c r="A855" s="1" t="d">
        <v>2025-03-11</v>
      </c>
      <c r="B855">
        <v>45513</v>
      </c>
      <c r="C855" t="str">
        <f>VLOOKUP(Fato_Producao[[#This Row],[referencia]], Dim_Produtos!A:B,2,FALSE)</f>
        <v>filete pescada</v>
      </c>
      <c r="D855">
        <v>4005</v>
      </c>
      <c r="E855">
        <v>3776</v>
      </c>
      <c r="F855" s="5">
        <v>5.7200000000000001E-2</v>
      </c>
      <c r="G855" s="6">
        <v>73.28</v>
      </c>
      <c r="H855">
        <v>6</v>
      </c>
      <c r="I855">
        <v>219</v>
      </c>
      <c r="J855">
        <v>4</v>
      </c>
      <c r="K855">
        <f>Fato_Producao[[#This Row],[embalagens_danificadas]]+Fato_Producao[[#This Row],[peso_errado]]+Fato_Producao[[#This Row],[impressao]]</f>
        <v>229</v>
      </c>
      <c r="L855" s="1" t="d">
        <v>2025-02-02</v>
      </c>
      <c r="M855">
        <v>37</v>
      </c>
      <c r="N855" s="7">
        <v>9.5299999999999994</v>
      </c>
      <c r="O855" s="4" t="str">
        <f t="shared" si="39"/>
        <v>março</v>
      </c>
      <c r="P855" s="4">
        <f t="shared" si="40"/>
        <v>2025</v>
      </c>
      <c r="Q855" s="4" t="str">
        <f t="shared" si="41"/>
        <v/>
      </c>
      <c r="R855" t="s">
        <v>24</v>
      </c>
    </row>
    <row r="856" spans="1:18" x14ac:dyDescent="0.3">
      <c r="A856" s="1" t="d">
        <v>2025-03-11</v>
      </c>
      <c r="B856">
        <v>45511</v>
      </c>
      <c r="C856" t="str">
        <f>VLOOKUP(Fato_Producao[[#This Row],[referencia]], Dim_Produtos!A:B,2,FALSE)</f>
        <v>lula limpa</v>
      </c>
      <c r="D856">
        <v>4041</v>
      </c>
      <c r="E856">
        <v>3575</v>
      </c>
      <c r="F856" s="5">
        <v>0.1153</v>
      </c>
      <c r="G856" s="6">
        <v>149.12</v>
      </c>
      <c r="H856">
        <v>61</v>
      </c>
      <c r="I856">
        <v>400</v>
      </c>
      <c r="J856">
        <v>5</v>
      </c>
      <c r="K856">
        <f>Fato_Producao[[#This Row],[embalagens_danificadas]]+Fato_Producao[[#This Row],[peso_errado]]+Fato_Producao[[#This Row],[impressao]]</f>
        <v>466</v>
      </c>
      <c r="L856" s="1" t="d">
        <v>2025-02-02</v>
      </c>
      <c r="M856">
        <v>37</v>
      </c>
      <c r="N856" s="7">
        <v>20.88</v>
      </c>
      <c r="O856" s="4" t="str">
        <f t="shared" si="39"/>
        <v>março</v>
      </c>
      <c r="P856" s="4">
        <f t="shared" si="40"/>
        <v>2025</v>
      </c>
      <c r="Q856" s="4" t="str">
        <f t="shared" si="41"/>
        <v/>
      </c>
      <c r="R856" t="s">
        <v>24</v>
      </c>
    </row>
    <row r="857" spans="1:18" x14ac:dyDescent="0.3">
      <c r="A857" s="1" t="d">
        <v>2025-03-12</v>
      </c>
      <c r="B857">
        <v>45507</v>
      </c>
      <c r="C857" t="str">
        <f>VLOOKUP(Fato_Producao[[#This Row],[referencia]], Dim_Produtos!A:B,2,FALSE)</f>
        <v>salmao posta</v>
      </c>
      <c r="D857">
        <v>4064</v>
      </c>
      <c r="E857">
        <v>3754</v>
      </c>
      <c r="F857" s="5">
        <v>7.6300000000000007E-2</v>
      </c>
      <c r="G857" s="6">
        <v>108.5</v>
      </c>
      <c r="H857">
        <v>17</v>
      </c>
      <c r="I857">
        <v>287</v>
      </c>
      <c r="J857">
        <v>6</v>
      </c>
      <c r="K857">
        <f>Fato_Producao[[#This Row],[embalagens_danificadas]]+Fato_Producao[[#This Row],[peso_errado]]+Fato_Producao[[#This Row],[impressao]]</f>
        <v>310</v>
      </c>
      <c r="L857" s="1" t="d">
        <v>2025-02-02</v>
      </c>
      <c r="M857">
        <v>38</v>
      </c>
      <c r="N857" s="7">
        <v>17.36</v>
      </c>
      <c r="O857" s="4" t="str">
        <f t="shared" si="39"/>
        <v>março</v>
      </c>
      <c r="P857" s="4">
        <f t="shared" si="40"/>
        <v>2025</v>
      </c>
      <c r="Q857" s="4" t="str">
        <f t="shared" si="41"/>
        <v/>
      </c>
      <c r="R857" t="s">
        <v>24</v>
      </c>
    </row>
    <row r="858" spans="1:18" x14ac:dyDescent="0.3">
      <c r="A858" s="1" t="d">
        <v>2025-03-13</v>
      </c>
      <c r="B858">
        <v>45501</v>
      </c>
      <c r="C858" t="str">
        <f>VLOOKUP(Fato_Producao[[#This Row],[referencia]], Dim_Produtos!A:B,2,FALSE)</f>
        <v>pescada posta cozer</v>
      </c>
      <c r="D858">
        <v>3181</v>
      </c>
      <c r="E858">
        <v>2916</v>
      </c>
      <c r="F858" s="5">
        <v>8.3299999999999999E-2</v>
      </c>
      <c r="G858" s="6">
        <v>84.8</v>
      </c>
      <c r="H858">
        <v>11</v>
      </c>
      <c r="I858">
        <v>248</v>
      </c>
      <c r="J858">
        <v>6</v>
      </c>
      <c r="K858">
        <f>Fato_Producao[[#This Row],[embalagens_danificadas]]+Fato_Producao[[#This Row],[peso_errado]]+Fato_Producao[[#This Row],[impressao]]</f>
        <v>265</v>
      </c>
      <c r="L858" s="1" t="d">
        <v>2025-02-02</v>
      </c>
      <c r="M858">
        <v>39</v>
      </c>
      <c r="N858" s="7">
        <v>11.87</v>
      </c>
      <c r="O858" s="4" t="str">
        <f t="shared" si="39"/>
        <v>março</v>
      </c>
      <c r="P858" s="4">
        <f t="shared" si="40"/>
        <v>2025</v>
      </c>
      <c r="Q858" s="4" t="str">
        <f t="shared" si="41"/>
        <v/>
      </c>
      <c r="R858" t="s">
        <v>24</v>
      </c>
    </row>
    <row r="859" spans="1:18" x14ac:dyDescent="0.3">
      <c r="A859" s="1" t="d">
        <v>2025-03-14</v>
      </c>
      <c r="B859">
        <v>45506</v>
      </c>
      <c r="C859" t="str">
        <f>VLOOKUP(Fato_Producao[[#This Row],[referencia]], Dim_Produtos!A:B,2,FALSE)</f>
        <v>perca posta</v>
      </c>
      <c r="D859">
        <v>2117</v>
      </c>
      <c r="E859">
        <v>1924</v>
      </c>
      <c r="F859" s="5">
        <v>9.1200000000000003E-2</v>
      </c>
      <c r="G859" s="6">
        <v>67.55</v>
      </c>
      <c r="H859">
        <v>63</v>
      </c>
      <c r="I859">
        <v>21</v>
      </c>
      <c r="J859">
        <v>109</v>
      </c>
      <c r="K859">
        <f>Fato_Producao[[#This Row],[embalagens_danificadas]]+Fato_Producao[[#This Row],[peso_errado]]+Fato_Producao[[#This Row],[impressao]]</f>
        <v>193</v>
      </c>
      <c r="L859" s="1" t="d">
        <v>2025-02-02</v>
      </c>
      <c r="M859">
        <v>40</v>
      </c>
      <c r="N859" s="7">
        <v>10.130000000000001</v>
      </c>
      <c r="O859" s="4" t="str">
        <f t="shared" si="39"/>
        <v>março</v>
      </c>
      <c r="P859" s="4">
        <f t="shared" si="40"/>
        <v>2025</v>
      </c>
      <c r="Q859" s="4" t="str">
        <f t="shared" si="41"/>
        <v/>
      </c>
      <c r="R859" t="s">
        <v>50</v>
      </c>
    </row>
    <row r="860" spans="1:18" x14ac:dyDescent="0.3">
      <c r="A860" s="1" t="d">
        <v>2025-03-14</v>
      </c>
      <c r="B860">
        <v>45506</v>
      </c>
      <c r="C860" t="str">
        <f>VLOOKUP(Fato_Producao[[#This Row],[referencia]], Dim_Produtos!A:B,2,FALSE)</f>
        <v>perca posta</v>
      </c>
      <c r="D860">
        <v>1918</v>
      </c>
      <c r="E860">
        <v>1774</v>
      </c>
      <c r="F860" s="5">
        <v>7.51E-2</v>
      </c>
      <c r="G860" s="6">
        <v>50.4</v>
      </c>
      <c r="H860">
        <v>8</v>
      </c>
      <c r="I860">
        <v>133</v>
      </c>
      <c r="J860">
        <v>3</v>
      </c>
      <c r="K860">
        <f>Fato_Producao[[#This Row],[embalagens_danificadas]]+Fato_Producao[[#This Row],[peso_errado]]+Fato_Producao[[#This Row],[impressao]]</f>
        <v>144</v>
      </c>
      <c r="L860" s="1" t="d">
        <v>2025-02-02</v>
      </c>
      <c r="M860">
        <v>40</v>
      </c>
      <c r="N860" s="7">
        <v>7.56</v>
      </c>
      <c r="O860" s="4" t="str">
        <f t="shared" si="39"/>
        <v>março</v>
      </c>
      <c r="P860" s="4">
        <f t="shared" si="40"/>
        <v>2025</v>
      </c>
      <c r="Q860" s="4" t="str">
        <f t="shared" si="41"/>
        <v/>
      </c>
      <c r="R860" t="s">
        <v>24</v>
      </c>
    </row>
    <row r="861" spans="1:18" x14ac:dyDescent="0.3">
      <c r="A861" s="1" t="d">
        <v>2025-03-15</v>
      </c>
      <c r="B861">
        <v>45505</v>
      </c>
      <c r="C861" t="str">
        <f>VLOOKUP(Fato_Producao[[#This Row],[referencia]], Dim_Produtos!A:B,2,FALSE)</f>
        <v>camarao</v>
      </c>
      <c r="D861">
        <v>3239</v>
      </c>
      <c r="E861">
        <v>2965</v>
      </c>
      <c r="F861" s="5">
        <v>8.4599999999999995E-2</v>
      </c>
      <c r="G861" s="6">
        <v>82.2</v>
      </c>
      <c r="H861">
        <v>54</v>
      </c>
      <c r="I861">
        <v>209</v>
      </c>
      <c r="J861">
        <v>11</v>
      </c>
      <c r="K861">
        <f>Fato_Producao[[#This Row],[embalagens_danificadas]]+Fato_Producao[[#This Row],[peso_errado]]+Fato_Producao[[#This Row],[impressao]]</f>
        <v>274</v>
      </c>
      <c r="L861" s="1" t="d">
        <v>2025-02-02</v>
      </c>
      <c r="M861">
        <v>41</v>
      </c>
      <c r="N861" s="7">
        <v>12.33</v>
      </c>
      <c r="O861" s="4" t="str">
        <f t="shared" si="39"/>
        <v>março</v>
      </c>
      <c r="P861" s="4">
        <f t="shared" si="40"/>
        <v>2025</v>
      </c>
      <c r="Q861" s="4" t="str">
        <f t="shared" si="41"/>
        <v/>
      </c>
      <c r="R861" t="s">
        <v>24</v>
      </c>
    </row>
    <row r="862" spans="1:18" x14ac:dyDescent="0.3">
      <c r="A862" s="1" t="d">
        <v>2025-03-15</v>
      </c>
      <c r="B862">
        <v>45502</v>
      </c>
      <c r="C862" t="str">
        <f>VLOOKUP(Fato_Producao[[#This Row],[referencia]], Dim_Produtos!A:B,2,FALSE)</f>
        <v>carapau pelim</v>
      </c>
      <c r="D862">
        <v>2308</v>
      </c>
      <c r="E862">
        <v>2120</v>
      </c>
      <c r="F862" s="5">
        <v>8.1500000000000003E-2</v>
      </c>
      <c r="G862" s="6">
        <v>56.4</v>
      </c>
      <c r="H862">
        <v>48</v>
      </c>
      <c r="I862">
        <v>137</v>
      </c>
      <c r="J862">
        <v>3</v>
      </c>
      <c r="K862">
        <f>Fato_Producao[[#This Row],[embalagens_danificadas]]+Fato_Producao[[#This Row],[peso_errado]]+Fato_Producao[[#This Row],[impressao]]</f>
        <v>188</v>
      </c>
      <c r="L862" s="1" t="d">
        <v>2025-02-02</v>
      </c>
      <c r="M862">
        <v>41</v>
      </c>
      <c r="N862" s="7">
        <v>7.33</v>
      </c>
      <c r="O862" s="4" t="str">
        <f t="shared" si="39"/>
        <v>março</v>
      </c>
      <c r="P862" s="4">
        <f t="shared" si="40"/>
        <v>2025</v>
      </c>
      <c r="Q862" s="4" t="str">
        <f t="shared" si="41"/>
        <v/>
      </c>
      <c r="R862" t="s">
        <v>24</v>
      </c>
    </row>
    <row r="863" spans="1:18" x14ac:dyDescent="0.3">
      <c r="A863" s="1" t="d">
        <v>2025-03-16</v>
      </c>
      <c r="B863">
        <v>45500</v>
      </c>
      <c r="C863" t="str">
        <f>VLOOKUP(Fato_Producao[[#This Row],[referencia]], Dim_Produtos!A:B,2,FALSE)</f>
        <v>filete pescada</v>
      </c>
      <c r="D863">
        <v>2875</v>
      </c>
      <c r="E863">
        <v>2706</v>
      </c>
      <c r="F863" s="5">
        <v>5.8799999999999998E-2</v>
      </c>
      <c r="G863" s="6">
        <v>47.32</v>
      </c>
      <c r="H863">
        <v>8</v>
      </c>
      <c r="I863">
        <v>157</v>
      </c>
      <c r="J863">
        <v>4</v>
      </c>
      <c r="K863">
        <f>Fato_Producao[[#This Row],[embalagens_danificadas]]+Fato_Producao[[#This Row],[peso_errado]]+Fato_Producao[[#This Row],[impressao]]</f>
        <v>169</v>
      </c>
      <c r="L863" s="1" t="d">
        <v>2025-02-02</v>
      </c>
      <c r="M863">
        <v>42</v>
      </c>
      <c r="N863" s="7">
        <v>5.68</v>
      </c>
      <c r="O863" s="4" t="str">
        <f t="shared" si="39"/>
        <v>março</v>
      </c>
      <c r="P863" s="4">
        <f t="shared" si="40"/>
        <v>2025</v>
      </c>
      <c r="Q863" s="4" t="str">
        <f t="shared" si="41"/>
        <v/>
      </c>
      <c r="R863" t="s">
        <v>24</v>
      </c>
    </row>
    <row r="864" spans="1:18" x14ac:dyDescent="0.3">
      <c r="A864" s="1" t="d">
        <v>2025-03-17</v>
      </c>
      <c r="B864">
        <v>45502</v>
      </c>
      <c r="C864" t="str">
        <f>VLOOKUP(Fato_Producao[[#This Row],[referencia]], Dim_Produtos!A:B,2,FALSE)</f>
        <v>carapau pelim</v>
      </c>
      <c r="D864">
        <v>2076</v>
      </c>
      <c r="E864">
        <v>1885</v>
      </c>
      <c r="F864" s="5">
        <v>9.1999999999999998E-2</v>
      </c>
      <c r="G864" s="6">
        <v>57.3</v>
      </c>
      <c r="H864">
        <v>56</v>
      </c>
      <c r="I864">
        <v>132</v>
      </c>
      <c r="J864">
        <v>3</v>
      </c>
      <c r="K864">
        <f>Fato_Producao[[#This Row],[embalagens_danificadas]]+Fato_Producao[[#This Row],[peso_errado]]+Fato_Producao[[#This Row],[impressao]]</f>
        <v>191</v>
      </c>
      <c r="L864" s="1" t="d">
        <v>2025-02-02</v>
      </c>
      <c r="M864">
        <v>43</v>
      </c>
      <c r="N864" s="7">
        <v>7.45</v>
      </c>
      <c r="O864" s="4" t="str">
        <f t="shared" si="39"/>
        <v>março</v>
      </c>
      <c r="P864" s="4">
        <f t="shared" si="40"/>
        <v>2025</v>
      </c>
      <c r="Q864" s="4" t="str">
        <f t="shared" si="41"/>
        <v/>
      </c>
      <c r="R864" t="s">
        <v>24</v>
      </c>
    </row>
    <row r="865" spans="1:18" x14ac:dyDescent="0.3">
      <c r="A865" s="1" t="d">
        <v>2025-03-18</v>
      </c>
      <c r="B865">
        <v>45505</v>
      </c>
      <c r="C865" t="str">
        <f>VLOOKUP(Fato_Producao[[#This Row],[referencia]], Dim_Produtos!A:B,2,FALSE)</f>
        <v>camarao</v>
      </c>
      <c r="D865">
        <v>3302</v>
      </c>
      <c r="E865">
        <v>3008</v>
      </c>
      <c r="F865" s="5">
        <v>8.8999999999999996E-2</v>
      </c>
      <c r="G865" s="6">
        <v>88.2</v>
      </c>
      <c r="H865">
        <v>70</v>
      </c>
      <c r="I865">
        <v>220</v>
      </c>
      <c r="J865">
        <v>4</v>
      </c>
      <c r="K865">
        <f>Fato_Producao[[#This Row],[embalagens_danificadas]]+Fato_Producao[[#This Row],[peso_errado]]+Fato_Producao[[#This Row],[impressao]]</f>
        <v>294</v>
      </c>
      <c r="L865" s="1" t="d">
        <v>2025-02-02</v>
      </c>
      <c r="M865">
        <v>44</v>
      </c>
      <c r="N865" s="7">
        <v>13.23</v>
      </c>
      <c r="O865" s="4" t="str">
        <f t="shared" si="39"/>
        <v>março</v>
      </c>
      <c r="P865" s="4">
        <f t="shared" si="40"/>
        <v>2025</v>
      </c>
      <c r="Q865" s="4" t="str">
        <f t="shared" si="41"/>
        <v/>
      </c>
      <c r="R865" t="s">
        <v>24</v>
      </c>
    </row>
    <row r="866" spans="1:18" x14ac:dyDescent="0.3">
      <c r="A866" s="1" t="d">
        <v>2025-03-19</v>
      </c>
      <c r="B866">
        <v>45512</v>
      </c>
      <c r="C866" t="str">
        <f>VLOOKUP(Fato_Producao[[#This Row],[referencia]], Dim_Produtos!A:B,2,FALSE)</f>
        <v>red-fish posta</v>
      </c>
      <c r="D866">
        <v>2466</v>
      </c>
      <c r="E866">
        <v>2297</v>
      </c>
      <c r="F866" s="5">
        <v>6.8500000000000005E-2</v>
      </c>
      <c r="G866" s="6">
        <v>57.46</v>
      </c>
      <c r="H866">
        <v>5</v>
      </c>
      <c r="I866">
        <v>159</v>
      </c>
      <c r="J866">
        <v>5</v>
      </c>
      <c r="K866">
        <f>Fato_Producao[[#This Row],[embalagens_danificadas]]+Fato_Producao[[#This Row],[peso_errado]]+Fato_Producao[[#This Row],[impressao]]</f>
        <v>169</v>
      </c>
      <c r="L866" s="1" t="d">
        <v>2025-02-02</v>
      </c>
      <c r="M866">
        <v>45</v>
      </c>
      <c r="N866" s="7">
        <v>8.0399999999999991</v>
      </c>
      <c r="O866" s="4" t="str">
        <f t="shared" si="39"/>
        <v>março</v>
      </c>
      <c r="P866" s="4">
        <f t="shared" si="40"/>
        <v>2025</v>
      </c>
      <c r="Q866" s="4" t="str">
        <f t="shared" si="41"/>
        <v/>
      </c>
      <c r="R866" t="s">
        <v>24</v>
      </c>
    </row>
    <row r="867" spans="1:18" x14ac:dyDescent="0.3">
      <c r="A867" s="1" t="d">
        <v>2025-03-19</v>
      </c>
      <c r="B867">
        <v>45512</v>
      </c>
      <c r="C867" t="str">
        <f>VLOOKUP(Fato_Producao[[#This Row],[referencia]], Dim_Produtos!A:B,2,FALSE)</f>
        <v>red-fish posta</v>
      </c>
      <c r="D867">
        <v>1979</v>
      </c>
      <c r="E867">
        <v>1812</v>
      </c>
      <c r="F867" s="5">
        <v>8.4400000000000003E-2</v>
      </c>
      <c r="G867" s="6">
        <v>56.78</v>
      </c>
      <c r="H867">
        <v>9</v>
      </c>
      <c r="I867">
        <v>153</v>
      </c>
      <c r="J867">
        <v>5</v>
      </c>
      <c r="K867">
        <f>Fato_Producao[[#This Row],[embalagens_danificadas]]+Fato_Producao[[#This Row],[peso_errado]]+Fato_Producao[[#This Row],[impressao]]</f>
        <v>167</v>
      </c>
      <c r="L867" s="1" t="d">
        <v>2025-02-02</v>
      </c>
      <c r="M867">
        <v>45</v>
      </c>
      <c r="N867" s="7">
        <v>7.95</v>
      </c>
      <c r="O867" s="4" t="str">
        <f t="shared" si="39"/>
        <v>março</v>
      </c>
      <c r="P867" s="4">
        <f t="shared" si="40"/>
        <v>2025</v>
      </c>
      <c r="Q867" s="4" t="str">
        <f t="shared" si="41"/>
        <v/>
      </c>
      <c r="R867" t="s">
        <v>24</v>
      </c>
    </row>
    <row r="868" spans="1:18" x14ac:dyDescent="0.3">
      <c r="A868" s="1" t="d">
        <v>2025-03-20</v>
      </c>
      <c r="B868">
        <v>45510</v>
      </c>
      <c r="C868" t="str">
        <f>VLOOKUP(Fato_Producao[[#This Row],[referencia]], Dim_Produtos!A:B,2,FALSE)</f>
        <v>tiras pota</v>
      </c>
      <c r="D868">
        <v>2634</v>
      </c>
      <c r="E868">
        <v>2374</v>
      </c>
      <c r="F868" s="5">
        <v>9.8699999999999996E-2</v>
      </c>
      <c r="G868" s="6">
        <v>83.2</v>
      </c>
      <c r="H868">
        <v>33</v>
      </c>
      <c r="I868">
        <v>219</v>
      </c>
      <c r="J868">
        <v>8</v>
      </c>
      <c r="K868">
        <f>Fato_Producao[[#This Row],[embalagens_danificadas]]+Fato_Producao[[#This Row],[peso_errado]]+Fato_Producao[[#This Row],[impressao]]</f>
        <v>260</v>
      </c>
      <c r="L868" s="1" t="d">
        <v>2025-02-02</v>
      </c>
      <c r="M868">
        <v>46</v>
      </c>
      <c r="N868" s="7">
        <v>11.65</v>
      </c>
      <c r="O868" s="4" t="str">
        <f t="shared" si="39"/>
        <v>março</v>
      </c>
      <c r="P868" s="4">
        <f t="shared" si="40"/>
        <v>2025</v>
      </c>
      <c r="Q868" s="4" t="str">
        <f t="shared" si="41"/>
        <v/>
      </c>
      <c r="R868" t="s">
        <v>24</v>
      </c>
    </row>
    <row r="869" spans="1:18" x14ac:dyDescent="0.3">
      <c r="A869" s="1" t="d">
        <v>2025-03-20</v>
      </c>
      <c r="B869">
        <v>45508</v>
      </c>
      <c r="C869" t="str">
        <f>VLOOKUP(Fato_Producao[[#This Row],[referencia]], Dim_Produtos!A:B,2,FALSE)</f>
        <v>lula suja</v>
      </c>
      <c r="D869">
        <v>3648</v>
      </c>
      <c r="E869">
        <v>3300</v>
      </c>
      <c r="F869" s="5">
        <v>9.5399999999999999E-2</v>
      </c>
      <c r="G869" s="6">
        <v>111.36</v>
      </c>
      <c r="H869">
        <v>43</v>
      </c>
      <c r="I869">
        <v>295</v>
      </c>
      <c r="J869">
        <v>10</v>
      </c>
      <c r="K869">
        <f>Fato_Producao[[#This Row],[embalagens_danificadas]]+Fato_Producao[[#This Row],[peso_errado]]+Fato_Producao[[#This Row],[impressao]]</f>
        <v>348</v>
      </c>
      <c r="L869" s="1" t="d">
        <v>2025-02-02</v>
      </c>
      <c r="M869">
        <v>46</v>
      </c>
      <c r="N869" s="7">
        <v>15.59</v>
      </c>
      <c r="O869" s="4" t="str">
        <f t="shared" si="39"/>
        <v>março</v>
      </c>
      <c r="P869" s="4">
        <f t="shared" si="40"/>
        <v>2025</v>
      </c>
      <c r="Q869" s="4" t="str">
        <f t="shared" si="41"/>
        <v/>
      </c>
      <c r="R869" t="s">
        <v>24</v>
      </c>
    </row>
    <row r="870" spans="1:18" x14ac:dyDescent="0.3">
      <c r="A870" s="1" t="d">
        <v>2025-03-21</v>
      </c>
      <c r="B870">
        <v>45507</v>
      </c>
      <c r="C870" t="str">
        <f>VLOOKUP(Fato_Producao[[#This Row],[referencia]], Dim_Produtos!A:B,2,FALSE)</f>
        <v>salmao posta</v>
      </c>
      <c r="D870">
        <v>2439</v>
      </c>
      <c r="E870">
        <v>2246</v>
      </c>
      <c r="F870" s="5">
        <v>7.9100000000000004E-2</v>
      </c>
      <c r="G870" s="6">
        <v>67.55</v>
      </c>
      <c r="H870">
        <v>7</v>
      </c>
      <c r="I870">
        <v>181</v>
      </c>
      <c r="J870">
        <v>5</v>
      </c>
      <c r="K870">
        <f>Fato_Producao[[#This Row],[embalagens_danificadas]]+Fato_Producao[[#This Row],[peso_errado]]+Fato_Producao[[#This Row],[impressao]]</f>
        <v>193</v>
      </c>
      <c r="L870" s="1" t="d">
        <v>2025-02-02</v>
      </c>
      <c r="M870">
        <v>47</v>
      </c>
      <c r="N870" s="7">
        <v>10.81</v>
      </c>
      <c r="O870" s="4" t="str">
        <f t="shared" si="39"/>
        <v>março</v>
      </c>
      <c r="P870" s="4">
        <f t="shared" si="40"/>
        <v>2025</v>
      </c>
      <c r="Q870" s="4">
        <f t="shared" si="41"/>
        <v>47</v>
      </c>
      <c r="R870" t="s">
        <v>24</v>
      </c>
    </row>
    <row r="871" spans="1:18" x14ac:dyDescent="0.3">
      <c r="A871" s="1" t="d">
        <v>2025-03-22</v>
      </c>
      <c r="B871">
        <v>45509</v>
      </c>
      <c r="C871" t="str">
        <f>VLOOKUP(Fato_Producao[[#This Row],[referencia]], Dim_Produtos!A:B,2,FALSE)</f>
        <v>lascas bacalhau</v>
      </c>
      <c r="D871">
        <v>2939</v>
      </c>
      <c r="E871">
        <v>2835</v>
      </c>
      <c r="F871" s="5">
        <v>3.5400000000000001E-2</v>
      </c>
      <c r="G871" s="6">
        <v>29.12</v>
      </c>
      <c r="H871">
        <v>7</v>
      </c>
      <c r="I871">
        <v>95</v>
      </c>
      <c r="J871">
        <v>2</v>
      </c>
      <c r="K871">
        <f>Fato_Producao[[#This Row],[embalagens_danificadas]]+Fato_Producao[[#This Row],[peso_errado]]+Fato_Producao[[#This Row],[impressao]]</f>
        <v>104</v>
      </c>
      <c r="L871" s="1" t="d">
        <v>2025-03-22</v>
      </c>
      <c r="M871">
        <v>0</v>
      </c>
      <c r="N871" s="7">
        <v>3.79</v>
      </c>
      <c r="O871" s="4" t="str">
        <f t="shared" si="39"/>
        <v>março</v>
      </c>
      <c r="P871" s="4">
        <f t="shared" si="40"/>
        <v>2025</v>
      </c>
      <c r="Q871" s="4" t="str">
        <f t="shared" si="41"/>
        <v/>
      </c>
      <c r="R871" t="s">
        <v>24</v>
      </c>
    </row>
    <row r="872" spans="1:18" x14ac:dyDescent="0.3">
      <c r="A872" s="1" t="d">
        <v>2025-03-22</v>
      </c>
      <c r="B872">
        <v>45506</v>
      </c>
      <c r="C872" t="str">
        <f>VLOOKUP(Fato_Producao[[#This Row],[referencia]], Dim_Produtos!A:B,2,FALSE)</f>
        <v>perca posta</v>
      </c>
      <c r="D872">
        <v>2889</v>
      </c>
      <c r="E872">
        <v>2781</v>
      </c>
      <c r="F872" s="5">
        <v>3.7400000000000003E-2</v>
      </c>
      <c r="G872" s="6">
        <v>37.799999999999997</v>
      </c>
      <c r="H872">
        <v>5</v>
      </c>
      <c r="I872">
        <v>101</v>
      </c>
      <c r="J872">
        <v>2</v>
      </c>
      <c r="K872">
        <f>Fato_Producao[[#This Row],[embalagens_danificadas]]+Fato_Producao[[#This Row],[peso_errado]]+Fato_Producao[[#This Row],[impressao]]</f>
        <v>108</v>
      </c>
      <c r="L872" s="1" t="d">
        <v>2025-03-22</v>
      </c>
      <c r="M872">
        <v>0</v>
      </c>
      <c r="N872" s="7">
        <v>5.67</v>
      </c>
      <c r="O872" s="4" t="str">
        <f t="shared" si="39"/>
        <v>março</v>
      </c>
      <c r="P872" s="4">
        <f t="shared" si="40"/>
        <v>2025</v>
      </c>
      <c r="Q872" s="4" t="str">
        <f t="shared" si="41"/>
        <v/>
      </c>
      <c r="R872" t="s">
        <v>24</v>
      </c>
    </row>
    <row r="873" spans="1:18" x14ac:dyDescent="0.3">
      <c r="A873" s="1" t="d">
        <v>2025-03-23</v>
      </c>
      <c r="B873">
        <v>45505</v>
      </c>
      <c r="C873" t="str">
        <f>VLOOKUP(Fato_Producao[[#This Row],[referencia]], Dim_Produtos!A:B,2,FALSE)</f>
        <v>camarao</v>
      </c>
      <c r="D873">
        <v>2914</v>
      </c>
      <c r="E873">
        <v>2753</v>
      </c>
      <c r="F873" s="5">
        <v>5.5300000000000002E-2</v>
      </c>
      <c r="G873" s="6">
        <v>48.3</v>
      </c>
      <c r="H873">
        <v>36</v>
      </c>
      <c r="I873">
        <v>119</v>
      </c>
      <c r="J873">
        <v>6</v>
      </c>
      <c r="K873">
        <f>Fato_Producao[[#This Row],[embalagens_danificadas]]+Fato_Producao[[#This Row],[peso_errado]]+Fato_Producao[[#This Row],[impressao]]</f>
        <v>161</v>
      </c>
      <c r="L873" s="1" t="d">
        <v>2025-03-22</v>
      </c>
      <c r="M873">
        <v>1</v>
      </c>
      <c r="N873" s="7">
        <v>7.24</v>
      </c>
      <c r="O873" s="4" t="str">
        <f t="shared" si="39"/>
        <v>março</v>
      </c>
      <c r="P873" s="4">
        <f t="shared" si="40"/>
        <v>2025</v>
      </c>
      <c r="Q873" s="4" t="str">
        <f t="shared" si="41"/>
        <v/>
      </c>
      <c r="R873" t="s">
        <v>24</v>
      </c>
    </row>
    <row r="874" spans="1:18" x14ac:dyDescent="0.3">
      <c r="A874" s="1" t="d">
        <v>2025-03-23</v>
      </c>
      <c r="B874">
        <v>45503</v>
      </c>
      <c r="C874" t="str">
        <f>VLOOKUP(Fato_Producao[[#This Row],[referencia]], Dim_Produtos!A:B,2,FALSE)</f>
        <v>sardinha pequena</v>
      </c>
      <c r="D874">
        <v>3587</v>
      </c>
      <c r="E874">
        <v>3394</v>
      </c>
      <c r="F874" s="5">
        <v>5.3800000000000001E-2</v>
      </c>
      <c r="G874" s="6">
        <v>50.18</v>
      </c>
      <c r="H874">
        <v>10</v>
      </c>
      <c r="I874">
        <v>178</v>
      </c>
      <c r="J874">
        <v>5</v>
      </c>
      <c r="K874">
        <f>Fato_Producao[[#This Row],[embalagens_danificadas]]+Fato_Producao[[#This Row],[peso_errado]]+Fato_Producao[[#This Row],[impressao]]</f>
        <v>193</v>
      </c>
      <c r="L874" s="1" t="d">
        <v>2025-03-22</v>
      </c>
      <c r="M874">
        <v>1</v>
      </c>
      <c r="N874" s="7">
        <v>5.52</v>
      </c>
      <c r="O874" s="4" t="str">
        <f t="shared" si="39"/>
        <v>março</v>
      </c>
      <c r="P874" s="4">
        <f t="shared" si="40"/>
        <v>2025</v>
      </c>
      <c r="Q874" s="4" t="str">
        <f t="shared" si="41"/>
        <v/>
      </c>
      <c r="R874" t="s">
        <v>24</v>
      </c>
    </row>
    <row r="875" spans="1:18" x14ac:dyDescent="0.3">
      <c r="A875" s="1" t="d">
        <v>2025-03-24</v>
      </c>
      <c r="B875">
        <v>45501</v>
      </c>
      <c r="C875" t="str">
        <f>VLOOKUP(Fato_Producao[[#This Row],[referencia]], Dim_Produtos!A:B,2,FALSE)</f>
        <v>pescada posta cozer</v>
      </c>
      <c r="D875">
        <v>2989</v>
      </c>
      <c r="E875">
        <v>2852</v>
      </c>
      <c r="F875" s="5">
        <v>4.58E-2</v>
      </c>
      <c r="G875" s="6">
        <v>43.84</v>
      </c>
      <c r="H875">
        <v>3</v>
      </c>
      <c r="I875">
        <v>131</v>
      </c>
      <c r="J875">
        <v>3</v>
      </c>
      <c r="K875">
        <f>Fato_Producao[[#This Row],[embalagens_danificadas]]+Fato_Producao[[#This Row],[peso_errado]]+Fato_Producao[[#This Row],[impressao]]</f>
        <v>137</v>
      </c>
      <c r="L875" s="1" t="d">
        <v>2025-03-22</v>
      </c>
      <c r="M875">
        <v>2</v>
      </c>
      <c r="N875" s="7">
        <v>6.14</v>
      </c>
      <c r="O875" s="4" t="str">
        <f t="shared" si="39"/>
        <v>março</v>
      </c>
      <c r="P875" s="4">
        <f t="shared" si="40"/>
        <v>2025</v>
      </c>
      <c r="Q875" s="4" t="str">
        <f t="shared" si="41"/>
        <v/>
      </c>
      <c r="R875" t="s">
        <v>24</v>
      </c>
    </row>
    <row r="876" spans="1:18" x14ac:dyDescent="0.3">
      <c r="A876" s="1" t="d">
        <v>2025-03-25</v>
      </c>
      <c r="B876">
        <v>45514</v>
      </c>
      <c r="C876" t="str">
        <f>VLOOKUP(Fato_Producao[[#This Row],[referencia]], Dim_Produtos!A:B,2,FALSE)</f>
        <v>sardinha pequena</v>
      </c>
      <c r="D876">
        <v>2481</v>
      </c>
      <c r="E876">
        <v>2333</v>
      </c>
      <c r="F876" s="5">
        <v>5.9700000000000003E-2</v>
      </c>
      <c r="G876" s="6">
        <v>44.4</v>
      </c>
      <c r="H876">
        <v>7</v>
      </c>
      <c r="I876">
        <v>138</v>
      </c>
      <c r="J876">
        <v>3</v>
      </c>
      <c r="K876">
        <f>Fato_Producao[[#This Row],[embalagens_danificadas]]+Fato_Producao[[#This Row],[peso_errado]]+Fato_Producao[[#This Row],[impressao]]</f>
        <v>148</v>
      </c>
      <c r="L876" s="1" t="d">
        <v>2025-03-22</v>
      </c>
      <c r="M876">
        <v>3</v>
      </c>
      <c r="N876" s="7">
        <v>5.33</v>
      </c>
      <c r="O876" s="4" t="str">
        <f t="shared" si="39"/>
        <v>março</v>
      </c>
      <c r="P876" s="4">
        <f t="shared" si="40"/>
        <v>2025</v>
      </c>
      <c r="Q876" s="4" t="str">
        <f t="shared" si="41"/>
        <v/>
      </c>
      <c r="R876" t="s">
        <v>24</v>
      </c>
    </row>
    <row r="877" spans="1:18" x14ac:dyDescent="0.3">
      <c r="A877" s="1" t="d">
        <v>2025-03-26</v>
      </c>
      <c r="B877">
        <v>45510</v>
      </c>
      <c r="C877" t="str">
        <f>VLOOKUP(Fato_Producao[[#This Row],[referencia]], Dim_Produtos!A:B,2,FALSE)</f>
        <v>tiras pota</v>
      </c>
      <c r="D877">
        <v>3660</v>
      </c>
      <c r="E877">
        <v>3417</v>
      </c>
      <c r="F877" s="5">
        <v>6.6400000000000001E-2</v>
      </c>
      <c r="G877" s="6">
        <v>77.760000000000005</v>
      </c>
      <c r="H877">
        <v>35</v>
      </c>
      <c r="I877">
        <v>202</v>
      </c>
      <c r="J877">
        <v>6</v>
      </c>
      <c r="K877">
        <f>Fato_Producao[[#This Row],[embalagens_danificadas]]+Fato_Producao[[#This Row],[peso_errado]]+Fato_Producao[[#This Row],[impressao]]</f>
        <v>243</v>
      </c>
      <c r="L877" s="1" t="d">
        <v>2025-03-22</v>
      </c>
      <c r="M877">
        <v>4</v>
      </c>
      <c r="N877" s="7">
        <v>10.89</v>
      </c>
      <c r="O877" s="4" t="str">
        <f t="shared" si="39"/>
        <v>março</v>
      </c>
      <c r="P877" s="4">
        <f t="shared" si="40"/>
        <v>2025</v>
      </c>
      <c r="Q877" s="4" t="str">
        <f t="shared" si="41"/>
        <v/>
      </c>
      <c r="R877" t="s">
        <v>24</v>
      </c>
    </row>
    <row r="878" spans="1:18" x14ac:dyDescent="0.3">
      <c r="A878" s="1" t="d">
        <v>2025-03-26</v>
      </c>
      <c r="B878">
        <v>45507</v>
      </c>
      <c r="C878" t="str">
        <f>VLOOKUP(Fato_Producao[[#This Row],[referencia]], Dim_Produtos!A:B,2,FALSE)</f>
        <v>salmao posta</v>
      </c>
      <c r="D878">
        <v>3682</v>
      </c>
      <c r="E878">
        <v>3478</v>
      </c>
      <c r="F878" s="5">
        <v>5.5399999999999998E-2</v>
      </c>
      <c r="G878" s="6">
        <v>71.400000000000006</v>
      </c>
      <c r="H878">
        <v>8</v>
      </c>
      <c r="I878">
        <v>190</v>
      </c>
      <c r="J878">
        <v>6</v>
      </c>
      <c r="K878">
        <f>Fato_Producao[[#This Row],[embalagens_danificadas]]+Fato_Producao[[#This Row],[peso_errado]]+Fato_Producao[[#This Row],[impressao]]</f>
        <v>204</v>
      </c>
      <c r="L878" s="1" t="d">
        <v>2025-03-22</v>
      </c>
      <c r="M878">
        <v>4</v>
      </c>
      <c r="N878" s="7">
        <v>11.42</v>
      </c>
      <c r="O878" s="4" t="str">
        <f t="shared" si="39"/>
        <v>março</v>
      </c>
      <c r="P878" s="4">
        <f t="shared" si="40"/>
        <v>2025</v>
      </c>
      <c r="Q878" s="4" t="str">
        <f t="shared" si="41"/>
        <v/>
      </c>
      <c r="R878" t="s">
        <v>24</v>
      </c>
    </row>
    <row r="879" spans="1:18" x14ac:dyDescent="0.3">
      <c r="A879" s="1" t="d">
        <v>2025-03-27</v>
      </c>
      <c r="B879">
        <v>45504</v>
      </c>
      <c r="C879" t="str">
        <f>VLOOKUP(Fato_Producao[[#This Row],[referencia]], Dim_Produtos!A:B,2,FALSE)</f>
        <v>pescada posta fritar</v>
      </c>
      <c r="D879">
        <v>2270</v>
      </c>
      <c r="E879">
        <v>2181</v>
      </c>
      <c r="F879" s="5">
        <v>3.9199999999999999E-2</v>
      </c>
      <c r="G879" s="6">
        <v>28.48</v>
      </c>
      <c r="H879">
        <v>2</v>
      </c>
      <c r="I879">
        <v>85</v>
      </c>
      <c r="J879">
        <v>2</v>
      </c>
      <c r="K879">
        <f>Fato_Producao[[#This Row],[embalagens_danificadas]]+Fato_Producao[[#This Row],[peso_errado]]+Fato_Producao[[#This Row],[impressao]]</f>
        <v>89</v>
      </c>
      <c r="L879" s="1" t="d">
        <v>2025-03-22</v>
      </c>
      <c r="M879">
        <v>5</v>
      </c>
      <c r="N879" s="7">
        <v>3.99</v>
      </c>
      <c r="O879" s="4" t="str">
        <f t="shared" si="39"/>
        <v>março</v>
      </c>
      <c r="P879" s="4">
        <f t="shared" si="40"/>
        <v>2025</v>
      </c>
      <c r="Q879" s="4" t="str">
        <f t="shared" si="41"/>
        <v/>
      </c>
      <c r="R879" t="s">
        <v>24</v>
      </c>
    </row>
    <row r="880" spans="1:18" x14ac:dyDescent="0.3">
      <c r="A880" s="1" t="d">
        <v>2025-03-28</v>
      </c>
      <c r="B880">
        <v>45502</v>
      </c>
      <c r="C880" t="str">
        <f>VLOOKUP(Fato_Producao[[#This Row],[referencia]], Dim_Produtos!A:B,2,FALSE)</f>
        <v>carapau pelim</v>
      </c>
      <c r="D880">
        <v>3728</v>
      </c>
      <c r="E880">
        <v>3521</v>
      </c>
      <c r="F880" s="5">
        <v>5.5500000000000001E-2</v>
      </c>
      <c r="G880" s="6">
        <v>62.1</v>
      </c>
      <c r="H880">
        <v>60</v>
      </c>
      <c r="I880">
        <v>141</v>
      </c>
      <c r="J880">
        <v>6</v>
      </c>
      <c r="K880">
        <f>Fato_Producao[[#This Row],[embalagens_danificadas]]+Fato_Producao[[#This Row],[peso_errado]]+Fato_Producao[[#This Row],[impressao]]</f>
        <v>207</v>
      </c>
      <c r="L880" s="1" t="d">
        <v>2025-03-22</v>
      </c>
      <c r="M880">
        <v>6</v>
      </c>
      <c r="N880" s="7">
        <v>8.07</v>
      </c>
      <c r="O880" s="4" t="str">
        <f t="shared" si="39"/>
        <v>março</v>
      </c>
      <c r="P880" s="4">
        <f t="shared" si="40"/>
        <v>2025</v>
      </c>
      <c r="Q880" s="4" t="str">
        <f t="shared" si="41"/>
        <v/>
      </c>
      <c r="R880" t="s">
        <v>24</v>
      </c>
    </row>
    <row r="881" spans="1:18" x14ac:dyDescent="0.3">
      <c r="A881" s="1" t="d">
        <v>2025-03-28</v>
      </c>
      <c r="B881">
        <v>45510</v>
      </c>
      <c r="C881" t="str">
        <f>VLOOKUP(Fato_Producao[[#This Row],[referencia]], Dim_Produtos!A:B,2,FALSE)</f>
        <v>tiras pota</v>
      </c>
      <c r="D881">
        <v>3944</v>
      </c>
      <c r="E881">
        <v>3717</v>
      </c>
      <c r="F881" s="5">
        <v>5.7599999999999998E-2</v>
      </c>
      <c r="G881" s="6">
        <v>72.64</v>
      </c>
      <c r="H881">
        <v>20</v>
      </c>
      <c r="I881">
        <v>204</v>
      </c>
      <c r="J881">
        <v>3</v>
      </c>
      <c r="K881">
        <f>Fato_Producao[[#This Row],[embalagens_danificadas]]+Fato_Producao[[#This Row],[peso_errado]]+Fato_Producao[[#This Row],[impressao]]</f>
        <v>227</v>
      </c>
      <c r="L881" s="1" t="d">
        <v>2025-03-22</v>
      </c>
      <c r="M881">
        <v>6</v>
      </c>
      <c r="N881" s="7">
        <v>10.17</v>
      </c>
      <c r="O881" s="4" t="str">
        <f t="shared" si="39"/>
        <v>março</v>
      </c>
      <c r="P881" s="4">
        <f t="shared" si="40"/>
        <v>2025</v>
      </c>
      <c r="Q881" s="4" t="str">
        <f t="shared" si="41"/>
        <v/>
      </c>
      <c r="R881" t="s">
        <v>24</v>
      </c>
    </row>
    <row r="882" spans="1:18" x14ac:dyDescent="0.3">
      <c r="A882" s="1" t="d">
        <v>2025-03-29</v>
      </c>
      <c r="B882">
        <v>45505</v>
      </c>
      <c r="C882" t="str">
        <f>VLOOKUP(Fato_Producao[[#This Row],[referencia]], Dim_Produtos!A:B,2,FALSE)</f>
        <v>camarao</v>
      </c>
      <c r="D882">
        <v>1865</v>
      </c>
      <c r="E882">
        <v>1730</v>
      </c>
      <c r="F882" s="5">
        <v>7.2400000000000006E-2</v>
      </c>
      <c r="G882" s="6">
        <v>40.5</v>
      </c>
      <c r="H882">
        <v>37</v>
      </c>
      <c r="I882">
        <v>93</v>
      </c>
      <c r="J882">
        <v>5</v>
      </c>
      <c r="K882">
        <f>Fato_Producao[[#This Row],[embalagens_danificadas]]+Fato_Producao[[#This Row],[peso_errado]]+Fato_Producao[[#This Row],[impressao]]</f>
        <v>135</v>
      </c>
      <c r="L882" s="1" t="d">
        <v>2025-03-22</v>
      </c>
      <c r="M882">
        <v>7</v>
      </c>
      <c r="N882" s="7">
        <v>6.08</v>
      </c>
      <c r="O882" s="4" t="str">
        <f t="shared" si="39"/>
        <v>março</v>
      </c>
      <c r="P882" s="4">
        <f t="shared" si="40"/>
        <v>2025</v>
      </c>
      <c r="Q882" s="4" t="str">
        <f t="shared" si="41"/>
        <v/>
      </c>
      <c r="R882" t="s">
        <v>24</v>
      </c>
    </row>
    <row r="883" spans="1:18" x14ac:dyDescent="0.3">
      <c r="A883" s="1" t="d">
        <v>2025-03-29</v>
      </c>
      <c r="B883">
        <v>45508</v>
      </c>
      <c r="C883" t="str">
        <f>VLOOKUP(Fato_Producao[[#This Row],[referencia]], Dim_Produtos!A:B,2,FALSE)</f>
        <v>lula suja</v>
      </c>
      <c r="D883">
        <v>2395</v>
      </c>
      <c r="E883">
        <v>2170</v>
      </c>
      <c r="F883" s="5">
        <v>9.3899999999999997E-2</v>
      </c>
      <c r="G883" s="6">
        <v>72</v>
      </c>
      <c r="H883">
        <v>94</v>
      </c>
      <c r="I883">
        <v>32</v>
      </c>
      <c r="J883">
        <v>99</v>
      </c>
      <c r="K883">
        <f>Fato_Producao[[#This Row],[embalagens_danificadas]]+Fato_Producao[[#This Row],[peso_errado]]+Fato_Producao[[#This Row],[impressao]]</f>
        <v>225</v>
      </c>
      <c r="L883" s="1" t="d">
        <v>2025-03-22</v>
      </c>
      <c r="M883">
        <v>7</v>
      </c>
      <c r="N883" s="7">
        <v>10.08</v>
      </c>
      <c r="O883" s="4" t="str">
        <f t="shared" si="39"/>
        <v>março</v>
      </c>
      <c r="P883" s="4">
        <f t="shared" si="40"/>
        <v>2025</v>
      </c>
      <c r="Q883" s="4" t="str">
        <f t="shared" si="41"/>
        <v/>
      </c>
      <c r="R883" t="s">
        <v>50</v>
      </c>
    </row>
    <row r="884" spans="1:18" x14ac:dyDescent="0.3">
      <c r="A884" s="1" t="d">
        <v>2025-03-30</v>
      </c>
      <c r="B884">
        <v>45509</v>
      </c>
      <c r="C884" t="str">
        <f>VLOOKUP(Fato_Producao[[#This Row],[referencia]], Dim_Produtos!A:B,2,FALSE)</f>
        <v>lascas bacalhau</v>
      </c>
      <c r="D884">
        <v>2380</v>
      </c>
      <c r="E884">
        <v>2241</v>
      </c>
      <c r="F884" s="5">
        <v>5.8400000000000001E-2</v>
      </c>
      <c r="G884" s="6">
        <v>38.92</v>
      </c>
      <c r="H884">
        <v>4</v>
      </c>
      <c r="I884">
        <v>133</v>
      </c>
      <c r="J884">
        <v>2</v>
      </c>
      <c r="K884">
        <f>Fato_Producao[[#This Row],[embalagens_danificadas]]+Fato_Producao[[#This Row],[peso_errado]]+Fato_Producao[[#This Row],[impressao]]</f>
        <v>139</v>
      </c>
      <c r="L884" s="1" t="d">
        <v>2025-03-22</v>
      </c>
      <c r="M884">
        <v>8</v>
      </c>
      <c r="N884" s="7">
        <v>5.0599999999999996</v>
      </c>
      <c r="O884" s="4" t="str">
        <f t="shared" si="39"/>
        <v>março</v>
      </c>
      <c r="P884" s="4">
        <f t="shared" si="40"/>
        <v>2025</v>
      </c>
      <c r="Q884" s="4" t="str">
        <f t="shared" si="41"/>
        <v/>
      </c>
      <c r="R884" t="s">
        <v>24</v>
      </c>
    </row>
    <row r="885" spans="1:18" x14ac:dyDescent="0.3">
      <c r="A885" s="1" t="d">
        <v>2025-03-30</v>
      </c>
      <c r="B885">
        <v>45503</v>
      </c>
      <c r="C885" t="str">
        <f>VLOOKUP(Fato_Producao[[#This Row],[referencia]], Dim_Produtos!A:B,2,FALSE)</f>
        <v>sardinha pequena</v>
      </c>
      <c r="D885">
        <v>2301</v>
      </c>
      <c r="E885">
        <v>2137</v>
      </c>
      <c r="F885" s="5">
        <v>7.1300000000000002E-2</v>
      </c>
      <c r="G885" s="6">
        <v>42.64</v>
      </c>
      <c r="H885">
        <v>7</v>
      </c>
      <c r="I885">
        <v>152</v>
      </c>
      <c r="J885">
        <v>5</v>
      </c>
      <c r="K885">
        <f>Fato_Producao[[#This Row],[embalagens_danificadas]]+Fato_Producao[[#This Row],[peso_errado]]+Fato_Producao[[#This Row],[impressao]]</f>
        <v>164</v>
      </c>
      <c r="L885" s="1" t="d">
        <v>2025-03-22</v>
      </c>
      <c r="M885">
        <v>8</v>
      </c>
      <c r="N885" s="7">
        <v>4.6900000000000004</v>
      </c>
      <c r="O885" s="4" t="str">
        <f t="shared" si="39"/>
        <v>março</v>
      </c>
      <c r="P885" s="4">
        <f t="shared" si="40"/>
        <v>2025</v>
      </c>
      <c r="Q885" s="4" t="str">
        <f t="shared" si="41"/>
        <v/>
      </c>
      <c r="R885" t="s">
        <v>24</v>
      </c>
    </row>
    <row r="886" spans="1:18" x14ac:dyDescent="0.3">
      <c r="A886" s="1" t="d">
        <v>2025-03-31</v>
      </c>
      <c r="B886">
        <v>45504</v>
      </c>
      <c r="C886" t="str">
        <f>VLOOKUP(Fato_Producao[[#This Row],[referencia]], Dim_Produtos!A:B,2,FALSE)</f>
        <v>pescada posta fritar</v>
      </c>
      <c r="D886">
        <v>2805</v>
      </c>
      <c r="E886">
        <v>2628</v>
      </c>
      <c r="F886" s="5">
        <v>6.3100000000000003E-2</v>
      </c>
      <c r="G886" s="6">
        <v>56.64</v>
      </c>
      <c r="H886">
        <v>11</v>
      </c>
      <c r="I886">
        <v>164</v>
      </c>
      <c r="J886">
        <v>2</v>
      </c>
      <c r="K886">
        <f>Fato_Producao[[#This Row],[embalagens_danificadas]]+Fato_Producao[[#This Row],[peso_errado]]+Fato_Producao[[#This Row],[impressao]]</f>
        <v>177</v>
      </c>
      <c r="L886" s="1" t="d">
        <v>2025-03-22</v>
      </c>
      <c r="M886">
        <v>9</v>
      </c>
      <c r="N886" s="7">
        <v>7.93</v>
      </c>
      <c r="O886" s="4" t="str">
        <f t="shared" si="39"/>
        <v>março</v>
      </c>
      <c r="P886" s="4">
        <f t="shared" si="40"/>
        <v>2025</v>
      </c>
      <c r="Q886" s="4" t="str">
        <f t="shared" si="41"/>
        <v/>
      </c>
      <c r="R886" t="s">
        <v>24</v>
      </c>
    </row>
    <row r="887" spans="1:18" x14ac:dyDescent="0.3">
      <c r="A887" s="1" t="d">
        <v>2025-03-31</v>
      </c>
      <c r="B887">
        <v>45504</v>
      </c>
      <c r="C887" t="str">
        <f>VLOOKUP(Fato_Producao[[#This Row],[referencia]], Dim_Produtos!A:B,2,FALSE)</f>
        <v>pescada posta fritar</v>
      </c>
      <c r="D887">
        <v>3589</v>
      </c>
      <c r="E887">
        <v>3356</v>
      </c>
      <c r="F887" s="5">
        <v>6.4899999999999999E-2</v>
      </c>
      <c r="G887" s="6">
        <v>74.56</v>
      </c>
      <c r="H887">
        <v>18</v>
      </c>
      <c r="I887">
        <v>213</v>
      </c>
      <c r="J887">
        <v>2</v>
      </c>
      <c r="K887">
        <f>Fato_Producao[[#This Row],[embalagens_danificadas]]+Fato_Producao[[#This Row],[peso_errado]]+Fato_Producao[[#This Row],[impressao]]</f>
        <v>233</v>
      </c>
      <c r="L887" s="1" t="d">
        <v>2025-03-22</v>
      </c>
      <c r="M887">
        <v>9</v>
      </c>
      <c r="N887" s="7">
        <v>10.44</v>
      </c>
      <c r="O887" s="4" t="str">
        <f t="shared" si="39"/>
        <v>março</v>
      </c>
      <c r="P887" s="4">
        <f t="shared" si="40"/>
        <v>2025</v>
      </c>
      <c r="Q887" s="4" t="str">
        <f t="shared" si="41"/>
        <v/>
      </c>
      <c r="R887" t="s">
        <v>24</v>
      </c>
    </row>
    <row r="888" spans="1:18" x14ac:dyDescent="0.3">
      <c r="A888" s="1" t="d">
        <v>2025-04-01</v>
      </c>
      <c r="B888">
        <v>45514</v>
      </c>
      <c r="C888" t="str">
        <f>VLOOKUP(Fato_Producao[[#This Row],[referencia]], Dim_Produtos!A:B,2,FALSE)</f>
        <v>sardinha pequena</v>
      </c>
      <c r="D888">
        <v>2662</v>
      </c>
      <c r="E888">
        <v>2451</v>
      </c>
      <c r="F888" s="5">
        <v>7.9299999999999995E-2</v>
      </c>
      <c r="G888" s="6">
        <v>63.3</v>
      </c>
      <c r="H888">
        <v>9</v>
      </c>
      <c r="I888">
        <v>197</v>
      </c>
      <c r="J888">
        <v>5</v>
      </c>
      <c r="K888">
        <f>Fato_Producao[[#This Row],[embalagens_danificadas]]+Fato_Producao[[#This Row],[peso_errado]]+Fato_Producao[[#This Row],[impressao]]</f>
        <v>211</v>
      </c>
      <c r="L888" s="1" t="d">
        <v>2025-03-22</v>
      </c>
      <c r="M888">
        <v>10</v>
      </c>
      <c r="N888" s="7">
        <v>7.6</v>
      </c>
      <c r="O888" s="4" t="str">
        <f t="shared" si="39"/>
        <v>abril</v>
      </c>
      <c r="P888" s="4">
        <f t="shared" si="40"/>
        <v>2025</v>
      </c>
      <c r="Q888" s="4" t="str">
        <f t="shared" si="41"/>
        <v/>
      </c>
      <c r="R888" t="s">
        <v>24</v>
      </c>
    </row>
    <row r="889" spans="1:18" x14ac:dyDescent="0.3">
      <c r="A889" s="1" t="d">
        <v>2025-04-02</v>
      </c>
      <c r="B889">
        <v>45508</v>
      </c>
      <c r="C889" t="str">
        <f>VLOOKUP(Fato_Producao[[#This Row],[referencia]], Dim_Produtos!A:B,2,FALSE)</f>
        <v>lula suja</v>
      </c>
      <c r="D889">
        <v>3730</v>
      </c>
      <c r="E889">
        <v>3417</v>
      </c>
      <c r="F889" s="5">
        <v>8.3900000000000002E-2</v>
      </c>
      <c r="G889" s="6">
        <v>100.16</v>
      </c>
      <c r="H889">
        <v>35</v>
      </c>
      <c r="I889">
        <v>271</v>
      </c>
      <c r="J889">
        <v>7</v>
      </c>
      <c r="K889">
        <f>Fato_Producao[[#This Row],[embalagens_danificadas]]+Fato_Producao[[#This Row],[peso_errado]]+Fato_Producao[[#This Row],[impressao]]</f>
        <v>313</v>
      </c>
      <c r="L889" s="1" t="d">
        <v>2025-03-22</v>
      </c>
      <c r="M889">
        <v>11</v>
      </c>
      <c r="N889" s="7">
        <v>14.02</v>
      </c>
      <c r="O889" s="4" t="str">
        <f t="shared" si="39"/>
        <v>abril</v>
      </c>
      <c r="P889" s="4">
        <f t="shared" si="40"/>
        <v>2025</v>
      </c>
      <c r="Q889" s="4" t="str">
        <f t="shared" si="41"/>
        <v/>
      </c>
      <c r="R889" t="s">
        <v>24</v>
      </c>
    </row>
    <row r="890" spans="1:18" x14ac:dyDescent="0.3">
      <c r="A890" s="1" t="d">
        <v>2025-04-03</v>
      </c>
      <c r="B890">
        <v>45507</v>
      </c>
      <c r="C890" t="str">
        <f>VLOOKUP(Fato_Producao[[#This Row],[referencia]], Dim_Produtos!A:B,2,FALSE)</f>
        <v>salmao posta</v>
      </c>
      <c r="D890">
        <v>2170</v>
      </c>
      <c r="E890">
        <v>2062</v>
      </c>
      <c r="F890" s="5">
        <v>4.9799999999999997E-2</v>
      </c>
      <c r="G890" s="6">
        <v>37.799999999999997</v>
      </c>
      <c r="H890">
        <v>5</v>
      </c>
      <c r="I890">
        <v>101</v>
      </c>
      <c r="J890">
        <v>2</v>
      </c>
      <c r="K890">
        <f>Fato_Producao[[#This Row],[embalagens_danificadas]]+Fato_Producao[[#This Row],[peso_errado]]+Fato_Producao[[#This Row],[impressao]]</f>
        <v>108</v>
      </c>
      <c r="L890" s="1" t="d">
        <v>2025-03-22</v>
      </c>
      <c r="M890">
        <v>12</v>
      </c>
      <c r="N890" s="7">
        <v>6.05</v>
      </c>
      <c r="O890" s="4" t="str">
        <f t="shared" si="39"/>
        <v>abril</v>
      </c>
      <c r="P890" s="4">
        <f t="shared" si="40"/>
        <v>2025</v>
      </c>
      <c r="Q890" s="4" t="str">
        <f t="shared" si="41"/>
        <v/>
      </c>
      <c r="R890" t="s">
        <v>24</v>
      </c>
    </row>
    <row r="891" spans="1:18" x14ac:dyDescent="0.3">
      <c r="A891" s="1" t="d">
        <v>2025-04-04</v>
      </c>
      <c r="B891">
        <v>45512</v>
      </c>
      <c r="C891" t="str">
        <f>VLOOKUP(Fato_Producao[[#This Row],[referencia]], Dim_Produtos!A:B,2,FALSE)</f>
        <v>red-fish posta</v>
      </c>
      <c r="D891">
        <v>3489</v>
      </c>
      <c r="E891">
        <v>3302</v>
      </c>
      <c r="F891" s="5">
        <v>5.3600000000000002E-2</v>
      </c>
      <c r="G891" s="6">
        <v>63.58</v>
      </c>
      <c r="H891">
        <v>5</v>
      </c>
      <c r="I891">
        <v>177</v>
      </c>
      <c r="J891">
        <v>5</v>
      </c>
      <c r="K891">
        <f>Fato_Producao[[#This Row],[embalagens_danificadas]]+Fato_Producao[[#This Row],[peso_errado]]+Fato_Producao[[#This Row],[impressao]]</f>
        <v>187</v>
      </c>
      <c r="L891" s="1" t="d">
        <v>2025-03-22</v>
      </c>
      <c r="M891">
        <v>13</v>
      </c>
      <c r="N891" s="7">
        <v>8.9</v>
      </c>
      <c r="O891" s="4" t="str">
        <f t="shared" si="39"/>
        <v>abril</v>
      </c>
      <c r="P891" s="4">
        <f t="shared" si="40"/>
        <v>2025</v>
      </c>
      <c r="Q891" s="4" t="str">
        <f t="shared" si="41"/>
        <v/>
      </c>
      <c r="R891" t="s">
        <v>24</v>
      </c>
    </row>
    <row r="892" spans="1:18" x14ac:dyDescent="0.3">
      <c r="A892" s="1" t="d">
        <v>2025-04-04</v>
      </c>
      <c r="B892">
        <v>45512</v>
      </c>
      <c r="C892" t="str">
        <f>VLOOKUP(Fato_Producao[[#This Row],[referencia]], Dim_Produtos!A:B,2,FALSE)</f>
        <v>red-fish posta</v>
      </c>
      <c r="D892">
        <v>2348</v>
      </c>
      <c r="E892">
        <v>2221</v>
      </c>
      <c r="F892" s="5">
        <v>5.4100000000000002E-2</v>
      </c>
      <c r="G892" s="6">
        <v>43.18</v>
      </c>
      <c r="H892">
        <v>10</v>
      </c>
      <c r="I892">
        <v>116</v>
      </c>
      <c r="J892">
        <v>1</v>
      </c>
      <c r="K892">
        <f>Fato_Producao[[#This Row],[embalagens_danificadas]]+Fato_Producao[[#This Row],[peso_errado]]+Fato_Producao[[#This Row],[impressao]]</f>
        <v>127</v>
      </c>
      <c r="L892" s="1" t="d">
        <v>2025-03-22</v>
      </c>
      <c r="M892">
        <v>13</v>
      </c>
      <c r="N892" s="7">
        <v>6.05</v>
      </c>
      <c r="O892" s="4" t="str">
        <f t="shared" si="39"/>
        <v>abril</v>
      </c>
      <c r="P892" s="4">
        <f t="shared" si="40"/>
        <v>2025</v>
      </c>
      <c r="Q892" s="4" t="str">
        <f t="shared" si="41"/>
        <v/>
      </c>
      <c r="R892" t="s">
        <v>24</v>
      </c>
    </row>
    <row r="893" spans="1:18" x14ac:dyDescent="0.3">
      <c r="A893" s="1" t="d">
        <v>2025-04-05</v>
      </c>
      <c r="B893">
        <v>45513</v>
      </c>
      <c r="C893" t="str">
        <f>VLOOKUP(Fato_Producao[[#This Row],[referencia]], Dim_Produtos!A:B,2,FALSE)</f>
        <v>filete pescada</v>
      </c>
      <c r="D893">
        <v>2172</v>
      </c>
      <c r="E893">
        <v>2069</v>
      </c>
      <c r="F893" s="5">
        <v>4.7399999999999998E-2</v>
      </c>
      <c r="G893" s="6">
        <v>32.96</v>
      </c>
      <c r="H893">
        <v>5</v>
      </c>
      <c r="I893">
        <v>96</v>
      </c>
      <c r="J893">
        <v>2</v>
      </c>
      <c r="K893">
        <f>Fato_Producao[[#This Row],[embalagens_danificadas]]+Fato_Producao[[#This Row],[peso_errado]]+Fato_Producao[[#This Row],[impressao]]</f>
        <v>103</v>
      </c>
      <c r="L893" s="1" t="d">
        <v>2025-03-22</v>
      </c>
      <c r="M893">
        <v>14</v>
      </c>
      <c r="N893" s="7">
        <v>4.28</v>
      </c>
      <c r="O893" s="4" t="str">
        <f t="shared" si="39"/>
        <v>abril</v>
      </c>
      <c r="P893" s="4">
        <f t="shared" si="40"/>
        <v>2025</v>
      </c>
      <c r="Q893" s="4" t="str">
        <f t="shared" si="41"/>
        <v/>
      </c>
      <c r="R893" t="s">
        <v>24</v>
      </c>
    </row>
    <row r="894" spans="1:18" x14ac:dyDescent="0.3">
      <c r="A894" s="1" t="d">
        <v>2025-04-05</v>
      </c>
      <c r="B894">
        <v>45507</v>
      </c>
      <c r="C894" t="str">
        <f>VLOOKUP(Fato_Producao[[#This Row],[referencia]], Dim_Produtos!A:B,2,FALSE)</f>
        <v>salmao posta</v>
      </c>
      <c r="D894">
        <v>3796</v>
      </c>
      <c r="E894">
        <v>3547</v>
      </c>
      <c r="F894" s="5">
        <v>6.5600000000000006E-2</v>
      </c>
      <c r="G894" s="6">
        <v>87.15</v>
      </c>
      <c r="H894">
        <v>10</v>
      </c>
      <c r="I894">
        <v>235</v>
      </c>
      <c r="J894">
        <v>4</v>
      </c>
      <c r="K894">
        <f>Fato_Producao[[#This Row],[embalagens_danificadas]]+Fato_Producao[[#This Row],[peso_errado]]+Fato_Producao[[#This Row],[impressao]]</f>
        <v>249</v>
      </c>
      <c r="L894" s="1" t="d">
        <v>2025-03-22</v>
      </c>
      <c r="M894">
        <v>14</v>
      </c>
      <c r="N894" s="7">
        <v>13.94</v>
      </c>
      <c r="O894" s="4" t="str">
        <f t="shared" si="39"/>
        <v>abril</v>
      </c>
      <c r="P894" s="4">
        <f t="shared" si="40"/>
        <v>2025</v>
      </c>
      <c r="Q894" s="4" t="str">
        <f t="shared" si="41"/>
        <v/>
      </c>
      <c r="R894" t="s">
        <v>24</v>
      </c>
    </row>
    <row r="895" spans="1:18" x14ac:dyDescent="0.3">
      <c r="A895" s="1" t="d">
        <v>2025-04-06</v>
      </c>
      <c r="B895">
        <v>45510</v>
      </c>
      <c r="C895" t="str">
        <f>VLOOKUP(Fato_Producao[[#This Row],[referencia]], Dim_Produtos!A:B,2,FALSE)</f>
        <v>tiras pota</v>
      </c>
      <c r="D895">
        <v>2881</v>
      </c>
      <c r="E895">
        <v>2604</v>
      </c>
      <c r="F895" s="5">
        <v>9.6100000000000005E-2</v>
      </c>
      <c r="G895" s="6">
        <v>88.64</v>
      </c>
      <c r="H895">
        <v>35</v>
      </c>
      <c r="I895">
        <v>234</v>
      </c>
      <c r="J895">
        <v>8</v>
      </c>
      <c r="K895">
        <f>Fato_Producao[[#This Row],[embalagens_danificadas]]+Fato_Producao[[#This Row],[peso_errado]]+Fato_Producao[[#This Row],[impressao]]</f>
        <v>277</v>
      </c>
      <c r="L895" s="1" t="d">
        <v>2025-03-22</v>
      </c>
      <c r="M895">
        <v>15</v>
      </c>
      <c r="N895" s="7">
        <v>12.41</v>
      </c>
      <c r="O895" s="4" t="str">
        <f t="shared" si="39"/>
        <v>abril</v>
      </c>
      <c r="P895" s="4">
        <f t="shared" si="40"/>
        <v>2025</v>
      </c>
      <c r="Q895" s="4" t="str">
        <f t="shared" si="41"/>
        <v/>
      </c>
      <c r="R895" t="s">
        <v>24</v>
      </c>
    </row>
    <row r="896" spans="1:18" x14ac:dyDescent="0.3">
      <c r="A896" s="1" t="d">
        <v>2025-04-07</v>
      </c>
      <c r="B896">
        <v>45509</v>
      </c>
      <c r="C896" t="str">
        <f>VLOOKUP(Fato_Producao[[#This Row],[referencia]], Dim_Produtos!A:B,2,FALSE)</f>
        <v>lascas bacalhau</v>
      </c>
      <c r="D896">
        <v>2747</v>
      </c>
      <c r="E896">
        <v>2600</v>
      </c>
      <c r="F896" s="5">
        <v>5.3499999999999999E-2</v>
      </c>
      <c r="G896" s="6">
        <v>41.16</v>
      </c>
      <c r="H896">
        <v>7</v>
      </c>
      <c r="I896">
        <v>136</v>
      </c>
      <c r="J896">
        <v>4</v>
      </c>
      <c r="K896">
        <f>Fato_Producao[[#This Row],[embalagens_danificadas]]+Fato_Producao[[#This Row],[peso_errado]]+Fato_Producao[[#This Row],[impressao]]</f>
        <v>147</v>
      </c>
      <c r="L896" s="1" t="d">
        <v>2025-03-22</v>
      </c>
      <c r="M896">
        <v>16</v>
      </c>
      <c r="N896" s="7">
        <v>5.35</v>
      </c>
      <c r="O896" s="4" t="str">
        <f t="shared" si="39"/>
        <v>abril</v>
      </c>
      <c r="P896" s="4">
        <f t="shared" si="40"/>
        <v>2025</v>
      </c>
      <c r="Q896" s="4" t="str">
        <f t="shared" si="41"/>
        <v/>
      </c>
      <c r="R896" t="s">
        <v>24</v>
      </c>
    </row>
    <row r="897" spans="1:18" x14ac:dyDescent="0.3">
      <c r="A897" s="1" t="d">
        <v>2025-04-07</v>
      </c>
      <c r="B897">
        <v>45509</v>
      </c>
      <c r="C897" t="str">
        <f>VLOOKUP(Fato_Producao[[#This Row],[referencia]], Dim_Produtos!A:B,2,FALSE)</f>
        <v>lascas bacalhau</v>
      </c>
      <c r="D897">
        <v>2905</v>
      </c>
      <c r="E897">
        <v>2747</v>
      </c>
      <c r="F897" s="5">
        <v>5.4399999999999997E-2</v>
      </c>
      <c r="G897" s="6">
        <v>44.24</v>
      </c>
      <c r="H897">
        <v>10</v>
      </c>
      <c r="I897">
        <v>144</v>
      </c>
      <c r="J897">
        <v>4</v>
      </c>
      <c r="K897">
        <f>Fato_Producao[[#This Row],[embalagens_danificadas]]+Fato_Producao[[#This Row],[peso_errado]]+Fato_Producao[[#This Row],[impressao]]</f>
        <v>158</v>
      </c>
      <c r="L897" s="1" t="d">
        <v>2025-03-22</v>
      </c>
      <c r="M897">
        <v>16</v>
      </c>
      <c r="N897" s="7">
        <v>5.75</v>
      </c>
      <c r="O897" s="4" t="str">
        <f t="shared" si="39"/>
        <v>abril</v>
      </c>
      <c r="P897" s="4">
        <f t="shared" si="40"/>
        <v>2025</v>
      </c>
      <c r="Q897" s="4" t="str">
        <f t="shared" si="41"/>
        <v/>
      </c>
      <c r="R897" t="s">
        <v>24</v>
      </c>
    </row>
    <row r="898" spans="1:18" x14ac:dyDescent="0.3">
      <c r="A898" s="1" t="d">
        <v>2025-04-08</v>
      </c>
      <c r="B898">
        <v>45503</v>
      </c>
      <c r="C898" t="str">
        <f>VLOOKUP(Fato_Producao[[#This Row],[referencia]], Dim_Produtos!A:B,2,FALSE)</f>
        <v>sardinha pequena</v>
      </c>
      <c r="D898">
        <v>3720</v>
      </c>
      <c r="E898">
        <v>3447</v>
      </c>
      <c r="F898" s="5">
        <v>7.3400000000000007E-2</v>
      </c>
      <c r="G898" s="6">
        <v>70.98</v>
      </c>
      <c r="H898">
        <v>16</v>
      </c>
      <c r="I898">
        <v>251</v>
      </c>
      <c r="J898">
        <v>6</v>
      </c>
      <c r="K898">
        <f>Fato_Producao[[#This Row],[embalagens_danificadas]]+Fato_Producao[[#This Row],[peso_errado]]+Fato_Producao[[#This Row],[impressao]]</f>
        <v>273</v>
      </c>
      <c r="L898" s="1" t="d">
        <v>2025-03-22</v>
      </c>
      <c r="M898">
        <v>17</v>
      </c>
      <c r="N898" s="7">
        <v>7.81</v>
      </c>
      <c r="O898" s="4" t="str">
        <f t="shared" ref="O898:O961" si="42">TEXT(A898, "mmmm")</f>
        <v>abril</v>
      </c>
      <c r="P898" s="4">
        <f t="shared" ref="P898:P961" si="43">YEAR(A898)</f>
        <v>2025</v>
      </c>
      <c r="Q898" s="4" t="str">
        <f t="shared" ref="Q898:Q961" si="44">IF(M899 &gt;= M898, "", M898)</f>
        <v/>
      </c>
      <c r="R898" t="s">
        <v>24</v>
      </c>
    </row>
    <row r="899" spans="1:18" x14ac:dyDescent="0.3">
      <c r="A899" s="1" t="d">
        <v>2025-04-08</v>
      </c>
      <c r="B899">
        <v>45512</v>
      </c>
      <c r="C899" t="str">
        <f>VLOOKUP(Fato_Producao[[#This Row],[referencia]], Dim_Produtos!A:B,2,FALSE)</f>
        <v>red-fish posta</v>
      </c>
      <c r="D899">
        <v>3281</v>
      </c>
      <c r="E899">
        <v>3118</v>
      </c>
      <c r="F899" s="5">
        <v>4.9700000000000001E-2</v>
      </c>
      <c r="G899" s="6">
        <v>55.42</v>
      </c>
      <c r="H899">
        <v>6</v>
      </c>
      <c r="I899">
        <v>152</v>
      </c>
      <c r="J899">
        <v>5</v>
      </c>
      <c r="K899">
        <f>Fato_Producao[[#This Row],[embalagens_danificadas]]+Fato_Producao[[#This Row],[peso_errado]]+Fato_Producao[[#This Row],[impressao]]</f>
        <v>163</v>
      </c>
      <c r="L899" s="1" t="d">
        <v>2025-03-22</v>
      </c>
      <c r="M899">
        <v>17</v>
      </c>
      <c r="N899" s="7">
        <v>7.76</v>
      </c>
      <c r="O899" s="4" t="str">
        <f t="shared" si="42"/>
        <v>abril</v>
      </c>
      <c r="P899" s="4">
        <f t="shared" si="43"/>
        <v>2025</v>
      </c>
      <c r="Q899" s="4" t="str">
        <f t="shared" si="44"/>
        <v/>
      </c>
      <c r="R899" t="s">
        <v>24</v>
      </c>
    </row>
    <row r="900" spans="1:18" x14ac:dyDescent="0.3">
      <c r="A900" s="1" t="d">
        <v>2025-04-09</v>
      </c>
      <c r="B900">
        <v>45500</v>
      </c>
      <c r="C900" t="str">
        <f>VLOOKUP(Fato_Producao[[#This Row],[referencia]], Dim_Produtos!A:B,2,FALSE)</f>
        <v>filete pescada</v>
      </c>
      <c r="D900">
        <v>4090</v>
      </c>
      <c r="E900">
        <v>3910</v>
      </c>
      <c r="F900" s="5">
        <v>4.3999999999999997E-2</v>
      </c>
      <c r="G900" s="6">
        <v>50.4</v>
      </c>
      <c r="H900">
        <v>6</v>
      </c>
      <c r="I900">
        <v>169</v>
      </c>
      <c r="J900">
        <v>5</v>
      </c>
      <c r="K900">
        <f>Fato_Producao[[#This Row],[embalagens_danificadas]]+Fato_Producao[[#This Row],[peso_errado]]+Fato_Producao[[#This Row],[impressao]]</f>
        <v>180</v>
      </c>
      <c r="L900" s="1" t="d">
        <v>2025-03-22</v>
      </c>
      <c r="M900">
        <v>18</v>
      </c>
      <c r="N900" s="7">
        <v>6.05</v>
      </c>
      <c r="O900" s="4" t="str">
        <f t="shared" si="42"/>
        <v>abril</v>
      </c>
      <c r="P900" s="4">
        <f t="shared" si="43"/>
        <v>2025</v>
      </c>
      <c r="Q900" s="4" t="str">
        <f t="shared" si="44"/>
        <v/>
      </c>
      <c r="R900" t="s">
        <v>24</v>
      </c>
    </row>
    <row r="901" spans="1:18" x14ac:dyDescent="0.3">
      <c r="A901" s="1" t="d">
        <v>2025-04-10</v>
      </c>
      <c r="B901">
        <v>45510</v>
      </c>
      <c r="C901" t="str">
        <f>VLOOKUP(Fato_Producao[[#This Row],[referencia]], Dim_Produtos!A:B,2,FALSE)</f>
        <v>tiras pota</v>
      </c>
      <c r="D901">
        <v>3660</v>
      </c>
      <c r="E901">
        <v>3381</v>
      </c>
      <c r="F901" s="5">
        <v>7.6200000000000004E-2</v>
      </c>
      <c r="G901" s="6">
        <v>89.28</v>
      </c>
      <c r="H901">
        <v>42</v>
      </c>
      <c r="I901">
        <v>233</v>
      </c>
      <c r="J901">
        <v>4</v>
      </c>
      <c r="K901">
        <f>Fato_Producao[[#This Row],[embalagens_danificadas]]+Fato_Producao[[#This Row],[peso_errado]]+Fato_Producao[[#This Row],[impressao]]</f>
        <v>279</v>
      </c>
      <c r="L901" s="1" t="d">
        <v>2025-03-22</v>
      </c>
      <c r="M901">
        <v>19</v>
      </c>
      <c r="N901" s="7">
        <v>12.5</v>
      </c>
      <c r="O901" s="4" t="str">
        <f t="shared" si="42"/>
        <v>abril</v>
      </c>
      <c r="P901" s="4">
        <f t="shared" si="43"/>
        <v>2025</v>
      </c>
      <c r="Q901" s="4" t="str">
        <f t="shared" si="44"/>
        <v/>
      </c>
      <c r="R901" t="s">
        <v>24</v>
      </c>
    </row>
    <row r="902" spans="1:18" x14ac:dyDescent="0.3">
      <c r="A902" s="1" t="d">
        <v>2025-04-11</v>
      </c>
      <c r="B902">
        <v>45509</v>
      </c>
      <c r="C902" t="str">
        <f>VLOOKUP(Fato_Producao[[#This Row],[referencia]], Dim_Produtos!A:B,2,FALSE)</f>
        <v>lascas bacalhau</v>
      </c>
      <c r="D902">
        <v>4025</v>
      </c>
      <c r="E902">
        <v>3808</v>
      </c>
      <c r="F902" s="5">
        <v>5.3900000000000003E-2</v>
      </c>
      <c r="G902" s="6">
        <v>60.76</v>
      </c>
      <c r="H902">
        <v>11</v>
      </c>
      <c r="I902">
        <v>200</v>
      </c>
      <c r="J902">
        <v>6</v>
      </c>
      <c r="K902">
        <f>Fato_Producao[[#This Row],[embalagens_danificadas]]+Fato_Producao[[#This Row],[peso_errado]]+Fato_Producao[[#This Row],[impressao]]</f>
        <v>217</v>
      </c>
      <c r="L902" s="1" t="d">
        <v>2025-03-22</v>
      </c>
      <c r="M902">
        <v>20</v>
      </c>
      <c r="N902" s="7">
        <v>7.9</v>
      </c>
      <c r="O902" s="4" t="str">
        <f t="shared" si="42"/>
        <v>abril</v>
      </c>
      <c r="P902" s="4">
        <f t="shared" si="43"/>
        <v>2025</v>
      </c>
      <c r="Q902" s="4" t="str">
        <f t="shared" si="44"/>
        <v/>
      </c>
      <c r="R902" t="s">
        <v>24</v>
      </c>
    </row>
    <row r="903" spans="1:18" x14ac:dyDescent="0.3">
      <c r="A903" s="1" t="d">
        <v>2025-04-12</v>
      </c>
      <c r="B903">
        <v>45514</v>
      </c>
      <c r="C903" t="str">
        <f>VLOOKUP(Fato_Producao[[#This Row],[referencia]], Dim_Produtos!A:B,2,FALSE)</f>
        <v>sardinha pequena</v>
      </c>
      <c r="D903">
        <v>2800</v>
      </c>
      <c r="E903">
        <v>2571</v>
      </c>
      <c r="F903" s="5">
        <v>8.1799999999999998E-2</v>
      </c>
      <c r="G903" s="6">
        <v>68.7</v>
      </c>
      <c r="H903">
        <v>13</v>
      </c>
      <c r="I903">
        <v>211</v>
      </c>
      <c r="J903">
        <v>5</v>
      </c>
      <c r="K903">
        <f>Fato_Producao[[#This Row],[embalagens_danificadas]]+Fato_Producao[[#This Row],[peso_errado]]+Fato_Producao[[#This Row],[impressao]]</f>
        <v>229</v>
      </c>
      <c r="L903" s="1" t="d">
        <v>2025-03-22</v>
      </c>
      <c r="M903">
        <v>21</v>
      </c>
      <c r="N903" s="7">
        <v>8.24</v>
      </c>
      <c r="O903" s="4" t="str">
        <f t="shared" si="42"/>
        <v>abril</v>
      </c>
      <c r="P903" s="4">
        <f t="shared" si="43"/>
        <v>2025</v>
      </c>
      <c r="Q903" s="4" t="str">
        <f t="shared" si="44"/>
        <v/>
      </c>
      <c r="R903" t="s">
        <v>24</v>
      </c>
    </row>
    <row r="904" spans="1:18" x14ac:dyDescent="0.3">
      <c r="A904" s="1" t="d">
        <v>2025-04-13</v>
      </c>
      <c r="B904">
        <v>45511</v>
      </c>
      <c r="C904" t="str">
        <f>VLOOKUP(Fato_Producao[[#This Row],[referencia]], Dim_Produtos!A:B,2,FALSE)</f>
        <v>lula limpa</v>
      </c>
      <c r="D904">
        <v>3156</v>
      </c>
      <c r="E904">
        <v>2922</v>
      </c>
      <c r="F904" s="5">
        <v>7.4099999999999999E-2</v>
      </c>
      <c r="G904" s="6">
        <v>74.88</v>
      </c>
      <c r="H904">
        <v>20</v>
      </c>
      <c r="I904">
        <v>211</v>
      </c>
      <c r="J904">
        <v>3</v>
      </c>
      <c r="K904">
        <f>Fato_Producao[[#This Row],[embalagens_danificadas]]+Fato_Producao[[#This Row],[peso_errado]]+Fato_Producao[[#This Row],[impressao]]</f>
        <v>234</v>
      </c>
      <c r="L904" s="1" t="d">
        <v>2025-03-22</v>
      </c>
      <c r="M904">
        <v>22</v>
      </c>
      <c r="N904" s="7">
        <v>10.48</v>
      </c>
      <c r="O904" s="4" t="str">
        <f t="shared" si="42"/>
        <v>abril</v>
      </c>
      <c r="P904" s="4">
        <f t="shared" si="43"/>
        <v>2025</v>
      </c>
      <c r="Q904" s="4" t="str">
        <f t="shared" si="44"/>
        <v/>
      </c>
      <c r="R904" t="s">
        <v>24</v>
      </c>
    </row>
    <row r="905" spans="1:18" x14ac:dyDescent="0.3">
      <c r="A905" s="1" t="d">
        <v>2025-04-13</v>
      </c>
      <c r="B905">
        <v>45508</v>
      </c>
      <c r="C905" t="str">
        <f>VLOOKUP(Fato_Producao[[#This Row],[referencia]], Dim_Produtos!A:B,2,FALSE)</f>
        <v>lula suja</v>
      </c>
      <c r="D905">
        <v>3415</v>
      </c>
      <c r="E905">
        <v>3116</v>
      </c>
      <c r="F905" s="5">
        <v>8.7599999999999997E-2</v>
      </c>
      <c r="G905" s="6">
        <v>95.68</v>
      </c>
      <c r="H905">
        <v>40</v>
      </c>
      <c r="I905">
        <v>255</v>
      </c>
      <c r="J905">
        <v>4</v>
      </c>
      <c r="K905">
        <f>Fato_Producao[[#This Row],[embalagens_danificadas]]+Fato_Producao[[#This Row],[peso_errado]]+Fato_Producao[[#This Row],[impressao]]</f>
        <v>299</v>
      </c>
      <c r="L905" s="1" t="d">
        <v>2025-03-22</v>
      </c>
      <c r="M905">
        <v>22</v>
      </c>
      <c r="N905" s="7">
        <v>13.4</v>
      </c>
      <c r="O905" s="4" t="str">
        <f t="shared" si="42"/>
        <v>abril</v>
      </c>
      <c r="P905" s="4">
        <f t="shared" si="43"/>
        <v>2025</v>
      </c>
      <c r="Q905" s="4" t="str">
        <f t="shared" si="44"/>
        <v/>
      </c>
      <c r="R905" t="s">
        <v>24</v>
      </c>
    </row>
    <row r="906" spans="1:18" x14ac:dyDescent="0.3">
      <c r="A906" s="1" t="d">
        <v>2025-04-14</v>
      </c>
      <c r="B906">
        <v>45510</v>
      </c>
      <c r="C906" t="str">
        <f>VLOOKUP(Fato_Producao[[#This Row],[referencia]], Dim_Produtos!A:B,2,FALSE)</f>
        <v>tiras pota</v>
      </c>
      <c r="D906">
        <v>2932</v>
      </c>
      <c r="E906">
        <v>2700</v>
      </c>
      <c r="F906" s="5">
        <v>7.9100000000000004E-2</v>
      </c>
      <c r="G906" s="6">
        <v>74.239999999999995</v>
      </c>
      <c r="H906">
        <v>28</v>
      </c>
      <c r="I906">
        <v>199</v>
      </c>
      <c r="J906">
        <v>5</v>
      </c>
      <c r="K906">
        <f>Fato_Producao[[#This Row],[embalagens_danificadas]]+Fato_Producao[[#This Row],[peso_errado]]+Fato_Producao[[#This Row],[impressao]]</f>
        <v>232</v>
      </c>
      <c r="L906" s="1" t="d">
        <v>2025-03-22</v>
      </c>
      <c r="M906">
        <v>23</v>
      </c>
      <c r="N906" s="7">
        <v>10.39</v>
      </c>
      <c r="O906" s="4" t="str">
        <f t="shared" si="42"/>
        <v>abril</v>
      </c>
      <c r="P906" s="4">
        <f t="shared" si="43"/>
        <v>2025</v>
      </c>
      <c r="Q906" s="4" t="str">
        <f t="shared" si="44"/>
        <v/>
      </c>
      <c r="R906" t="s">
        <v>24</v>
      </c>
    </row>
    <row r="907" spans="1:18" x14ac:dyDescent="0.3">
      <c r="A907" s="1" t="d">
        <v>2025-04-15</v>
      </c>
      <c r="B907">
        <v>45506</v>
      </c>
      <c r="C907" t="str">
        <f>VLOOKUP(Fato_Producao[[#This Row],[referencia]], Dim_Produtos!A:B,2,FALSE)</f>
        <v>perca posta</v>
      </c>
      <c r="D907">
        <v>3382</v>
      </c>
      <c r="E907">
        <v>3136</v>
      </c>
      <c r="F907" s="5">
        <v>7.2700000000000001E-2</v>
      </c>
      <c r="G907" s="6">
        <v>86.1</v>
      </c>
      <c r="H907">
        <v>17</v>
      </c>
      <c r="I907">
        <v>224</v>
      </c>
      <c r="J907">
        <v>5</v>
      </c>
      <c r="K907">
        <f>Fato_Producao[[#This Row],[embalagens_danificadas]]+Fato_Producao[[#This Row],[peso_errado]]+Fato_Producao[[#This Row],[impressao]]</f>
        <v>246</v>
      </c>
      <c r="L907" s="1" t="d">
        <v>2025-03-22</v>
      </c>
      <c r="M907">
        <v>24</v>
      </c>
      <c r="N907" s="7">
        <v>12.91</v>
      </c>
      <c r="O907" s="4" t="str">
        <f t="shared" si="42"/>
        <v>abril</v>
      </c>
      <c r="P907" s="4">
        <f t="shared" si="43"/>
        <v>2025</v>
      </c>
      <c r="Q907" s="4" t="str">
        <f t="shared" si="44"/>
        <v/>
      </c>
      <c r="R907" t="s">
        <v>24</v>
      </c>
    </row>
    <row r="908" spans="1:18" x14ac:dyDescent="0.3">
      <c r="A908" s="1" t="d">
        <v>2025-04-15</v>
      </c>
      <c r="B908">
        <v>45511</v>
      </c>
      <c r="C908" t="str">
        <f>VLOOKUP(Fato_Producao[[#This Row],[referencia]], Dim_Produtos!A:B,2,FALSE)</f>
        <v>lula limpa</v>
      </c>
      <c r="D908">
        <v>2470</v>
      </c>
      <c r="E908">
        <v>2266</v>
      </c>
      <c r="F908" s="5">
        <v>8.2600000000000007E-2</v>
      </c>
      <c r="G908" s="6">
        <v>65.28</v>
      </c>
      <c r="H908">
        <v>19</v>
      </c>
      <c r="I908">
        <v>183</v>
      </c>
      <c r="J908">
        <v>2</v>
      </c>
      <c r="K908">
        <f>Fato_Producao[[#This Row],[embalagens_danificadas]]+Fato_Producao[[#This Row],[peso_errado]]+Fato_Producao[[#This Row],[impressao]]</f>
        <v>204</v>
      </c>
      <c r="L908" s="1" t="d">
        <v>2025-03-22</v>
      </c>
      <c r="M908">
        <v>24</v>
      </c>
      <c r="N908" s="7">
        <v>9.14</v>
      </c>
      <c r="O908" s="4" t="str">
        <f t="shared" si="42"/>
        <v>abril</v>
      </c>
      <c r="P908" s="4">
        <f t="shared" si="43"/>
        <v>2025</v>
      </c>
      <c r="Q908" s="4" t="str">
        <f t="shared" si="44"/>
        <v/>
      </c>
      <c r="R908" t="s">
        <v>24</v>
      </c>
    </row>
    <row r="909" spans="1:18" x14ac:dyDescent="0.3">
      <c r="A909" s="1" t="d">
        <v>2025-04-16</v>
      </c>
      <c r="B909">
        <v>45500</v>
      </c>
      <c r="C909" t="str">
        <f>VLOOKUP(Fato_Producao[[#This Row],[referencia]], Dim_Produtos!A:B,2,FALSE)</f>
        <v>filete pescada</v>
      </c>
      <c r="D909">
        <v>2922</v>
      </c>
      <c r="E909">
        <v>2791</v>
      </c>
      <c r="F909" s="5">
        <v>4.48E-2</v>
      </c>
      <c r="G909" s="6">
        <v>36.68</v>
      </c>
      <c r="H909">
        <v>7</v>
      </c>
      <c r="I909">
        <v>120</v>
      </c>
      <c r="J909">
        <v>4</v>
      </c>
      <c r="K909">
        <f>Fato_Producao[[#This Row],[embalagens_danificadas]]+Fato_Producao[[#This Row],[peso_errado]]+Fato_Producao[[#This Row],[impressao]]</f>
        <v>131</v>
      </c>
      <c r="L909" s="1" t="d">
        <v>2025-03-22</v>
      </c>
      <c r="M909">
        <v>25</v>
      </c>
      <c r="N909" s="7">
        <v>4.4000000000000004</v>
      </c>
      <c r="O909" s="4" t="str">
        <f t="shared" si="42"/>
        <v>abril</v>
      </c>
      <c r="P909" s="4">
        <f t="shared" si="43"/>
        <v>2025</v>
      </c>
      <c r="Q909" s="4" t="str">
        <f t="shared" si="44"/>
        <v/>
      </c>
      <c r="R909" t="s">
        <v>24</v>
      </c>
    </row>
    <row r="910" spans="1:18" x14ac:dyDescent="0.3">
      <c r="A910" s="1" t="d">
        <v>2025-04-16</v>
      </c>
      <c r="B910">
        <v>45501</v>
      </c>
      <c r="C910" t="str">
        <f>VLOOKUP(Fato_Producao[[#This Row],[referencia]], Dim_Produtos!A:B,2,FALSE)</f>
        <v>pescada posta cozer</v>
      </c>
      <c r="D910">
        <v>2554</v>
      </c>
      <c r="E910">
        <v>2360</v>
      </c>
      <c r="F910" s="5">
        <v>7.5999999999999998E-2</v>
      </c>
      <c r="G910" s="6">
        <v>62.08</v>
      </c>
      <c r="H910">
        <v>9</v>
      </c>
      <c r="I910">
        <v>181</v>
      </c>
      <c r="J910">
        <v>4</v>
      </c>
      <c r="K910">
        <f>Fato_Producao[[#This Row],[embalagens_danificadas]]+Fato_Producao[[#This Row],[peso_errado]]+Fato_Producao[[#This Row],[impressao]]</f>
        <v>194</v>
      </c>
      <c r="L910" s="1" t="d">
        <v>2025-03-22</v>
      </c>
      <c r="M910">
        <v>25</v>
      </c>
      <c r="N910" s="7">
        <v>8.69</v>
      </c>
      <c r="O910" s="4" t="str">
        <f t="shared" si="42"/>
        <v>abril</v>
      </c>
      <c r="P910" s="4">
        <f t="shared" si="43"/>
        <v>2025</v>
      </c>
      <c r="Q910" s="4" t="str">
        <f t="shared" si="44"/>
        <v/>
      </c>
      <c r="R910" t="s">
        <v>24</v>
      </c>
    </row>
    <row r="911" spans="1:18" x14ac:dyDescent="0.3">
      <c r="A911" s="1" t="d">
        <v>2025-04-17</v>
      </c>
      <c r="B911">
        <v>45511</v>
      </c>
      <c r="C911" t="str">
        <f>VLOOKUP(Fato_Producao[[#This Row],[referencia]], Dim_Produtos!A:B,2,FALSE)</f>
        <v>lula limpa</v>
      </c>
      <c r="D911">
        <v>3690</v>
      </c>
      <c r="E911">
        <v>3385</v>
      </c>
      <c r="F911" s="5">
        <v>8.2699999999999996E-2</v>
      </c>
      <c r="G911" s="6">
        <v>97.6</v>
      </c>
      <c r="H911">
        <v>26</v>
      </c>
      <c r="I911">
        <v>273</v>
      </c>
      <c r="J911">
        <v>6</v>
      </c>
      <c r="K911">
        <f>Fato_Producao[[#This Row],[embalagens_danificadas]]+Fato_Producao[[#This Row],[peso_errado]]+Fato_Producao[[#This Row],[impressao]]</f>
        <v>305</v>
      </c>
      <c r="L911" s="1" t="d">
        <v>2025-03-22</v>
      </c>
      <c r="M911">
        <v>26</v>
      </c>
      <c r="N911" s="7">
        <v>13.66</v>
      </c>
      <c r="O911" s="4" t="str">
        <f t="shared" si="42"/>
        <v>abril</v>
      </c>
      <c r="P911" s="4">
        <f t="shared" si="43"/>
        <v>2025</v>
      </c>
      <c r="Q911" s="4" t="str">
        <f t="shared" si="44"/>
        <v/>
      </c>
      <c r="R911" t="s">
        <v>24</v>
      </c>
    </row>
    <row r="912" spans="1:18" x14ac:dyDescent="0.3">
      <c r="A912" s="1" t="d">
        <v>2025-04-18</v>
      </c>
      <c r="B912">
        <v>45504</v>
      </c>
      <c r="C912" t="str">
        <f>VLOOKUP(Fato_Producao[[#This Row],[referencia]], Dim_Produtos!A:B,2,FALSE)</f>
        <v>pescada posta fritar</v>
      </c>
      <c r="D912">
        <v>2612</v>
      </c>
      <c r="E912">
        <v>2406</v>
      </c>
      <c r="F912" s="5">
        <v>7.8899999999999998E-2</v>
      </c>
      <c r="G912" s="6">
        <v>65.92</v>
      </c>
      <c r="H912">
        <v>7</v>
      </c>
      <c r="I912">
        <v>196</v>
      </c>
      <c r="J912">
        <v>3</v>
      </c>
      <c r="K912">
        <f>Fato_Producao[[#This Row],[embalagens_danificadas]]+Fato_Producao[[#This Row],[peso_errado]]+Fato_Producao[[#This Row],[impressao]]</f>
        <v>206</v>
      </c>
      <c r="L912" s="1" t="d">
        <v>2025-03-22</v>
      </c>
      <c r="M912">
        <v>27</v>
      </c>
      <c r="N912" s="7">
        <v>9.23</v>
      </c>
      <c r="O912" s="4" t="str">
        <f t="shared" si="42"/>
        <v>abril</v>
      </c>
      <c r="P912" s="4">
        <f t="shared" si="43"/>
        <v>2025</v>
      </c>
      <c r="Q912" s="4" t="str">
        <f t="shared" si="44"/>
        <v/>
      </c>
      <c r="R912" t="s">
        <v>24</v>
      </c>
    </row>
    <row r="913" spans="1:18" x14ac:dyDescent="0.3">
      <c r="A913" s="1" t="d">
        <v>2025-04-18</v>
      </c>
      <c r="B913">
        <v>45512</v>
      </c>
      <c r="C913" t="str">
        <f>VLOOKUP(Fato_Producao[[#This Row],[referencia]], Dim_Produtos!A:B,2,FALSE)</f>
        <v>red-fish posta</v>
      </c>
      <c r="D913">
        <v>2720</v>
      </c>
      <c r="E913">
        <v>2581</v>
      </c>
      <c r="F913" s="5">
        <v>5.11E-2</v>
      </c>
      <c r="G913" s="6">
        <v>47.26</v>
      </c>
      <c r="H913">
        <v>7</v>
      </c>
      <c r="I913">
        <v>131</v>
      </c>
      <c r="J913">
        <v>1</v>
      </c>
      <c r="K913">
        <f>Fato_Producao[[#This Row],[embalagens_danificadas]]+Fato_Producao[[#This Row],[peso_errado]]+Fato_Producao[[#This Row],[impressao]]</f>
        <v>139</v>
      </c>
      <c r="L913" s="1" t="d">
        <v>2025-03-22</v>
      </c>
      <c r="M913">
        <v>27</v>
      </c>
      <c r="N913" s="7">
        <v>6.62</v>
      </c>
      <c r="O913" s="4" t="str">
        <f t="shared" si="42"/>
        <v>abril</v>
      </c>
      <c r="P913" s="4">
        <f t="shared" si="43"/>
        <v>2025</v>
      </c>
      <c r="Q913" s="4" t="str">
        <f t="shared" si="44"/>
        <v/>
      </c>
      <c r="R913" t="s">
        <v>24</v>
      </c>
    </row>
    <row r="914" spans="1:18" x14ac:dyDescent="0.3">
      <c r="A914" s="1" t="d">
        <v>2025-04-19</v>
      </c>
      <c r="B914">
        <v>45501</v>
      </c>
      <c r="C914" t="str">
        <f>VLOOKUP(Fato_Producao[[#This Row],[referencia]], Dim_Produtos!A:B,2,FALSE)</f>
        <v>pescada posta cozer</v>
      </c>
      <c r="D914">
        <v>2553</v>
      </c>
      <c r="E914">
        <v>2359</v>
      </c>
      <c r="F914" s="5">
        <v>7.5999999999999998E-2</v>
      </c>
      <c r="G914" s="6">
        <v>62.08</v>
      </c>
      <c r="H914">
        <v>7</v>
      </c>
      <c r="I914">
        <v>183</v>
      </c>
      <c r="J914">
        <v>4</v>
      </c>
      <c r="K914">
        <f>Fato_Producao[[#This Row],[embalagens_danificadas]]+Fato_Producao[[#This Row],[peso_errado]]+Fato_Producao[[#This Row],[impressao]]</f>
        <v>194</v>
      </c>
      <c r="L914" s="1" t="d">
        <v>2025-03-22</v>
      </c>
      <c r="M914">
        <v>28</v>
      </c>
      <c r="N914" s="7">
        <v>8.69</v>
      </c>
      <c r="O914" s="4" t="str">
        <f t="shared" si="42"/>
        <v>abril</v>
      </c>
      <c r="P914" s="4">
        <f t="shared" si="43"/>
        <v>2025</v>
      </c>
      <c r="Q914" s="4" t="str">
        <f t="shared" si="44"/>
        <v/>
      </c>
      <c r="R914" t="s">
        <v>24</v>
      </c>
    </row>
    <row r="915" spans="1:18" x14ac:dyDescent="0.3">
      <c r="A915" s="1" t="d">
        <v>2025-04-20</v>
      </c>
      <c r="B915">
        <v>45505</v>
      </c>
      <c r="C915" t="str">
        <f>VLOOKUP(Fato_Producao[[#This Row],[referencia]], Dim_Produtos!A:B,2,FALSE)</f>
        <v>camarao</v>
      </c>
      <c r="D915">
        <v>3252</v>
      </c>
      <c r="E915">
        <v>3011</v>
      </c>
      <c r="F915" s="5">
        <v>7.4099999999999999E-2</v>
      </c>
      <c r="G915" s="6">
        <v>72.3</v>
      </c>
      <c r="H915">
        <v>74</v>
      </c>
      <c r="I915">
        <v>163</v>
      </c>
      <c r="J915">
        <v>4</v>
      </c>
      <c r="K915">
        <f>Fato_Producao[[#This Row],[embalagens_danificadas]]+Fato_Producao[[#This Row],[peso_errado]]+Fato_Producao[[#This Row],[impressao]]</f>
        <v>241</v>
      </c>
      <c r="L915" s="1" t="d">
        <v>2025-03-22</v>
      </c>
      <c r="M915">
        <v>29</v>
      </c>
      <c r="N915" s="7">
        <v>10.84</v>
      </c>
      <c r="O915" s="4" t="str">
        <f t="shared" si="42"/>
        <v>abril</v>
      </c>
      <c r="P915" s="4">
        <f t="shared" si="43"/>
        <v>2025</v>
      </c>
      <c r="Q915" s="4" t="str">
        <f t="shared" si="44"/>
        <v/>
      </c>
      <c r="R915" t="s">
        <v>24</v>
      </c>
    </row>
    <row r="916" spans="1:18" x14ac:dyDescent="0.3">
      <c r="A916" s="1" t="d">
        <v>2025-04-20</v>
      </c>
      <c r="B916">
        <v>45508</v>
      </c>
      <c r="C916" t="str">
        <f>VLOOKUP(Fato_Producao[[#This Row],[referencia]], Dim_Produtos!A:B,2,FALSE)</f>
        <v>lula suja</v>
      </c>
      <c r="D916">
        <v>2260</v>
      </c>
      <c r="E916">
        <v>2017</v>
      </c>
      <c r="F916" s="5">
        <v>0.1075</v>
      </c>
      <c r="G916" s="6">
        <v>77.760000000000005</v>
      </c>
      <c r="H916">
        <v>35</v>
      </c>
      <c r="I916">
        <v>203</v>
      </c>
      <c r="J916">
        <v>5</v>
      </c>
      <c r="K916">
        <f>Fato_Producao[[#This Row],[embalagens_danificadas]]+Fato_Producao[[#This Row],[peso_errado]]+Fato_Producao[[#This Row],[impressao]]</f>
        <v>243</v>
      </c>
      <c r="L916" s="1" t="d">
        <v>2025-03-22</v>
      </c>
      <c r="M916">
        <v>29</v>
      </c>
      <c r="N916" s="7">
        <v>10.89</v>
      </c>
      <c r="O916" s="4" t="str">
        <f t="shared" si="42"/>
        <v>abril</v>
      </c>
      <c r="P916" s="4">
        <f t="shared" si="43"/>
        <v>2025</v>
      </c>
      <c r="Q916" s="4" t="str">
        <f t="shared" si="44"/>
        <v/>
      </c>
      <c r="R916" t="s">
        <v>24</v>
      </c>
    </row>
    <row r="917" spans="1:18" x14ac:dyDescent="0.3">
      <c r="A917" s="1" t="d">
        <v>2025-04-21</v>
      </c>
      <c r="B917">
        <v>45505</v>
      </c>
      <c r="C917" t="str">
        <f>VLOOKUP(Fato_Producao[[#This Row],[referencia]], Dim_Produtos!A:B,2,FALSE)</f>
        <v>camarao</v>
      </c>
      <c r="D917">
        <v>3404</v>
      </c>
      <c r="E917">
        <v>3180</v>
      </c>
      <c r="F917" s="5">
        <v>6.5799999999999997E-2</v>
      </c>
      <c r="G917" s="6">
        <v>67.2</v>
      </c>
      <c r="H917">
        <v>71</v>
      </c>
      <c r="I917">
        <v>150</v>
      </c>
      <c r="J917">
        <v>3</v>
      </c>
      <c r="K917">
        <f>Fato_Producao[[#This Row],[embalagens_danificadas]]+Fato_Producao[[#This Row],[peso_errado]]+Fato_Producao[[#This Row],[impressao]]</f>
        <v>224</v>
      </c>
      <c r="L917" s="1" t="d">
        <v>2025-03-22</v>
      </c>
      <c r="M917">
        <v>30</v>
      </c>
      <c r="N917" s="7">
        <v>10.08</v>
      </c>
      <c r="O917" s="4" t="str">
        <f t="shared" si="42"/>
        <v>abril</v>
      </c>
      <c r="P917" s="4">
        <f t="shared" si="43"/>
        <v>2025</v>
      </c>
      <c r="Q917" s="4" t="str">
        <f t="shared" si="44"/>
        <v/>
      </c>
      <c r="R917" t="s">
        <v>24</v>
      </c>
    </row>
    <row r="918" spans="1:18" x14ac:dyDescent="0.3">
      <c r="A918" s="1" t="d">
        <v>2025-04-21</v>
      </c>
      <c r="B918">
        <v>45513</v>
      </c>
      <c r="C918" t="str">
        <f>VLOOKUP(Fato_Producao[[#This Row],[referencia]], Dim_Produtos!A:B,2,FALSE)</f>
        <v>filete pescada</v>
      </c>
      <c r="D918">
        <v>2378</v>
      </c>
      <c r="E918">
        <v>2225</v>
      </c>
      <c r="F918" s="5">
        <v>6.4299999999999996E-2</v>
      </c>
      <c r="G918" s="6">
        <v>48.96</v>
      </c>
      <c r="H918">
        <v>9</v>
      </c>
      <c r="I918">
        <v>142</v>
      </c>
      <c r="J918">
        <v>2</v>
      </c>
      <c r="K918">
        <f>Fato_Producao[[#This Row],[embalagens_danificadas]]+Fato_Producao[[#This Row],[peso_errado]]+Fato_Producao[[#This Row],[impressao]]</f>
        <v>153</v>
      </c>
      <c r="L918" s="1" t="d">
        <v>2025-03-22</v>
      </c>
      <c r="M918">
        <v>30</v>
      </c>
      <c r="N918" s="7">
        <v>6.36</v>
      </c>
      <c r="O918" s="4" t="str">
        <f t="shared" si="42"/>
        <v>abril</v>
      </c>
      <c r="P918" s="4">
        <f t="shared" si="43"/>
        <v>2025</v>
      </c>
      <c r="Q918" s="4" t="str">
        <f t="shared" si="44"/>
        <v/>
      </c>
      <c r="R918" t="s">
        <v>24</v>
      </c>
    </row>
    <row r="919" spans="1:18" x14ac:dyDescent="0.3">
      <c r="A919" s="1" t="d">
        <v>2025-04-22</v>
      </c>
      <c r="B919">
        <v>45513</v>
      </c>
      <c r="C919" t="str">
        <f>VLOOKUP(Fato_Producao[[#This Row],[referencia]], Dim_Produtos!A:B,2,FALSE)</f>
        <v>filete pescada</v>
      </c>
      <c r="D919">
        <v>2314</v>
      </c>
      <c r="E919">
        <v>2169</v>
      </c>
      <c r="F919" s="5">
        <v>6.2700000000000006E-2</v>
      </c>
      <c r="G919" s="6">
        <v>46.4</v>
      </c>
      <c r="H919">
        <v>8</v>
      </c>
      <c r="I919">
        <v>135</v>
      </c>
      <c r="J919">
        <v>2</v>
      </c>
      <c r="K919">
        <f>Fato_Producao[[#This Row],[embalagens_danificadas]]+Fato_Producao[[#This Row],[peso_errado]]+Fato_Producao[[#This Row],[impressao]]</f>
        <v>145</v>
      </c>
      <c r="L919" s="1" t="d">
        <v>2025-03-22</v>
      </c>
      <c r="M919">
        <v>31</v>
      </c>
      <c r="N919" s="7">
        <v>6.03</v>
      </c>
      <c r="O919" s="4" t="str">
        <f t="shared" si="42"/>
        <v>abril</v>
      </c>
      <c r="P919" s="4">
        <f t="shared" si="43"/>
        <v>2025</v>
      </c>
      <c r="Q919" s="4" t="str">
        <f t="shared" si="44"/>
        <v/>
      </c>
      <c r="R919" t="s">
        <v>24</v>
      </c>
    </row>
    <row r="920" spans="1:18" x14ac:dyDescent="0.3">
      <c r="A920" s="1" t="d">
        <v>2025-04-23</v>
      </c>
      <c r="B920">
        <v>45506</v>
      </c>
      <c r="C920" t="str">
        <f>VLOOKUP(Fato_Producao[[#This Row],[referencia]], Dim_Produtos!A:B,2,FALSE)</f>
        <v>perca posta</v>
      </c>
      <c r="D920">
        <v>2270</v>
      </c>
      <c r="E920">
        <v>2122</v>
      </c>
      <c r="F920" s="5">
        <v>6.5199999999999994E-2</v>
      </c>
      <c r="G920" s="6">
        <v>51.8</v>
      </c>
      <c r="H920">
        <v>9</v>
      </c>
      <c r="I920">
        <v>136</v>
      </c>
      <c r="J920">
        <v>3</v>
      </c>
      <c r="K920">
        <f>Fato_Producao[[#This Row],[embalagens_danificadas]]+Fato_Producao[[#This Row],[peso_errado]]+Fato_Producao[[#This Row],[impressao]]</f>
        <v>148</v>
      </c>
      <c r="L920" s="1" t="d">
        <v>2025-03-22</v>
      </c>
      <c r="M920">
        <v>32</v>
      </c>
      <c r="N920" s="7">
        <v>7.77</v>
      </c>
      <c r="O920" s="4" t="str">
        <f t="shared" si="42"/>
        <v>abril</v>
      </c>
      <c r="P920" s="4">
        <f t="shared" si="43"/>
        <v>2025</v>
      </c>
      <c r="Q920" s="4" t="str">
        <f t="shared" si="44"/>
        <v/>
      </c>
      <c r="R920" t="s">
        <v>24</v>
      </c>
    </row>
    <row r="921" spans="1:18" x14ac:dyDescent="0.3">
      <c r="A921" s="1" t="d">
        <v>2025-04-23</v>
      </c>
      <c r="B921">
        <v>45501</v>
      </c>
      <c r="C921" t="str">
        <f>VLOOKUP(Fato_Producao[[#This Row],[referencia]], Dim_Produtos!A:B,2,FALSE)</f>
        <v>pescada posta cozer</v>
      </c>
      <c r="D921">
        <v>4199</v>
      </c>
      <c r="E921">
        <v>3884</v>
      </c>
      <c r="F921" s="5">
        <v>7.4999999999999997E-2</v>
      </c>
      <c r="G921" s="6">
        <v>100.8</v>
      </c>
      <c r="H921">
        <v>9</v>
      </c>
      <c r="I921">
        <v>300</v>
      </c>
      <c r="J921">
        <v>6</v>
      </c>
      <c r="K921">
        <f>Fato_Producao[[#This Row],[embalagens_danificadas]]+Fato_Producao[[#This Row],[peso_errado]]+Fato_Producao[[#This Row],[impressao]]</f>
        <v>315</v>
      </c>
      <c r="L921" s="1" t="d">
        <v>2025-03-22</v>
      </c>
      <c r="M921">
        <v>32</v>
      </c>
      <c r="N921" s="7">
        <v>14.11</v>
      </c>
      <c r="O921" s="4" t="str">
        <f t="shared" si="42"/>
        <v>abril</v>
      </c>
      <c r="P921" s="4">
        <f t="shared" si="43"/>
        <v>2025</v>
      </c>
      <c r="Q921" s="4" t="str">
        <f t="shared" si="44"/>
        <v/>
      </c>
      <c r="R921" t="s">
        <v>24</v>
      </c>
    </row>
    <row r="922" spans="1:18" x14ac:dyDescent="0.3">
      <c r="A922" s="1" t="d">
        <v>2025-04-24</v>
      </c>
      <c r="B922">
        <v>45507</v>
      </c>
      <c r="C922" t="str">
        <f>VLOOKUP(Fato_Producao[[#This Row],[referencia]], Dim_Produtos!A:B,2,FALSE)</f>
        <v>salmao posta</v>
      </c>
      <c r="D922">
        <v>2482</v>
      </c>
      <c r="E922">
        <v>2277</v>
      </c>
      <c r="F922" s="5">
        <v>8.2600000000000007E-2</v>
      </c>
      <c r="G922" s="6">
        <v>71.75</v>
      </c>
      <c r="H922">
        <v>13</v>
      </c>
      <c r="I922">
        <v>188</v>
      </c>
      <c r="J922">
        <v>4</v>
      </c>
      <c r="K922">
        <f>Fato_Producao[[#This Row],[embalagens_danificadas]]+Fato_Producao[[#This Row],[peso_errado]]+Fato_Producao[[#This Row],[impressao]]</f>
        <v>205</v>
      </c>
      <c r="L922" s="1" t="d">
        <v>2025-03-22</v>
      </c>
      <c r="M922">
        <v>33</v>
      </c>
      <c r="N922" s="7">
        <v>11.48</v>
      </c>
      <c r="O922" s="4" t="str">
        <f t="shared" si="42"/>
        <v>abril</v>
      </c>
      <c r="P922" s="4">
        <f t="shared" si="43"/>
        <v>2025</v>
      </c>
      <c r="Q922" s="4" t="str">
        <f t="shared" si="44"/>
        <v/>
      </c>
      <c r="R922" t="s">
        <v>24</v>
      </c>
    </row>
    <row r="923" spans="1:18" x14ac:dyDescent="0.3">
      <c r="A923" s="1" t="d">
        <v>2025-04-24</v>
      </c>
      <c r="B923">
        <v>45502</v>
      </c>
      <c r="C923" t="str">
        <f>VLOOKUP(Fato_Producao[[#This Row],[referencia]], Dim_Produtos!A:B,2,FALSE)</f>
        <v>carapau pelim</v>
      </c>
      <c r="D923">
        <v>2196</v>
      </c>
      <c r="E923">
        <v>2035</v>
      </c>
      <c r="F923" s="5">
        <v>7.3300000000000004E-2</v>
      </c>
      <c r="G923" s="6">
        <v>48.3</v>
      </c>
      <c r="H923">
        <v>68</v>
      </c>
      <c r="I923">
        <v>11</v>
      </c>
      <c r="J923">
        <v>82</v>
      </c>
      <c r="K923">
        <f>Fato_Producao[[#This Row],[embalagens_danificadas]]+Fato_Producao[[#This Row],[peso_errado]]+Fato_Producao[[#This Row],[impressao]]</f>
        <v>161</v>
      </c>
      <c r="L923" s="1" t="d">
        <v>2025-03-22</v>
      </c>
      <c r="M923">
        <v>33</v>
      </c>
      <c r="N923" s="7">
        <v>6.28</v>
      </c>
      <c r="O923" s="4" t="str">
        <f t="shared" si="42"/>
        <v>abril</v>
      </c>
      <c r="P923" s="4">
        <f t="shared" si="43"/>
        <v>2025</v>
      </c>
      <c r="Q923" s="4" t="str">
        <f t="shared" si="44"/>
        <v/>
      </c>
      <c r="R923" t="s">
        <v>50</v>
      </c>
    </row>
    <row r="924" spans="1:18" x14ac:dyDescent="0.3">
      <c r="A924" s="1" t="d">
        <v>2025-04-25</v>
      </c>
      <c r="B924">
        <v>45511</v>
      </c>
      <c r="C924" t="str">
        <f>VLOOKUP(Fato_Producao[[#This Row],[referencia]], Dim_Produtos!A:B,2,FALSE)</f>
        <v>lula limpa</v>
      </c>
      <c r="D924">
        <v>3832</v>
      </c>
      <c r="E924">
        <v>3512</v>
      </c>
      <c r="F924" s="5">
        <v>8.3500000000000005E-2</v>
      </c>
      <c r="G924" s="6">
        <v>102.4</v>
      </c>
      <c r="H924">
        <v>29</v>
      </c>
      <c r="I924">
        <v>284</v>
      </c>
      <c r="J924">
        <v>7</v>
      </c>
      <c r="K924">
        <f>Fato_Producao[[#This Row],[embalagens_danificadas]]+Fato_Producao[[#This Row],[peso_errado]]+Fato_Producao[[#This Row],[impressao]]</f>
        <v>320</v>
      </c>
      <c r="L924" s="1" t="d">
        <v>2025-03-22</v>
      </c>
      <c r="M924">
        <v>34</v>
      </c>
      <c r="N924" s="7">
        <v>14.34</v>
      </c>
      <c r="O924" s="4" t="str">
        <f t="shared" si="42"/>
        <v>abril</v>
      </c>
      <c r="P924" s="4">
        <f t="shared" si="43"/>
        <v>2025</v>
      </c>
      <c r="Q924" s="4" t="str">
        <f t="shared" si="44"/>
        <v/>
      </c>
      <c r="R924" t="s">
        <v>24</v>
      </c>
    </row>
    <row r="925" spans="1:18" x14ac:dyDescent="0.3">
      <c r="A925" s="1" t="d">
        <v>2025-04-26</v>
      </c>
      <c r="B925">
        <v>45511</v>
      </c>
      <c r="C925" t="str">
        <f>VLOOKUP(Fato_Producao[[#This Row],[referencia]], Dim_Produtos!A:B,2,FALSE)</f>
        <v>lula limpa</v>
      </c>
      <c r="D925">
        <v>2077</v>
      </c>
      <c r="E925">
        <v>1864</v>
      </c>
      <c r="F925" s="5">
        <v>0.1026</v>
      </c>
      <c r="G925" s="6">
        <v>68.16</v>
      </c>
      <c r="H925">
        <v>23</v>
      </c>
      <c r="I925">
        <v>186</v>
      </c>
      <c r="J925">
        <v>4</v>
      </c>
      <c r="K925">
        <f>Fato_Producao[[#This Row],[embalagens_danificadas]]+Fato_Producao[[#This Row],[peso_errado]]+Fato_Producao[[#This Row],[impressao]]</f>
        <v>213</v>
      </c>
      <c r="L925" s="1" t="d">
        <v>2025-03-22</v>
      </c>
      <c r="M925">
        <v>35</v>
      </c>
      <c r="N925" s="7">
        <v>9.5399999999999991</v>
      </c>
      <c r="O925" s="4" t="str">
        <f t="shared" si="42"/>
        <v>abril</v>
      </c>
      <c r="P925" s="4">
        <f t="shared" si="43"/>
        <v>2025</v>
      </c>
      <c r="Q925" s="4" t="str">
        <f t="shared" si="44"/>
        <v/>
      </c>
      <c r="R925" t="s">
        <v>24</v>
      </c>
    </row>
    <row r="926" spans="1:18" x14ac:dyDescent="0.3">
      <c r="A926" s="1" t="d">
        <v>2025-04-27</v>
      </c>
      <c r="B926">
        <v>45513</v>
      </c>
      <c r="C926" t="str">
        <f>VLOOKUP(Fato_Producao[[#This Row],[referencia]], Dim_Produtos!A:B,2,FALSE)</f>
        <v>filete pescada</v>
      </c>
      <c r="D926">
        <v>3087</v>
      </c>
      <c r="E926">
        <v>2846</v>
      </c>
      <c r="F926" s="5">
        <v>7.8100000000000003E-2</v>
      </c>
      <c r="G926" s="6">
        <v>77.12</v>
      </c>
      <c r="H926">
        <v>15</v>
      </c>
      <c r="I926">
        <v>223</v>
      </c>
      <c r="J926">
        <v>3</v>
      </c>
      <c r="K926">
        <f>Fato_Producao[[#This Row],[embalagens_danificadas]]+Fato_Producao[[#This Row],[peso_errado]]+Fato_Producao[[#This Row],[impressao]]</f>
        <v>241</v>
      </c>
      <c r="L926" s="1" t="d">
        <v>2025-03-22</v>
      </c>
      <c r="M926">
        <v>36</v>
      </c>
      <c r="N926" s="7">
        <v>10.029999999999999</v>
      </c>
      <c r="O926" s="4" t="str">
        <f t="shared" si="42"/>
        <v>abril</v>
      </c>
      <c r="P926" s="4">
        <f t="shared" si="43"/>
        <v>2025</v>
      </c>
      <c r="Q926" s="4" t="str">
        <f t="shared" si="44"/>
        <v/>
      </c>
      <c r="R926" t="s">
        <v>24</v>
      </c>
    </row>
    <row r="927" spans="1:18" x14ac:dyDescent="0.3">
      <c r="A927" s="1" t="d">
        <v>2025-04-28</v>
      </c>
      <c r="B927">
        <v>45510</v>
      </c>
      <c r="C927" t="str">
        <f>VLOOKUP(Fato_Producao[[#This Row],[referencia]], Dim_Produtos!A:B,2,FALSE)</f>
        <v>tiras pota</v>
      </c>
      <c r="D927">
        <v>2351</v>
      </c>
      <c r="E927">
        <v>2146</v>
      </c>
      <c r="F927" s="5">
        <v>8.72E-2</v>
      </c>
      <c r="G927" s="6">
        <v>65.599999999999994</v>
      </c>
      <c r="H927">
        <v>23</v>
      </c>
      <c r="I927">
        <v>178</v>
      </c>
      <c r="J927">
        <v>4</v>
      </c>
      <c r="K927">
        <f>Fato_Producao[[#This Row],[embalagens_danificadas]]+Fato_Producao[[#This Row],[peso_errado]]+Fato_Producao[[#This Row],[impressao]]</f>
        <v>205</v>
      </c>
      <c r="L927" s="1" t="d">
        <v>2025-03-22</v>
      </c>
      <c r="M927">
        <v>37</v>
      </c>
      <c r="N927" s="7">
        <v>9.18</v>
      </c>
      <c r="O927" s="4" t="str">
        <f t="shared" si="42"/>
        <v>abril</v>
      </c>
      <c r="P927" s="4">
        <f t="shared" si="43"/>
        <v>2025</v>
      </c>
      <c r="Q927" s="4" t="str">
        <f t="shared" si="44"/>
        <v/>
      </c>
      <c r="R927" t="s">
        <v>24</v>
      </c>
    </row>
    <row r="928" spans="1:18" x14ac:dyDescent="0.3">
      <c r="A928" s="1" t="d">
        <v>2025-04-28</v>
      </c>
      <c r="B928">
        <v>45501</v>
      </c>
      <c r="C928" t="str">
        <f>VLOOKUP(Fato_Producao[[#This Row],[referencia]], Dim_Produtos!A:B,2,FALSE)</f>
        <v>pescada posta cozer</v>
      </c>
      <c r="D928">
        <v>1966</v>
      </c>
      <c r="E928">
        <v>1819</v>
      </c>
      <c r="F928" s="5">
        <v>7.4800000000000005E-2</v>
      </c>
      <c r="G928" s="6">
        <v>47.04</v>
      </c>
      <c r="H928">
        <v>7</v>
      </c>
      <c r="I928">
        <v>136</v>
      </c>
      <c r="J928">
        <v>4</v>
      </c>
      <c r="K928">
        <f>Fato_Producao[[#This Row],[embalagens_danificadas]]+Fato_Producao[[#This Row],[peso_errado]]+Fato_Producao[[#This Row],[impressao]]</f>
        <v>147</v>
      </c>
      <c r="L928" s="1" t="d">
        <v>2025-03-22</v>
      </c>
      <c r="M928">
        <v>37</v>
      </c>
      <c r="N928" s="7">
        <v>6.59</v>
      </c>
      <c r="O928" s="4" t="str">
        <f t="shared" si="42"/>
        <v>abril</v>
      </c>
      <c r="P928" s="4">
        <f t="shared" si="43"/>
        <v>2025</v>
      </c>
      <c r="Q928" s="4" t="str">
        <f t="shared" si="44"/>
        <v/>
      </c>
      <c r="R928" t="s">
        <v>24</v>
      </c>
    </row>
    <row r="929" spans="1:18" x14ac:dyDescent="0.3">
      <c r="A929" s="1" t="d">
        <v>2025-04-29</v>
      </c>
      <c r="B929">
        <v>45511</v>
      </c>
      <c r="C929" t="str">
        <f>VLOOKUP(Fato_Producao[[#This Row],[referencia]], Dim_Produtos!A:B,2,FALSE)</f>
        <v>lula limpa</v>
      </c>
      <c r="D929">
        <v>2895</v>
      </c>
      <c r="E929">
        <v>2602</v>
      </c>
      <c r="F929" s="5">
        <v>0.1012</v>
      </c>
      <c r="G929" s="6">
        <v>93.76</v>
      </c>
      <c r="H929">
        <v>36</v>
      </c>
      <c r="I929">
        <v>249</v>
      </c>
      <c r="J929">
        <v>8</v>
      </c>
      <c r="K929">
        <f>Fato_Producao[[#This Row],[embalagens_danificadas]]+Fato_Producao[[#This Row],[peso_errado]]+Fato_Producao[[#This Row],[impressao]]</f>
        <v>293</v>
      </c>
      <c r="L929" s="1" t="d">
        <v>2025-03-22</v>
      </c>
      <c r="M929">
        <v>38</v>
      </c>
      <c r="N929" s="7">
        <v>13.13</v>
      </c>
      <c r="O929" s="4" t="str">
        <f t="shared" si="42"/>
        <v>abril</v>
      </c>
      <c r="P929" s="4">
        <f t="shared" si="43"/>
        <v>2025</v>
      </c>
      <c r="Q929" s="4" t="str">
        <f t="shared" si="44"/>
        <v/>
      </c>
      <c r="R929" t="s">
        <v>24</v>
      </c>
    </row>
    <row r="930" spans="1:18" x14ac:dyDescent="0.3">
      <c r="A930" s="1" t="d">
        <v>2025-04-30</v>
      </c>
      <c r="B930">
        <v>45505</v>
      </c>
      <c r="C930" t="str">
        <f>VLOOKUP(Fato_Producao[[#This Row],[referencia]], Dim_Produtos!A:B,2,FALSE)</f>
        <v>camarao</v>
      </c>
      <c r="D930">
        <v>4116</v>
      </c>
      <c r="E930">
        <v>3762</v>
      </c>
      <c r="F930" s="5">
        <v>8.5999999999999993E-2</v>
      </c>
      <c r="G930" s="6">
        <v>106.2</v>
      </c>
      <c r="H930">
        <v>99</v>
      </c>
      <c r="I930">
        <v>251</v>
      </c>
      <c r="J930">
        <v>4</v>
      </c>
      <c r="K930">
        <f>Fato_Producao[[#This Row],[embalagens_danificadas]]+Fato_Producao[[#This Row],[peso_errado]]+Fato_Producao[[#This Row],[impressao]]</f>
        <v>354</v>
      </c>
      <c r="L930" s="1" t="d">
        <v>2025-03-22</v>
      </c>
      <c r="M930">
        <v>39</v>
      </c>
      <c r="N930" s="7">
        <v>15.93</v>
      </c>
      <c r="O930" s="4" t="str">
        <f t="shared" si="42"/>
        <v>abril</v>
      </c>
      <c r="P930" s="4">
        <f t="shared" si="43"/>
        <v>2025</v>
      </c>
      <c r="Q930" s="4" t="str">
        <f t="shared" si="44"/>
        <v/>
      </c>
      <c r="R930" t="s">
        <v>24</v>
      </c>
    </row>
    <row r="931" spans="1:18" x14ac:dyDescent="0.3">
      <c r="A931" s="1" t="d">
        <v>2025-04-30</v>
      </c>
      <c r="B931">
        <v>45509</v>
      </c>
      <c r="C931" t="str">
        <f>VLOOKUP(Fato_Producao[[#This Row],[referencia]], Dim_Produtos!A:B,2,FALSE)</f>
        <v>lascas bacalhau</v>
      </c>
      <c r="D931">
        <v>3511</v>
      </c>
      <c r="E931">
        <v>3227</v>
      </c>
      <c r="F931" s="5">
        <v>8.09E-2</v>
      </c>
      <c r="G931" s="6">
        <v>79.52</v>
      </c>
      <c r="H931">
        <v>10</v>
      </c>
      <c r="I931">
        <v>266</v>
      </c>
      <c r="J931">
        <v>8</v>
      </c>
      <c r="K931">
        <f>Fato_Producao[[#This Row],[embalagens_danificadas]]+Fato_Producao[[#This Row],[peso_errado]]+Fato_Producao[[#This Row],[impressao]]</f>
        <v>284</v>
      </c>
      <c r="L931" s="1" t="d">
        <v>2025-03-22</v>
      </c>
      <c r="M931">
        <v>39</v>
      </c>
      <c r="N931" s="7">
        <v>10.34</v>
      </c>
      <c r="O931" s="4" t="str">
        <f t="shared" si="42"/>
        <v>abril</v>
      </c>
      <c r="P931" s="4">
        <f t="shared" si="43"/>
        <v>2025</v>
      </c>
      <c r="Q931" s="4" t="str">
        <f t="shared" si="44"/>
        <v/>
      </c>
      <c r="R931" t="s">
        <v>24</v>
      </c>
    </row>
    <row r="932" spans="1:18" x14ac:dyDescent="0.3">
      <c r="A932" s="1" t="d">
        <v>2025-05-01</v>
      </c>
      <c r="B932">
        <v>45505</v>
      </c>
      <c r="C932" t="str">
        <f>VLOOKUP(Fato_Producao[[#This Row],[referencia]], Dim_Produtos!A:B,2,FALSE)</f>
        <v>camarao</v>
      </c>
      <c r="D932">
        <v>1905</v>
      </c>
      <c r="E932">
        <v>1728</v>
      </c>
      <c r="F932" s="5">
        <v>9.2899999999999996E-2</v>
      </c>
      <c r="G932" s="6">
        <v>53.1</v>
      </c>
      <c r="H932">
        <v>37</v>
      </c>
      <c r="I932">
        <v>136</v>
      </c>
      <c r="J932">
        <v>4</v>
      </c>
      <c r="K932">
        <f>Fato_Producao[[#This Row],[embalagens_danificadas]]+Fato_Producao[[#This Row],[peso_errado]]+Fato_Producao[[#This Row],[impressao]]</f>
        <v>177</v>
      </c>
      <c r="L932" s="1" t="d">
        <v>2025-03-22</v>
      </c>
      <c r="M932">
        <v>40</v>
      </c>
      <c r="N932" s="7">
        <v>7.96</v>
      </c>
      <c r="O932" s="4" t="str">
        <f t="shared" si="42"/>
        <v>maio</v>
      </c>
      <c r="P932" s="4">
        <f t="shared" si="43"/>
        <v>2025</v>
      </c>
      <c r="Q932" s="4" t="str">
        <f t="shared" si="44"/>
        <v/>
      </c>
      <c r="R932" t="s">
        <v>24</v>
      </c>
    </row>
    <row r="933" spans="1:18" x14ac:dyDescent="0.3">
      <c r="A933" s="1" t="d">
        <v>2025-05-01</v>
      </c>
      <c r="B933">
        <v>45512</v>
      </c>
      <c r="C933" t="str">
        <f>VLOOKUP(Fato_Producao[[#This Row],[referencia]], Dim_Produtos!A:B,2,FALSE)</f>
        <v>red-fish posta</v>
      </c>
      <c r="D933">
        <v>3917</v>
      </c>
      <c r="E933">
        <v>3559</v>
      </c>
      <c r="F933" s="5">
        <v>9.1399999999999995E-2</v>
      </c>
      <c r="G933" s="6">
        <v>121.72</v>
      </c>
      <c r="H933">
        <v>17</v>
      </c>
      <c r="I933">
        <v>334</v>
      </c>
      <c r="J933">
        <v>7</v>
      </c>
      <c r="K933">
        <f>Fato_Producao[[#This Row],[embalagens_danificadas]]+Fato_Producao[[#This Row],[peso_errado]]+Fato_Producao[[#This Row],[impressao]]</f>
        <v>358</v>
      </c>
      <c r="L933" s="1" t="d">
        <v>2025-03-22</v>
      </c>
      <c r="M933">
        <v>40</v>
      </c>
      <c r="N933" s="7">
        <v>17.04</v>
      </c>
      <c r="O933" s="4" t="str">
        <f t="shared" si="42"/>
        <v>maio</v>
      </c>
      <c r="P933" s="4">
        <f t="shared" si="43"/>
        <v>2025</v>
      </c>
      <c r="Q933" s="4" t="str">
        <f t="shared" si="44"/>
        <v/>
      </c>
      <c r="R933" t="s">
        <v>24</v>
      </c>
    </row>
    <row r="934" spans="1:18" x14ac:dyDescent="0.3">
      <c r="A934" s="1" t="d">
        <v>2025-05-02</v>
      </c>
      <c r="B934">
        <v>45513</v>
      </c>
      <c r="C934" t="str">
        <f>VLOOKUP(Fato_Producao[[#This Row],[referencia]], Dim_Produtos!A:B,2,FALSE)</f>
        <v>filete pescada</v>
      </c>
      <c r="D934">
        <v>3101</v>
      </c>
      <c r="E934">
        <v>2868</v>
      </c>
      <c r="F934" s="5">
        <v>7.51E-2</v>
      </c>
      <c r="G934" s="6">
        <v>74.56</v>
      </c>
      <c r="H934">
        <v>6</v>
      </c>
      <c r="I934">
        <v>223</v>
      </c>
      <c r="J934">
        <v>4</v>
      </c>
      <c r="K934">
        <f>Fato_Producao[[#This Row],[embalagens_danificadas]]+Fato_Producao[[#This Row],[peso_errado]]+Fato_Producao[[#This Row],[impressao]]</f>
        <v>233</v>
      </c>
      <c r="L934" s="1" t="d">
        <v>2025-03-22</v>
      </c>
      <c r="M934">
        <v>41</v>
      </c>
      <c r="N934" s="7">
        <v>9.69</v>
      </c>
      <c r="O934" s="4" t="str">
        <f t="shared" si="42"/>
        <v>maio</v>
      </c>
      <c r="P934" s="4">
        <f t="shared" si="43"/>
        <v>2025</v>
      </c>
      <c r="Q934" s="4" t="str">
        <f t="shared" si="44"/>
        <v/>
      </c>
      <c r="R934" t="s">
        <v>24</v>
      </c>
    </row>
    <row r="935" spans="1:18" x14ac:dyDescent="0.3">
      <c r="A935" s="1" t="d">
        <v>2025-05-02</v>
      </c>
      <c r="B935">
        <v>45509</v>
      </c>
      <c r="C935" t="str">
        <f>VLOOKUP(Fato_Producao[[#This Row],[referencia]], Dim_Produtos!A:B,2,FALSE)</f>
        <v>lascas bacalhau</v>
      </c>
      <c r="D935">
        <v>3324</v>
      </c>
      <c r="E935">
        <v>3003</v>
      </c>
      <c r="F935" s="5">
        <v>9.6600000000000005E-2</v>
      </c>
      <c r="G935" s="6">
        <v>89.88</v>
      </c>
      <c r="H935">
        <v>22</v>
      </c>
      <c r="I935">
        <v>293</v>
      </c>
      <c r="J935">
        <v>6</v>
      </c>
      <c r="K935">
        <f>Fato_Producao[[#This Row],[embalagens_danificadas]]+Fato_Producao[[#This Row],[peso_errado]]+Fato_Producao[[#This Row],[impressao]]</f>
        <v>321</v>
      </c>
      <c r="L935" s="1" t="d">
        <v>2025-03-22</v>
      </c>
      <c r="M935">
        <v>41</v>
      </c>
      <c r="N935" s="7">
        <v>11.68</v>
      </c>
      <c r="O935" s="4" t="str">
        <f t="shared" si="42"/>
        <v>maio</v>
      </c>
      <c r="P935" s="4">
        <f t="shared" si="43"/>
        <v>2025</v>
      </c>
      <c r="Q935" s="4" t="str">
        <f t="shared" si="44"/>
        <v/>
      </c>
      <c r="R935" t="s">
        <v>24</v>
      </c>
    </row>
    <row r="936" spans="1:18" x14ac:dyDescent="0.3">
      <c r="A936" s="1" t="d">
        <v>2025-05-03</v>
      </c>
      <c r="B936">
        <v>45501</v>
      </c>
      <c r="C936" t="str">
        <f>VLOOKUP(Fato_Producao[[#This Row],[referencia]], Dim_Produtos!A:B,2,FALSE)</f>
        <v>pescada posta cozer</v>
      </c>
      <c r="D936">
        <v>2874</v>
      </c>
      <c r="E936">
        <v>2639</v>
      </c>
      <c r="F936" s="5">
        <v>8.1799999999999998E-2</v>
      </c>
      <c r="G936" s="6">
        <v>75.2</v>
      </c>
      <c r="H936">
        <v>12</v>
      </c>
      <c r="I936">
        <v>218</v>
      </c>
      <c r="J936">
        <v>5</v>
      </c>
      <c r="K936">
        <f>Fato_Producao[[#This Row],[embalagens_danificadas]]+Fato_Producao[[#This Row],[peso_errado]]+Fato_Producao[[#This Row],[impressao]]</f>
        <v>235</v>
      </c>
      <c r="L936" s="1" t="d">
        <v>2025-03-22</v>
      </c>
      <c r="M936">
        <v>42</v>
      </c>
      <c r="N936" s="7">
        <v>10.53</v>
      </c>
      <c r="O936" s="4" t="str">
        <f t="shared" si="42"/>
        <v>maio</v>
      </c>
      <c r="P936" s="4">
        <f t="shared" si="43"/>
        <v>2025</v>
      </c>
      <c r="Q936" s="4" t="str">
        <f t="shared" si="44"/>
        <v/>
      </c>
      <c r="R936" t="s">
        <v>24</v>
      </c>
    </row>
    <row r="937" spans="1:18" x14ac:dyDescent="0.3">
      <c r="A937" s="1" t="d">
        <v>2025-05-03</v>
      </c>
      <c r="B937">
        <v>45502</v>
      </c>
      <c r="C937" t="str">
        <f>VLOOKUP(Fato_Producao[[#This Row],[referencia]], Dim_Produtos!A:B,2,FALSE)</f>
        <v>carapau pelim</v>
      </c>
      <c r="D937">
        <v>4170</v>
      </c>
      <c r="E937">
        <v>3806</v>
      </c>
      <c r="F937" s="5">
        <v>8.7300000000000003E-2</v>
      </c>
      <c r="G937" s="6">
        <v>109.2</v>
      </c>
      <c r="H937">
        <v>81</v>
      </c>
      <c r="I937">
        <v>269</v>
      </c>
      <c r="J937">
        <v>14</v>
      </c>
      <c r="K937">
        <f>Fato_Producao[[#This Row],[embalagens_danificadas]]+Fato_Producao[[#This Row],[peso_errado]]+Fato_Producao[[#This Row],[impressao]]</f>
        <v>364</v>
      </c>
      <c r="L937" s="1" t="d">
        <v>2025-03-22</v>
      </c>
      <c r="M937">
        <v>42</v>
      </c>
      <c r="N937" s="7">
        <v>14.2</v>
      </c>
      <c r="O937" s="4" t="str">
        <f t="shared" si="42"/>
        <v>maio</v>
      </c>
      <c r="P937" s="4">
        <f t="shared" si="43"/>
        <v>2025</v>
      </c>
      <c r="Q937" s="4" t="str">
        <f t="shared" si="44"/>
        <v/>
      </c>
      <c r="R937" t="s">
        <v>24</v>
      </c>
    </row>
    <row r="938" spans="1:18" x14ac:dyDescent="0.3">
      <c r="A938" s="1" t="d">
        <v>2025-05-04</v>
      </c>
      <c r="B938">
        <v>45508</v>
      </c>
      <c r="C938" t="str">
        <f>VLOOKUP(Fato_Producao[[#This Row],[referencia]], Dim_Produtos!A:B,2,FALSE)</f>
        <v>lula suja</v>
      </c>
      <c r="D938">
        <v>3275</v>
      </c>
      <c r="E938">
        <v>2889</v>
      </c>
      <c r="F938" s="5">
        <v>0.1179</v>
      </c>
      <c r="G938" s="6">
        <v>123.52</v>
      </c>
      <c r="H938">
        <v>55</v>
      </c>
      <c r="I938">
        <v>327</v>
      </c>
      <c r="J938">
        <v>4</v>
      </c>
      <c r="K938">
        <f>Fato_Producao[[#This Row],[embalagens_danificadas]]+Fato_Producao[[#This Row],[peso_errado]]+Fato_Producao[[#This Row],[impressao]]</f>
        <v>386</v>
      </c>
      <c r="L938" s="1" t="d">
        <v>2025-03-22</v>
      </c>
      <c r="M938">
        <v>43</v>
      </c>
      <c r="N938" s="7">
        <v>17.29</v>
      </c>
      <c r="O938" s="4" t="str">
        <f t="shared" si="42"/>
        <v>maio</v>
      </c>
      <c r="P938" s="4">
        <f t="shared" si="43"/>
        <v>2025</v>
      </c>
      <c r="Q938" s="4" t="str">
        <f t="shared" si="44"/>
        <v/>
      </c>
      <c r="R938" t="s">
        <v>24</v>
      </c>
    </row>
    <row r="939" spans="1:18" x14ac:dyDescent="0.3">
      <c r="A939" s="1" t="d">
        <v>2025-05-04</v>
      </c>
      <c r="B939">
        <v>45501</v>
      </c>
      <c r="C939" t="str">
        <f>VLOOKUP(Fato_Producao[[#This Row],[referencia]], Dim_Produtos!A:B,2,FALSE)</f>
        <v>pescada posta cozer</v>
      </c>
      <c r="D939">
        <v>3116</v>
      </c>
      <c r="E939">
        <v>2814</v>
      </c>
      <c r="F939" s="5">
        <v>9.69E-2</v>
      </c>
      <c r="G939" s="6">
        <v>96.64</v>
      </c>
      <c r="H939">
        <v>7</v>
      </c>
      <c r="I939">
        <v>290</v>
      </c>
      <c r="J939">
        <v>5</v>
      </c>
      <c r="K939">
        <f>Fato_Producao[[#This Row],[embalagens_danificadas]]+Fato_Producao[[#This Row],[peso_errado]]+Fato_Producao[[#This Row],[impressao]]</f>
        <v>302</v>
      </c>
      <c r="L939" s="1" t="d">
        <v>2025-03-22</v>
      </c>
      <c r="M939">
        <v>43</v>
      </c>
      <c r="N939" s="7">
        <v>13.53</v>
      </c>
      <c r="O939" s="4" t="str">
        <f t="shared" si="42"/>
        <v>maio</v>
      </c>
      <c r="P939" s="4">
        <f t="shared" si="43"/>
        <v>2025</v>
      </c>
      <c r="Q939" s="4" t="str">
        <f t="shared" si="44"/>
        <v/>
      </c>
      <c r="R939" t="s">
        <v>24</v>
      </c>
    </row>
    <row r="940" spans="1:18" x14ac:dyDescent="0.3">
      <c r="A940" s="1" t="d">
        <v>2025-05-05</v>
      </c>
      <c r="B940">
        <v>45506</v>
      </c>
      <c r="C940" t="str">
        <f>VLOOKUP(Fato_Producao[[#This Row],[referencia]], Dim_Produtos!A:B,2,FALSE)</f>
        <v>perca posta</v>
      </c>
      <c r="D940">
        <v>2997</v>
      </c>
      <c r="E940">
        <v>2749</v>
      </c>
      <c r="F940" s="5">
        <v>8.2699999999999996E-2</v>
      </c>
      <c r="G940" s="6">
        <v>86.8</v>
      </c>
      <c r="H940">
        <v>13</v>
      </c>
      <c r="I940">
        <v>228</v>
      </c>
      <c r="J940">
        <v>7</v>
      </c>
      <c r="K940">
        <f>Fato_Producao[[#This Row],[embalagens_danificadas]]+Fato_Producao[[#This Row],[peso_errado]]+Fato_Producao[[#This Row],[impressao]]</f>
        <v>248</v>
      </c>
      <c r="L940" s="1" t="d">
        <v>2025-03-22</v>
      </c>
      <c r="M940">
        <v>44</v>
      </c>
      <c r="N940" s="7">
        <v>13.02</v>
      </c>
      <c r="O940" s="4" t="str">
        <f t="shared" si="42"/>
        <v>maio</v>
      </c>
      <c r="P940" s="4">
        <f t="shared" si="43"/>
        <v>2025</v>
      </c>
      <c r="Q940" s="4" t="str">
        <f t="shared" si="44"/>
        <v/>
      </c>
      <c r="R940" t="s">
        <v>24</v>
      </c>
    </row>
    <row r="941" spans="1:18" x14ac:dyDescent="0.3">
      <c r="A941" s="1" t="d">
        <v>2025-05-05</v>
      </c>
      <c r="B941">
        <v>45509</v>
      </c>
      <c r="C941" t="str">
        <f>VLOOKUP(Fato_Producao[[#This Row],[referencia]], Dim_Produtos!A:B,2,FALSE)</f>
        <v>lascas bacalhau</v>
      </c>
      <c r="D941">
        <v>3015</v>
      </c>
      <c r="E941">
        <v>2714</v>
      </c>
      <c r="F941" s="5">
        <v>9.98E-2</v>
      </c>
      <c r="G941" s="6">
        <v>84.28</v>
      </c>
      <c r="H941">
        <v>18</v>
      </c>
      <c r="I941">
        <v>278</v>
      </c>
      <c r="J941">
        <v>5</v>
      </c>
      <c r="K941">
        <f>Fato_Producao[[#This Row],[embalagens_danificadas]]+Fato_Producao[[#This Row],[peso_errado]]+Fato_Producao[[#This Row],[impressao]]</f>
        <v>301</v>
      </c>
      <c r="L941" s="1" t="d">
        <v>2025-03-22</v>
      </c>
      <c r="M941">
        <v>44</v>
      </c>
      <c r="N941" s="7">
        <v>10.96</v>
      </c>
      <c r="O941" s="4" t="str">
        <f t="shared" si="42"/>
        <v>maio</v>
      </c>
      <c r="P941" s="4">
        <f t="shared" si="43"/>
        <v>2025</v>
      </c>
      <c r="Q941" s="4" t="str">
        <f t="shared" si="44"/>
        <v/>
      </c>
      <c r="R941" t="s">
        <v>24</v>
      </c>
    </row>
    <row r="942" spans="1:18" x14ac:dyDescent="0.3">
      <c r="A942" s="1" t="d">
        <v>2025-05-06</v>
      </c>
      <c r="B942">
        <v>45514</v>
      </c>
      <c r="C942" t="str">
        <f>VLOOKUP(Fato_Producao[[#This Row],[referencia]], Dim_Produtos!A:B,2,FALSE)</f>
        <v>sardinha pequena</v>
      </c>
      <c r="D942">
        <v>3706</v>
      </c>
      <c r="E942">
        <v>3334</v>
      </c>
      <c r="F942" s="5">
        <v>0.1004</v>
      </c>
      <c r="G942" s="6">
        <v>111.6</v>
      </c>
      <c r="H942">
        <v>16</v>
      </c>
      <c r="I942">
        <v>352</v>
      </c>
      <c r="J942">
        <v>4</v>
      </c>
      <c r="K942">
        <f>Fato_Producao[[#This Row],[embalagens_danificadas]]+Fato_Producao[[#This Row],[peso_errado]]+Fato_Producao[[#This Row],[impressao]]</f>
        <v>372</v>
      </c>
      <c r="L942" s="1" t="d">
        <v>2025-03-22</v>
      </c>
      <c r="M942">
        <v>45</v>
      </c>
      <c r="N942" s="7">
        <v>13.39</v>
      </c>
      <c r="O942" s="4" t="str">
        <f t="shared" si="42"/>
        <v>maio</v>
      </c>
      <c r="P942" s="4">
        <f t="shared" si="43"/>
        <v>2025</v>
      </c>
      <c r="Q942" s="4" t="str">
        <f t="shared" si="44"/>
        <v/>
      </c>
      <c r="R942" t="s">
        <v>24</v>
      </c>
    </row>
    <row r="943" spans="1:18" x14ac:dyDescent="0.3">
      <c r="A943" s="1" t="d">
        <v>2025-05-06</v>
      </c>
      <c r="B943">
        <v>45504</v>
      </c>
      <c r="C943" t="str">
        <f>VLOOKUP(Fato_Producao[[#This Row],[referencia]], Dim_Produtos!A:B,2,FALSE)</f>
        <v>pescada posta fritar</v>
      </c>
      <c r="D943">
        <v>3216</v>
      </c>
      <c r="E943">
        <v>2936</v>
      </c>
      <c r="F943" s="5">
        <v>8.7099999999999997E-2</v>
      </c>
      <c r="G943" s="6">
        <v>89.6</v>
      </c>
      <c r="H943">
        <v>20</v>
      </c>
      <c r="I943">
        <v>257</v>
      </c>
      <c r="J943">
        <v>3</v>
      </c>
      <c r="K943">
        <f>Fato_Producao[[#This Row],[embalagens_danificadas]]+Fato_Producao[[#This Row],[peso_errado]]+Fato_Producao[[#This Row],[impressao]]</f>
        <v>280</v>
      </c>
      <c r="L943" s="1" t="d">
        <v>2025-03-22</v>
      </c>
      <c r="M943">
        <v>45</v>
      </c>
      <c r="N943" s="7">
        <v>12.54</v>
      </c>
      <c r="O943" s="4" t="str">
        <f t="shared" si="42"/>
        <v>maio</v>
      </c>
      <c r="P943" s="4">
        <f t="shared" si="43"/>
        <v>2025</v>
      </c>
      <c r="Q943" s="4" t="str">
        <f t="shared" si="44"/>
        <v/>
      </c>
      <c r="R943" t="s">
        <v>24</v>
      </c>
    </row>
    <row r="944" spans="1:18" x14ac:dyDescent="0.3">
      <c r="A944" s="1" t="d">
        <v>2025-05-07</v>
      </c>
      <c r="B944">
        <v>45510</v>
      </c>
      <c r="C944" t="str">
        <f>VLOOKUP(Fato_Producao[[#This Row],[referencia]], Dim_Produtos!A:B,2,FALSE)</f>
        <v>tiras pota</v>
      </c>
      <c r="D944">
        <v>1997</v>
      </c>
      <c r="E944">
        <v>1802</v>
      </c>
      <c r="F944" s="5">
        <v>9.7600000000000006E-2</v>
      </c>
      <c r="G944" s="6">
        <v>62.4</v>
      </c>
      <c r="H944">
        <v>24</v>
      </c>
      <c r="I944">
        <v>166</v>
      </c>
      <c r="J944">
        <v>5</v>
      </c>
      <c r="K944">
        <f>Fato_Producao[[#This Row],[embalagens_danificadas]]+Fato_Producao[[#This Row],[peso_errado]]+Fato_Producao[[#This Row],[impressao]]</f>
        <v>195</v>
      </c>
      <c r="L944" s="1" t="d">
        <v>2025-03-22</v>
      </c>
      <c r="M944">
        <v>46</v>
      </c>
      <c r="N944" s="7">
        <v>8.74</v>
      </c>
      <c r="O944" s="4" t="str">
        <f t="shared" si="42"/>
        <v>maio</v>
      </c>
      <c r="P944" s="4">
        <f t="shared" si="43"/>
        <v>2025</v>
      </c>
      <c r="Q944" s="4" t="str">
        <f t="shared" si="44"/>
        <v/>
      </c>
      <c r="R944" t="s">
        <v>24</v>
      </c>
    </row>
    <row r="945" spans="1:18" x14ac:dyDescent="0.3">
      <c r="A945" s="1" t="d">
        <v>2025-05-07</v>
      </c>
      <c r="B945">
        <v>45509</v>
      </c>
      <c r="C945" t="str">
        <f>VLOOKUP(Fato_Producao[[#This Row],[referencia]], Dim_Produtos!A:B,2,FALSE)</f>
        <v>lascas bacalhau</v>
      </c>
      <c r="D945">
        <v>3579</v>
      </c>
      <c r="E945">
        <v>3251</v>
      </c>
      <c r="F945" s="5">
        <v>9.1600000000000001E-2</v>
      </c>
      <c r="G945" s="6">
        <v>91.84</v>
      </c>
      <c r="H945">
        <v>11</v>
      </c>
      <c r="I945">
        <v>312</v>
      </c>
      <c r="J945">
        <v>5</v>
      </c>
      <c r="K945">
        <f>Fato_Producao[[#This Row],[embalagens_danificadas]]+Fato_Producao[[#This Row],[peso_errado]]+Fato_Producao[[#This Row],[impressao]]</f>
        <v>328</v>
      </c>
      <c r="L945" s="1" t="d">
        <v>2025-03-22</v>
      </c>
      <c r="M945">
        <v>46</v>
      </c>
      <c r="N945" s="7">
        <v>11.94</v>
      </c>
      <c r="O945" s="4" t="str">
        <f t="shared" si="42"/>
        <v>maio</v>
      </c>
      <c r="P945" s="4">
        <f t="shared" si="43"/>
        <v>2025</v>
      </c>
      <c r="Q945" s="4" t="str">
        <f t="shared" si="44"/>
        <v/>
      </c>
      <c r="R945" t="s">
        <v>24</v>
      </c>
    </row>
    <row r="946" spans="1:18" x14ac:dyDescent="0.3">
      <c r="A946" s="1" t="d">
        <v>2025-05-08</v>
      </c>
      <c r="B946">
        <v>45506</v>
      </c>
      <c r="C946" t="str">
        <f>VLOOKUP(Fato_Producao[[#This Row],[referencia]], Dim_Produtos!A:B,2,FALSE)</f>
        <v>perca posta</v>
      </c>
      <c r="D946">
        <v>3916</v>
      </c>
      <c r="E946">
        <v>3595</v>
      </c>
      <c r="F946" s="5">
        <v>8.2000000000000003E-2</v>
      </c>
      <c r="G946" s="6">
        <v>112.35</v>
      </c>
      <c r="H946">
        <v>19</v>
      </c>
      <c r="I946">
        <v>295</v>
      </c>
      <c r="J946">
        <v>7</v>
      </c>
      <c r="K946">
        <f>Fato_Producao[[#This Row],[embalagens_danificadas]]+Fato_Producao[[#This Row],[peso_errado]]+Fato_Producao[[#This Row],[impressao]]</f>
        <v>321</v>
      </c>
      <c r="L946" s="1" t="d">
        <v>2025-03-22</v>
      </c>
      <c r="M946">
        <v>47</v>
      </c>
      <c r="N946" s="7">
        <v>16.850000000000001</v>
      </c>
      <c r="O946" s="4" t="str">
        <f t="shared" si="42"/>
        <v>maio</v>
      </c>
      <c r="P946" s="4">
        <f t="shared" si="43"/>
        <v>2025</v>
      </c>
      <c r="Q946" s="4" t="str">
        <f t="shared" si="44"/>
        <v/>
      </c>
      <c r="R946" t="s">
        <v>24</v>
      </c>
    </row>
    <row r="947" spans="1:18" x14ac:dyDescent="0.3">
      <c r="A947" s="1" t="d">
        <v>2025-05-08</v>
      </c>
      <c r="B947">
        <v>45500</v>
      </c>
      <c r="C947" t="str">
        <f>VLOOKUP(Fato_Producao[[#This Row],[referencia]], Dim_Produtos!A:B,2,FALSE)</f>
        <v>filete pescada</v>
      </c>
      <c r="D947">
        <v>3500</v>
      </c>
      <c r="E947">
        <v>3242</v>
      </c>
      <c r="F947" s="5">
        <v>7.3700000000000002E-2</v>
      </c>
      <c r="G947" s="6">
        <v>72.239999999999995</v>
      </c>
      <c r="H947">
        <v>11</v>
      </c>
      <c r="I947">
        <v>242</v>
      </c>
      <c r="J947">
        <v>5</v>
      </c>
      <c r="K947">
        <f>Fato_Producao[[#This Row],[embalagens_danificadas]]+Fato_Producao[[#This Row],[peso_errado]]+Fato_Producao[[#This Row],[impressao]]</f>
        <v>258</v>
      </c>
      <c r="L947" s="1" t="d">
        <v>2025-03-22</v>
      </c>
      <c r="M947">
        <v>47</v>
      </c>
      <c r="N947" s="7">
        <v>8.67</v>
      </c>
      <c r="O947" s="4" t="str">
        <f t="shared" si="42"/>
        <v>maio</v>
      </c>
      <c r="P947" s="4">
        <f t="shared" si="43"/>
        <v>2025</v>
      </c>
      <c r="Q947" s="4" t="str">
        <f t="shared" si="44"/>
        <v/>
      </c>
      <c r="R947" t="s">
        <v>24</v>
      </c>
    </row>
    <row r="948" spans="1:18" x14ac:dyDescent="0.3">
      <c r="A948" s="1" t="d">
        <v>2025-05-09</v>
      </c>
      <c r="B948">
        <v>45507</v>
      </c>
      <c r="C948" t="str">
        <f>VLOOKUP(Fato_Producao[[#This Row],[referencia]], Dim_Produtos!A:B,2,FALSE)</f>
        <v>salmao posta</v>
      </c>
      <c r="D948">
        <v>2416</v>
      </c>
      <c r="E948">
        <v>2258</v>
      </c>
      <c r="F948" s="5">
        <v>6.54E-2</v>
      </c>
      <c r="G948" s="6">
        <v>55.3</v>
      </c>
      <c r="H948">
        <v>3</v>
      </c>
      <c r="I948">
        <v>151</v>
      </c>
      <c r="J948">
        <v>4</v>
      </c>
      <c r="K948">
        <f>Fato_Producao[[#This Row],[embalagens_danificadas]]+Fato_Producao[[#This Row],[peso_errado]]+Fato_Producao[[#This Row],[impressao]]</f>
        <v>158</v>
      </c>
      <c r="L948" s="1" t="d">
        <v>2025-03-22</v>
      </c>
      <c r="M948">
        <v>48</v>
      </c>
      <c r="N948" s="7">
        <v>8.85</v>
      </c>
      <c r="O948" s="4" t="str">
        <f t="shared" si="42"/>
        <v>maio</v>
      </c>
      <c r="P948" s="4">
        <f t="shared" si="43"/>
        <v>2025</v>
      </c>
      <c r="Q948" s="4" t="str">
        <f t="shared" si="44"/>
        <v/>
      </c>
      <c r="R948" t="s">
        <v>24</v>
      </c>
    </row>
    <row r="949" spans="1:18" x14ac:dyDescent="0.3">
      <c r="A949" s="1" t="d">
        <v>2025-05-10</v>
      </c>
      <c r="B949">
        <v>45503</v>
      </c>
      <c r="C949" t="str">
        <f>VLOOKUP(Fato_Producao[[#This Row],[referencia]], Dim_Produtos!A:B,2,FALSE)</f>
        <v>sardinha pequena</v>
      </c>
      <c r="D949">
        <v>3833</v>
      </c>
      <c r="E949">
        <v>3433</v>
      </c>
      <c r="F949" s="5">
        <v>0.10440000000000001</v>
      </c>
      <c r="G949" s="6">
        <v>104</v>
      </c>
      <c r="H949">
        <v>15</v>
      </c>
      <c r="I949">
        <v>379</v>
      </c>
      <c r="J949">
        <v>6</v>
      </c>
      <c r="K949">
        <f>Fato_Producao[[#This Row],[embalagens_danificadas]]+Fato_Producao[[#This Row],[peso_errado]]+Fato_Producao[[#This Row],[impressao]]</f>
        <v>400</v>
      </c>
      <c r="L949" s="1" t="d">
        <v>2025-03-22</v>
      </c>
      <c r="M949">
        <v>49</v>
      </c>
      <c r="N949" s="7">
        <v>11.44</v>
      </c>
      <c r="O949" s="4" t="str">
        <f t="shared" si="42"/>
        <v>maio</v>
      </c>
      <c r="P949" s="4">
        <f t="shared" si="43"/>
        <v>2025</v>
      </c>
      <c r="Q949" s="4" t="str">
        <f t="shared" si="44"/>
        <v/>
      </c>
      <c r="R949" t="s">
        <v>24</v>
      </c>
    </row>
    <row r="950" spans="1:18" x14ac:dyDescent="0.3">
      <c r="A950" s="1" t="d">
        <v>2025-05-10</v>
      </c>
      <c r="B950">
        <v>45508</v>
      </c>
      <c r="C950" t="str">
        <f>VLOOKUP(Fato_Producao[[#This Row],[referencia]], Dim_Produtos!A:B,2,FALSE)</f>
        <v>lula suja</v>
      </c>
      <c r="D950">
        <v>3146</v>
      </c>
      <c r="E950">
        <v>2814</v>
      </c>
      <c r="F950" s="5">
        <v>0.1055</v>
      </c>
      <c r="G950" s="6">
        <v>106.24</v>
      </c>
      <c r="H950">
        <v>41</v>
      </c>
      <c r="I950">
        <v>287</v>
      </c>
      <c r="J950">
        <v>4</v>
      </c>
      <c r="K950">
        <f>Fato_Producao[[#This Row],[embalagens_danificadas]]+Fato_Producao[[#This Row],[peso_errado]]+Fato_Producao[[#This Row],[impressao]]</f>
        <v>332</v>
      </c>
      <c r="L950" s="1" t="d">
        <v>2025-03-22</v>
      </c>
      <c r="M950">
        <v>49</v>
      </c>
      <c r="N950" s="7">
        <v>14.87</v>
      </c>
      <c r="O950" s="4" t="str">
        <f t="shared" si="42"/>
        <v>maio</v>
      </c>
      <c r="P950" s="4">
        <f t="shared" si="43"/>
        <v>2025</v>
      </c>
      <c r="Q950" s="4" t="str">
        <f t="shared" si="44"/>
        <v/>
      </c>
      <c r="R950" t="s">
        <v>24</v>
      </c>
    </row>
    <row r="951" spans="1:18" x14ac:dyDescent="0.3">
      <c r="A951" s="1" t="d">
        <v>2025-05-11</v>
      </c>
      <c r="B951">
        <v>45511</v>
      </c>
      <c r="C951" t="str">
        <f>VLOOKUP(Fato_Producao[[#This Row],[referencia]], Dim_Produtos!A:B,2,FALSE)</f>
        <v>lula limpa</v>
      </c>
      <c r="D951">
        <v>4108</v>
      </c>
      <c r="E951">
        <v>3650</v>
      </c>
      <c r="F951" s="5">
        <v>0.1115</v>
      </c>
      <c r="G951" s="6">
        <v>146.56</v>
      </c>
      <c r="H951">
        <v>45</v>
      </c>
      <c r="I951">
        <v>408</v>
      </c>
      <c r="J951">
        <v>5</v>
      </c>
      <c r="K951">
        <f>Fato_Producao[[#This Row],[embalagens_danificadas]]+Fato_Producao[[#This Row],[peso_errado]]+Fato_Producao[[#This Row],[impressao]]</f>
        <v>458</v>
      </c>
      <c r="L951" s="1" t="d">
        <v>2025-03-22</v>
      </c>
      <c r="M951">
        <v>50</v>
      </c>
      <c r="N951" s="7">
        <v>20.52</v>
      </c>
      <c r="O951" s="4" t="str">
        <f t="shared" si="42"/>
        <v>maio</v>
      </c>
      <c r="P951" s="4">
        <f t="shared" si="43"/>
        <v>2025</v>
      </c>
      <c r="Q951" s="4" t="str">
        <f t="shared" si="44"/>
        <v/>
      </c>
      <c r="R951" t="s">
        <v>24</v>
      </c>
    </row>
    <row r="952" spans="1:18" x14ac:dyDescent="0.3">
      <c r="A952" s="1" t="d">
        <v>2025-05-11</v>
      </c>
      <c r="B952">
        <v>45505</v>
      </c>
      <c r="C952" t="str">
        <f>VLOOKUP(Fato_Producao[[#This Row],[referencia]], Dim_Produtos!A:B,2,FALSE)</f>
        <v>camarao</v>
      </c>
      <c r="D952">
        <v>3238</v>
      </c>
      <c r="E952">
        <v>2910</v>
      </c>
      <c r="F952" s="5">
        <v>0.1013</v>
      </c>
      <c r="G952" s="6">
        <v>98.4</v>
      </c>
      <c r="H952">
        <v>83</v>
      </c>
      <c r="I952">
        <v>235</v>
      </c>
      <c r="J952">
        <v>10</v>
      </c>
      <c r="K952">
        <f>Fato_Producao[[#This Row],[embalagens_danificadas]]+Fato_Producao[[#This Row],[peso_errado]]+Fato_Producao[[#This Row],[impressao]]</f>
        <v>328</v>
      </c>
      <c r="L952" s="1" t="d">
        <v>2025-03-22</v>
      </c>
      <c r="M952">
        <v>50</v>
      </c>
      <c r="N952" s="7">
        <v>14.76</v>
      </c>
      <c r="O952" s="4" t="str">
        <f t="shared" si="42"/>
        <v>maio</v>
      </c>
      <c r="P952" s="4">
        <f t="shared" si="43"/>
        <v>2025</v>
      </c>
      <c r="Q952" s="4" t="str">
        <f t="shared" si="44"/>
        <v/>
      </c>
      <c r="R952" t="s">
        <v>24</v>
      </c>
    </row>
    <row r="953" spans="1:18" x14ac:dyDescent="0.3">
      <c r="A953" s="1" t="d">
        <v>2025-05-12</v>
      </c>
      <c r="B953">
        <v>45503</v>
      </c>
      <c r="C953" t="str">
        <f>VLOOKUP(Fato_Producao[[#This Row],[referencia]], Dim_Produtos!A:B,2,FALSE)</f>
        <v>sardinha pequena</v>
      </c>
      <c r="D953">
        <v>2131</v>
      </c>
      <c r="E953">
        <v>1945</v>
      </c>
      <c r="F953" s="5">
        <v>8.7300000000000003E-2</v>
      </c>
      <c r="G953" s="6">
        <v>48.36</v>
      </c>
      <c r="H953">
        <v>12</v>
      </c>
      <c r="I953">
        <v>169</v>
      </c>
      <c r="J953">
        <v>5</v>
      </c>
      <c r="K953">
        <f>Fato_Producao[[#This Row],[embalagens_danificadas]]+Fato_Producao[[#This Row],[peso_errado]]+Fato_Producao[[#This Row],[impressao]]</f>
        <v>186</v>
      </c>
      <c r="L953" s="1" t="d">
        <v>2025-03-22</v>
      </c>
      <c r="M953">
        <v>51</v>
      </c>
      <c r="N953" s="7">
        <v>5.32</v>
      </c>
      <c r="O953" s="4" t="str">
        <f t="shared" si="42"/>
        <v>maio</v>
      </c>
      <c r="P953" s="4">
        <f t="shared" si="43"/>
        <v>2025</v>
      </c>
      <c r="Q953" s="4" t="str">
        <f t="shared" si="44"/>
        <v/>
      </c>
      <c r="R953" t="s">
        <v>24</v>
      </c>
    </row>
    <row r="954" spans="1:18" x14ac:dyDescent="0.3">
      <c r="A954" s="1" t="d">
        <v>2025-05-12</v>
      </c>
      <c r="B954">
        <v>45513</v>
      </c>
      <c r="C954" t="str">
        <f>VLOOKUP(Fato_Producao[[#This Row],[referencia]], Dim_Produtos!A:B,2,FALSE)</f>
        <v>filete pescada</v>
      </c>
      <c r="D954">
        <v>2527</v>
      </c>
      <c r="E954">
        <v>2316</v>
      </c>
      <c r="F954" s="5">
        <v>8.3500000000000005E-2</v>
      </c>
      <c r="G954" s="6">
        <v>67.52</v>
      </c>
      <c r="H954">
        <v>14</v>
      </c>
      <c r="I954">
        <v>192</v>
      </c>
      <c r="J954">
        <v>5</v>
      </c>
      <c r="K954">
        <f>Fato_Producao[[#This Row],[embalagens_danificadas]]+Fato_Producao[[#This Row],[peso_errado]]+Fato_Producao[[#This Row],[impressao]]</f>
        <v>211</v>
      </c>
      <c r="L954" s="1" t="d">
        <v>2025-03-22</v>
      </c>
      <c r="M954">
        <v>51</v>
      </c>
      <c r="N954" s="7">
        <v>8.7799999999999994</v>
      </c>
      <c r="O954" s="4" t="str">
        <f t="shared" si="42"/>
        <v>maio</v>
      </c>
      <c r="P954" s="4">
        <f t="shared" si="43"/>
        <v>2025</v>
      </c>
      <c r="Q954" s="4">
        <f t="shared" si="44"/>
        <v>51</v>
      </c>
      <c r="R954" t="s">
        <v>24</v>
      </c>
    </row>
    <row r="955" spans="1:18" x14ac:dyDescent="0.3">
      <c r="A955" s="1" t="d">
        <v>2025-05-13</v>
      </c>
      <c r="B955">
        <v>45501</v>
      </c>
      <c r="C955" t="str">
        <f>VLOOKUP(Fato_Producao[[#This Row],[referencia]], Dim_Produtos!A:B,2,FALSE)</f>
        <v>pescada posta cozer</v>
      </c>
      <c r="D955">
        <v>3350</v>
      </c>
      <c r="E955">
        <v>3209</v>
      </c>
      <c r="F955" s="5">
        <v>4.2099999999999999E-2</v>
      </c>
      <c r="G955" s="6">
        <v>45.12</v>
      </c>
      <c r="H955">
        <v>6</v>
      </c>
      <c r="I955">
        <v>133</v>
      </c>
      <c r="J955">
        <v>2</v>
      </c>
      <c r="K955">
        <f>Fato_Producao[[#This Row],[embalagens_danificadas]]+Fato_Producao[[#This Row],[peso_errado]]+Fato_Producao[[#This Row],[impressao]]</f>
        <v>141</v>
      </c>
      <c r="L955" s="1" t="d">
        <v>2025-05-13</v>
      </c>
      <c r="M955">
        <v>0</v>
      </c>
      <c r="N955" s="7">
        <v>6.32</v>
      </c>
      <c r="O955" s="4" t="str">
        <f t="shared" si="42"/>
        <v>maio</v>
      </c>
      <c r="P955" s="4">
        <f t="shared" si="43"/>
        <v>2025</v>
      </c>
      <c r="Q955" s="4" t="str">
        <f t="shared" si="44"/>
        <v/>
      </c>
      <c r="R955" t="s">
        <v>24</v>
      </c>
    </row>
    <row r="956" spans="1:18" x14ac:dyDescent="0.3">
      <c r="A956" s="1" t="d">
        <v>2025-05-13</v>
      </c>
      <c r="B956">
        <v>45508</v>
      </c>
      <c r="C956" t="str">
        <f>VLOOKUP(Fato_Producao[[#This Row],[referencia]], Dim_Produtos!A:B,2,FALSE)</f>
        <v>lula suja</v>
      </c>
      <c r="D956">
        <v>2777</v>
      </c>
      <c r="E956">
        <v>2596</v>
      </c>
      <c r="F956" s="5">
        <v>6.5199999999999994E-2</v>
      </c>
      <c r="G956" s="6">
        <v>57.92</v>
      </c>
      <c r="H956">
        <v>17</v>
      </c>
      <c r="I956">
        <v>160</v>
      </c>
      <c r="J956">
        <v>4</v>
      </c>
      <c r="K956">
        <f>Fato_Producao[[#This Row],[embalagens_danificadas]]+Fato_Producao[[#This Row],[peso_errado]]+Fato_Producao[[#This Row],[impressao]]</f>
        <v>181</v>
      </c>
      <c r="L956" s="1" t="d">
        <v>2025-05-13</v>
      </c>
      <c r="M956">
        <v>0</v>
      </c>
      <c r="N956" s="7">
        <v>8.11</v>
      </c>
      <c r="O956" s="4" t="str">
        <f t="shared" si="42"/>
        <v>maio</v>
      </c>
      <c r="P956" s="4">
        <f t="shared" si="43"/>
        <v>2025</v>
      </c>
      <c r="Q956" s="4" t="str">
        <f t="shared" si="44"/>
        <v/>
      </c>
      <c r="R956" t="s">
        <v>24</v>
      </c>
    </row>
    <row r="957" spans="1:18" x14ac:dyDescent="0.3">
      <c r="A957" s="1" t="d">
        <v>2025-05-14</v>
      </c>
      <c r="B957">
        <v>45513</v>
      </c>
      <c r="C957" t="str">
        <f>VLOOKUP(Fato_Producao[[#This Row],[referencia]], Dim_Produtos!A:B,2,FALSE)</f>
        <v>filete pescada</v>
      </c>
      <c r="D957">
        <v>2902</v>
      </c>
      <c r="E957">
        <v>2770</v>
      </c>
      <c r="F957" s="5">
        <v>4.5499999999999999E-2</v>
      </c>
      <c r="G957" s="6">
        <v>42.24</v>
      </c>
      <c r="H957">
        <v>3</v>
      </c>
      <c r="I957">
        <v>125</v>
      </c>
      <c r="J957">
        <v>4</v>
      </c>
      <c r="K957">
        <f>Fato_Producao[[#This Row],[embalagens_danificadas]]+Fato_Producao[[#This Row],[peso_errado]]+Fato_Producao[[#This Row],[impressao]]</f>
        <v>132</v>
      </c>
      <c r="L957" s="1" t="d">
        <v>2025-05-13</v>
      </c>
      <c r="M957">
        <v>1</v>
      </c>
      <c r="N957" s="7">
        <v>5.49</v>
      </c>
      <c r="O957" s="4" t="str">
        <f t="shared" si="42"/>
        <v>maio</v>
      </c>
      <c r="P957" s="4">
        <f t="shared" si="43"/>
        <v>2025</v>
      </c>
      <c r="Q957" s="4" t="str">
        <f t="shared" si="44"/>
        <v/>
      </c>
      <c r="R957" t="s">
        <v>24</v>
      </c>
    </row>
    <row r="958" spans="1:18" x14ac:dyDescent="0.3">
      <c r="A958" s="1" t="d">
        <v>2025-05-14</v>
      </c>
      <c r="B958">
        <v>45508</v>
      </c>
      <c r="C958" t="str">
        <f>VLOOKUP(Fato_Producao[[#This Row],[referencia]], Dim_Produtos!A:B,2,FALSE)</f>
        <v>lula suja</v>
      </c>
      <c r="D958">
        <v>4033</v>
      </c>
      <c r="E958">
        <v>3821</v>
      </c>
      <c r="F958" s="5">
        <v>5.2600000000000001E-2</v>
      </c>
      <c r="G958" s="6">
        <v>67.84</v>
      </c>
      <c r="H958">
        <v>24</v>
      </c>
      <c r="I958">
        <v>184</v>
      </c>
      <c r="J958">
        <v>4</v>
      </c>
      <c r="K958">
        <f>Fato_Producao[[#This Row],[embalagens_danificadas]]+Fato_Producao[[#This Row],[peso_errado]]+Fato_Producao[[#This Row],[impressao]]</f>
        <v>212</v>
      </c>
      <c r="L958" s="1" t="d">
        <v>2025-05-13</v>
      </c>
      <c r="M958">
        <v>1</v>
      </c>
      <c r="N958" s="7">
        <v>9.5</v>
      </c>
      <c r="O958" s="4" t="str">
        <f t="shared" si="42"/>
        <v>maio</v>
      </c>
      <c r="P958" s="4">
        <f t="shared" si="43"/>
        <v>2025</v>
      </c>
      <c r="Q958" s="4" t="str">
        <f t="shared" si="44"/>
        <v/>
      </c>
      <c r="R958" t="s">
        <v>24</v>
      </c>
    </row>
    <row r="959" spans="1:18" x14ac:dyDescent="0.3">
      <c r="A959" s="1" t="d">
        <v>2025-05-15</v>
      </c>
      <c r="B959">
        <v>45513</v>
      </c>
      <c r="C959" t="str">
        <f>VLOOKUP(Fato_Producao[[#This Row],[referencia]], Dim_Produtos!A:B,2,FALSE)</f>
        <v>filete pescada</v>
      </c>
      <c r="D959">
        <v>3353</v>
      </c>
      <c r="E959">
        <v>3180</v>
      </c>
      <c r="F959" s="5">
        <v>5.16E-2</v>
      </c>
      <c r="G959" s="6">
        <v>55.36</v>
      </c>
      <c r="H959">
        <v>3</v>
      </c>
      <c r="I959">
        <v>166</v>
      </c>
      <c r="J959">
        <v>4</v>
      </c>
      <c r="K959">
        <f>Fato_Producao[[#This Row],[embalagens_danificadas]]+Fato_Producao[[#This Row],[peso_errado]]+Fato_Producao[[#This Row],[impressao]]</f>
        <v>173</v>
      </c>
      <c r="L959" s="1" t="d">
        <v>2025-05-13</v>
      </c>
      <c r="M959">
        <v>2</v>
      </c>
      <c r="N959" s="7">
        <v>7.2</v>
      </c>
      <c r="O959" s="4" t="str">
        <f t="shared" si="42"/>
        <v>maio</v>
      </c>
      <c r="P959" s="4">
        <f t="shared" si="43"/>
        <v>2025</v>
      </c>
      <c r="Q959" s="4" t="str">
        <f t="shared" si="44"/>
        <v/>
      </c>
      <c r="R959" t="s">
        <v>24</v>
      </c>
    </row>
    <row r="960" spans="1:18" x14ac:dyDescent="0.3">
      <c r="A960" s="1" t="d">
        <v>2025-05-15</v>
      </c>
      <c r="B960">
        <v>45502</v>
      </c>
      <c r="C960" t="str">
        <f>VLOOKUP(Fato_Producao[[#This Row],[referencia]], Dim_Produtos!A:B,2,FALSE)</f>
        <v>carapau pelim</v>
      </c>
      <c r="D960">
        <v>2125</v>
      </c>
      <c r="E960">
        <v>2010</v>
      </c>
      <c r="F960" s="5">
        <v>5.4100000000000002E-2</v>
      </c>
      <c r="G960" s="6">
        <v>34.5</v>
      </c>
      <c r="H960">
        <v>22</v>
      </c>
      <c r="I960">
        <v>91</v>
      </c>
      <c r="J960">
        <v>2</v>
      </c>
      <c r="K960">
        <f>Fato_Producao[[#This Row],[embalagens_danificadas]]+Fato_Producao[[#This Row],[peso_errado]]+Fato_Producao[[#This Row],[impressao]]</f>
        <v>115</v>
      </c>
      <c r="L960" s="1" t="d">
        <v>2025-05-13</v>
      </c>
      <c r="M960">
        <v>2</v>
      </c>
      <c r="N960" s="7">
        <v>4.49</v>
      </c>
      <c r="O960" s="4" t="str">
        <f t="shared" si="42"/>
        <v>maio</v>
      </c>
      <c r="P960" s="4">
        <f t="shared" si="43"/>
        <v>2025</v>
      </c>
      <c r="Q960" s="4" t="str">
        <f t="shared" si="44"/>
        <v/>
      </c>
      <c r="R960" t="s">
        <v>24</v>
      </c>
    </row>
    <row r="961" spans="1:18" x14ac:dyDescent="0.3">
      <c r="A961" s="1" t="d">
        <v>2025-05-16</v>
      </c>
      <c r="B961">
        <v>45510</v>
      </c>
      <c r="C961" t="str">
        <f>VLOOKUP(Fato_Producao[[#This Row],[referencia]], Dim_Produtos!A:B,2,FALSE)</f>
        <v>tiras pota</v>
      </c>
      <c r="D961">
        <v>3223</v>
      </c>
      <c r="E961">
        <v>2959</v>
      </c>
      <c r="F961" s="5">
        <v>8.1900000000000001E-2</v>
      </c>
      <c r="G961" s="6">
        <v>84.48</v>
      </c>
      <c r="H961">
        <v>30</v>
      </c>
      <c r="I961">
        <v>230</v>
      </c>
      <c r="J961">
        <v>4</v>
      </c>
      <c r="K961">
        <f>Fato_Producao[[#This Row],[embalagens_danificadas]]+Fato_Producao[[#This Row],[peso_errado]]+Fato_Producao[[#This Row],[impressao]]</f>
        <v>264</v>
      </c>
      <c r="L961" s="1" t="d">
        <v>2025-05-13</v>
      </c>
      <c r="M961">
        <v>3</v>
      </c>
      <c r="N961" s="7">
        <v>11.83</v>
      </c>
      <c r="O961" s="4" t="str">
        <f t="shared" si="42"/>
        <v>maio</v>
      </c>
      <c r="P961" s="4">
        <f t="shared" si="43"/>
        <v>2025</v>
      </c>
      <c r="Q961" s="4" t="str">
        <f t="shared" si="44"/>
        <v/>
      </c>
      <c r="R961" t="s">
        <v>24</v>
      </c>
    </row>
    <row r="962" spans="1:18" x14ac:dyDescent="0.3">
      <c r="A962" s="1" t="d">
        <v>2025-05-16</v>
      </c>
      <c r="B962">
        <v>45506</v>
      </c>
      <c r="C962" t="str">
        <f>VLOOKUP(Fato_Producao[[#This Row],[referencia]], Dim_Produtos!A:B,2,FALSE)</f>
        <v>perca posta</v>
      </c>
      <c r="D962">
        <v>3095</v>
      </c>
      <c r="E962">
        <v>2969</v>
      </c>
      <c r="F962" s="5">
        <v>4.07E-2</v>
      </c>
      <c r="G962" s="6">
        <v>44.1</v>
      </c>
      <c r="H962">
        <v>6</v>
      </c>
      <c r="I962">
        <v>117</v>
      </c>
      <c r="J962">
        <v>3</v>
      </c>
      <c r="K962">
        <f>Fato_Producao[[#This Row],[embalagens_danificadas]]+Fato_Producao[[#This Row],[peso_errado]]+Fato_Producao[[#This Row],[impressao]]</f>
        <v>126</v>
      </c>
      <c r="L962" s="1" t="d">
        <v>2025-05-13</v>
      </c>
      <c r="M962">
        <v>3</v>
      </c>
      <c r="N962" s="7">
        <v>6.62</v>
      </c>
      <c r="O962" s="4" t="str">
        <f t="shared" ref="O962:O1025" si="45">TEXT(A962, "mmmm")</f>
        <v>maio</v>
      </c>
      <c r="P962" s="4">
        <f t="shared" ref="P962:P1025" si="46">YEAR(A962)</f>
        <v>2025</v>
      </c>
      <c r="Q962" s="4" t="str">
        <f t="shared" ref="Q962:Q1025" si="47">IF(M963 &gt;= M962, "", M962)</f>
        <v/>
      </c>
      <c r="R962" t="s">
        <v>24</v>
      </c>
    </row>
    <row r="963" spans="1:18" x14ac:dyDescent="0.3">
      <c r="A963" s="1" t="d">
        <v>2025-05-17</v>
      </c>
      <c r="B963">
        <v>45500</v>
      </c>
      <c r="C963" t="str">
        <f>VLOOKUP(Fato_Producao[[#This Row],[referencia]], Dim_Produtos!A:B,2,FALSE)</f>
        <v>filete pescada</v>
      </c>
      <c r="D963">
        <v>3111</v>
      </c>
      <c r="E963">
        <v>2971</v>
      </c>
      <c r="F963" s="5">
        <v>4.4999999999999998E-2</v>
      </c>
      <c r="G963" s="6">
        <v>39.200000000000003</v>
      </c>
      <c r="H963">
        <v>5</v>
      </c>
      <c r="I963">
        <v>131</v>
      </c>
      <c r="J963">
        <v>4</v>
      </c>
      <c r="K963">
        <f>Fato_Producao[[#This Row],[embalagens_danificadas]]+Fato_Producao[[#This Row],[peso_errado]]+Fato_Producao[[#This Row],[impressao]]</f>
        <v>140</v>
      </c>
      <c r="L963" s="1" t="d">
        <v>2025-05-13</v>
      </c>
      <c r="M963">
        <v>4</v>
      </c>
      <c r="N963" s="7">
        <v>4.7</v>
      </c>
      <c r="O963" s="4" t="str">
        <f t="shared" si="45"/>
        <v>maio</v>
      </c>
      <c r="P963" s="4">
        <f t="shared" si="46"/>
        <v>2025</v>
      </c>
      <c r="Q963" s="4" t="str">
        <f t="shared" si="47"/>
        <v/>
      </c>
      <c r="R963" t="s">
        <v>24</v>
      </c>
    </row>
    <row r="964" spans="1:18" x14ac:dyDescent="0.3">
      <c r="A964" s="1" t="d">
        <v>2025-05-18</v>
      </c>
      <c r="B964">
        <v>45511</v>
      </c>
      <c r="C964" t="str">
        <f>VLOOKUP(Fato_Producao[[#This Row],[referencia]], Dim_Produtos!A:B,2,FALSE)</f>
        <v>lula limpa</v>
      </c>
      <c r="D964">
        <v>2236</v>
      </c>
      <c r="E964">
        <v>2083</v>
      </c>
      <c r="F964" s="5">
        <v>6.8400000000000002E-2</v>
      </c>
      <c r="G964" s="6">
        <v>48.96</v>
      </c>
      <c r="H964">
        <v>16</v>
      </c>
      <c r="I964">
        <v>134</v>
      </c>
      <c r="J964">
        <v>3</v>
      </c>
      <c r="K964">
        <f>Fato_Producao[[#This Row],[embalagens_danificadas]]+Fato_Producao[[#This Row],[peso_errado]]+Fato_Producao[[#This Row],[impressao]]</f>
        <v>153</v>
      </c>
      <c r="L964" s="1" t="d">
        <v>2025-05-13</v>
      </c>
      <c r="M964">
        <v>5</v>
      </c>
      <c r="N964" s="7">
        <v>6.85</v>
      </c>
      <c r="O964" s="4" t="str">
        <f t="shared" si="45"/>
        <v>maio</v>
      </c>
      <c r="P964" s="4">
        <f t="shared" si="46"/>
        <v>2025</v>
      </c>
      <c r="Q964" s="4" t="str">
        <f t="shared" si="47"/>
        <v/>
      </c>
      <c r="R964" t="s">
        <v>24</v>
      </c>
    </row>
    <row r="965" spans="1:18" x14ac:dyDescent="0.3">
      <c r="A965" s="1" t="d">
        <v>2025-05-19</v>
      </c>
      <c r="B965">
        <v>45501</v>
      </c>
      <c r="C965" t="str">
        <f>VLOOKUP(Fato_Producao[[#This Row],[referencia]], Dim_Produtos!A:B,2,FALSE)</f>
        <v>pescada posta cozer</v>
      </c>
      <c r="D965">
        <v>2036</v>
      </c>
      <c r="E965">
        <v>1931</v>
      </c>
      <c r="F965" s="5">
        <v>5.16E-2</v>
      </c>
      <c r="G965" s="6">
        <v>33.6</v>
      </c>
      <c r="H965">
        <v>5</v>
      </c>
      <c r="I965">
        <v>97</v>
      </c>
      <c r="J965">
        <v>3</v>
      </c>
      <c r="K965">
        <f>Fato_Producao[[#This Row],[embalagens_danificadas]]+Fato_Producao[[#This Row],[peso_errado]]+Fato_Producao[[#This Row],[impressao]]</f>
        <v>105</v>
      </c>
      <c r="L965" s="1" t="d">
        <v>2025-05-13</v>
      </c>
      <c r="M965">
        <v>6</v>
      </c>
      <c r="N965" s="7">
        <v>4.7</v>
      </c>
      <c r="O965" s="4" t="str">
        <f t="shared" si="45"/>
        <v>maio</v>
      </c>
      <c r="P965" s="4">
        <f t="shared" si="46"/>
        <v>2025</v>
      </c>
      <c r="Q965" s="4" t="str">
        <f t="shared" si="47"/>
        <v/>
      </c>
      <c r="R965" t="s">
        <v>24</v>
      </c>
    </row>
    <row r="966" spans="1:18" x14ac:dyDescent="0.3">
      <c r="A966" s="1" t="d">
        <v>2025-05-20</v>
      </c>
      <c r="B966">
        <v>45509</v>
      </c>
      <c r="C966" t="str">
        <f>VLOOKUP(Fato_Producao[[#This Row],[referencia]], Dim_Produtos!A:B,2,FALSE)</f>
        <v>lascas bacalhau</v>
      </c>
      <c r="D966">
        <v>2790</v>
      </c>
      <c r="E966">
        <v>2653</v>
      </c>
      <c r="F966" s="5">
        <v>4.9099999999999998E-2</v>
      </c>
      <c r="G966" s="6">
        <v>38.36</v>
      </c>
      <c r="H966">
        <v>9</v>
      </c>
      <c r="I966">
        <v>126</v>
      </c>
      <c r="J966">
        <v>2</v>
      </c>
      <c r="K966">
        <f>Fato_Producao[[#This Row],[embalagens_danificadas]]+Fato_Producao[[#This Row],[peso_errado]]+Fato_Producao[[#This Row],[impressao]]</f>
        <v>137</v>
      </c>
      <c r="L966" s="1" t="d">
        <v>2025-05-13</v>
      </c>
      <c r="M966">
        <v>7</v>
      </c>
      <c r="N966" s="7">
        <v>4.99</v>
      </c>
      <c r="O966" s="4" t="str">
        <f t="shared" si="45"/>
        <v>maio</v>
      </c>
      <c r="P966" s="4">
        <f t="shared" si="46"/>
        <v>2025</v>
      </c>
      <c r="Q966" s="4" t="str">
        <f t="shared" si="47"/>
        <v/>
      </c>
      <c r="R966" t="s">
        <v>24</v>
      </c>
    </row>
    <row r="967" spans="1:18" x14ac:dyDescent="0.3">
      <c r="A967" s="1" t="d">
        <v>2025-05-21</v>
      </c>
      <c r="B967">
        <v>45514</v>
      </c>
      <c r="C967" t="str">
        <f>VLOOKUP(Fato_Producao[[#This Row],[referencia]], Dim_Produtos!A:B,2,FALSE)</f>
        <v>sardinha pequena</v>
      </c>
      <c r="D967">
        <v>3872</v>
      </c>
      <c r="E967">
        <v>3649</v>
      </c>
      <c r="F967" s="5">
        <v>5.7599999999999998E-2</v>
      </c>
      <c r="G967" s="6">
        <v>66.900000000000006</v>
      </c>
      <c r="H967">
        <v>17</v>
      </c>
      <c r="I967">
        <v>203</v>
      </c>
      <c r="J967">
        <v>3</v>
      </c>
      <c r="K967">
        <f>Fato_Producao[[#This Row],[embalagens_danificadas]]+Fato_Producao[[#This Row],[peso_errado]]+Fato_Producao[[#This Row],[impressao]]</f>
        <v>223</v>
      </c>
      <c r="L967" s="1" t="d">
        <v>2025-05-13</v>
      </c>
      <c r="M967">
        <v>8</v>
      </c>
      <c r="N967" s="7">
        <v>8.0299999999999994</v>
      </c>
      <c r="O967" s="4" t="str">
        <f t="shared" si="45"/>
        <v>maio</v>
      </c>
      <c r="P967" s="4">
        <f t="shared" si="46"/>
        <v>2025</v>
      </c>
      <c r="Q967" s="4" t="str">
        <f t="shared" si="47"/>
        <v/>
      </c>
      <c r="R967" t="s">
        <v>24</v>
      </c>
    </row>
    <row r="968" spans="1:18" x14ac:dyDescent="0.3">
      <c r="A968" s="1" t="d">
        <v>2025-05-22</v>
      </c>
      <c r="B968">
        <v>45508</v>
      </c>
      <c r="C968" t="str">
        <f>VLOOKUP(Fato_Producao[[#This Row],[referencia]], Dim_Produtos!A:B,2,FALSE)</f>
        <v>lula suja</v>
      </c>
      <c r="D968">
        <v>4074</v>
      </c>
      <c r="E968">
        <v>3753</v>
      </c>
      <c r="F968" s="5">
        <v>7.8799999999999995E-2</v>
      </c>
      <c r="G968" s="6">
        <v>102.72</v>
      </c>
      <c r="H968">
        <v>25</v>
      </c>
      <c r="I968">
        <v>286</v>
      </c>
      <c r="J968">
        <v>10</v>
      </c>
      <c r="K968">
        <f>Fato_Producao[[#This Row],[embalagens_danificadas]]+Fato_Producao[[#This Row],[peso_errado]]+Fato_Producao[[#This Row],[impressao]]</f>
        <v>321</v>
      </c>
      <c r="L968" s="1" t="d">
        <v>2025-05-13</v>
      </c>
      <c r="M968">
        <v>9</v>
      </c>
      <c r="N968" s="7">
        <v>14.38</v>
      </c>
      <c r="O968" s="4" t="str">
        <f t="shared" si="45"/>
        <v>maio</v>
      </c>
      <c r="P968" s="4">
        <f t="shared" si="46"/>
        <v>2025</v>
      </c>
      <c r="Q968" s="4" t="str">
        <f t="shared" si="47"/>
        <v/>
      </c>
      <c r="R968" t="s">
        <v>24</v>
      </c>
    </row>
    <row r="969" spans="1:18" x14ac:dyDescent="0.3">
      <c r="A969" s="1" t="d">
        <v>2025-05-22</v>
      </c>
      <c r="B969">
        <v>45514</v>
      </c>
      <c r="C969" t="str">
        <f>VLOOKUP(Fato_Producao[[#This Row],[referencia]], Dim_Produtos!A:B,2,FALSE)</f>
        <v>sardinha pequena</v>
      </c>
      <c r="D969">
        <v>2232</v>
      </c>
      <c r="E969">
        <v>2078</v>
      </c>
      <c r="F969" s="5">
        <v>6.9000000000000006E-2</v>
      </c>
      <c r="G969" s="6">
        <v>46.2</v>
      </c>
      <c r="H969">
        <v>8</v>
      </c>
      <c r="I969">
        <v>144</v>
      </c>
      <c r="J969">
        <v>2</v>
      </c>
      <c r="K969">
        <f>Fato_Producao[[#This Row],[embalagens_danificadas]]+Fato_Producao[[#This Row],[peso_errado]]+Fato_Producao[[#This Row],[impressao]]</f>
        <v>154</v>
      </c>
      <c r="L969" s="1" t="d">
        <v>2025-05-13</v>
      </c>
      <c r="M969">
        <v>9</v>
      </c>
      <c r="N969" s="7">
        <v>5.54</v>
      </c>
      <c r="O969" s="4" t="str">
        <f t="shared" si="45"/>
        <v>maio</v>
      </c>
      <c r="P969" s="4">
        <f t="shared" si="46"/>
        <v>2025</v>
      </c>
      <c r="Q969" s="4" t="str">
        <f t="shared" si="47"/>
        <v/>
      </c>
      <c r="R969" t="s">
        <v>24</v>
      </c>
    </row>
    <row r="970" spans="1:18" x14ac:dyDescent="0.3">
      <c r="A970" s="1" t="d">
        <v>2025-05-23</v>
      </c>
      <c r="B970">
        <v>45514</v>
      </c>
      <c r="C970" t="str">
        <f>VLOOKUP(Fato_Producao[[#This Row],[referencia]], Dim_Produtos!A:B,2,FALSE)</f>
        <v>sardinha pequena</v>
      </c>
      <c r="D970">
        <v>2738</v>
      </c>
      <c r="E970">
        <v>2514</v>
      </c>
      <c r="F970" s="5">
        <v>8.1799999999999998E-2</v>
      </c>
      <c r="G970" s="6">
        <v>67.2</v>
      </c>
      <c r="H970">
        <v>17</v>
      </c>
      <c r="I970">
        <v>205</v>
      </c>
      <c r="J970">
        <v>2</v>
      </c>
      <c r="K970">
        <f>Fato_Producao[[#This Row],[embalagens_danificadas]]+Fato_Producao[[#This Row],[peso_errado]]+Fato_Producao[[#This Row],[impressao]]</f>
        <v>224</v>
      </c>
      <c r="L970" s="1" t="d">
        <v>2025-05-13</v>
      </c>
      <c r="M970">
        <v>10</v>
      </c>
      <c r="N970" s="7">
        <v>8.06</v>
      </c>
      <c r="O970" s="4" t="str">
        <f t="shared" si="45"/>
        <v>maio</v>
      </c>
      <c r="P970" s="4">
        <f t="shared" si="46"/>
        <v>2025</v>
      </c>
      <c r="Q970" s="4" t="str">
        <f t="shared" si="47"/>
        <v/>
      </c>
      <c r="R970" t="s">
        <v>24</v>
      </c>
    </row>
    <row r="971" spans="1:18" x14ac:dyDescent="0.3">
      <c r="A971" s="1" t="d">
        <v>2025-05-24</v>
      </c>
      <c r="B971">
        <v>45503</v>
      </c>
      <c r="C971" t="str">
        <f>VLOOKUP(Fato_Producao[[#This Row],[referencia]], Dim_Produtos!A:B,2,FALSE)</f>
        <v>sardinha pequena</v>
      </c>
      <c r="D971">
        <v>2013</v>
      </c>
      <c r="E971">
        <v>1901</v>
      </c>
      <c r="F971" s="5">
        <v>5.5599999999999997E-2</v>
      </c>
      <c r="G971" s="6">
        <v>29.12</v>
      </c>
      <c r="H971">
        <v>4</v>
      </c>
      <c r="I971">
        <v>105</v>
      </c>
      <c r="J971">
        <v>3</v>
      </c>
      <c r="K971">
        <f>Fato_Producao[[#This Row],[embalagens_danificadas]]+Fato_Producao[[#This Row],[peso_errado]]+Fato_Producao[[#This Row],[impressao]]</f>
        <v>112</v>
      </c>
      <c r="L971" s="1" t="d">
        <v>2025-05-13</v>
      </c>
      <c r="M971">
        <v>11</v>
      </c>
      <c r="N971" s="7">
        <v>3.2</v>
      </c>
      <c r="O971" s="4" t="str">
        <f t="shared" si="45"/>
        <v>maio</v>
      </c>
      <c r="P971" s="4">
        <f t="shared" si="46"/>
        <v>2025</v>
      </c>
      <c r="Q971" s="4" t="str">
        <f t="shared" si="47"/>
        <v/>
      </c>
      <c r="R971" t="s">
        <v>24</v>
      </c>
    </row>
    <row r="972" spans="1:18" x14ac:dyDescent="0.3">
      <c r="A972" s="1" t="d">
        <v>2025-05-25</v>
      </c>
      <c r="B972">
        <v>45507</v>
      </c>
      <c r="C972" t="str">
        <f>VLOOKUP(Fato_Producao[[#This Row],[referencia]], Dim_Produtos!A:B,2,FALSE)</f>
        <v>salmao posta</v>
      </c>
      <c r="D972">
        <v>3529</v>
      </c>
      <c r="E972">
        <v>3365</v>
      </c>
      <c r="F972" s="5">
        <v>4.65E-2</v>
      </c>
      <c r="G972" s="6">
        <v>57.4</v>
      </c>
      <c r="H972">
        <v>7</v>
      </c>
      <c r="I972">
        <v>153</v>
      </c>
      <c r="J972">
        <v>4</v>
      </c>
      <c r="K972">
        <f>Fato_Producao[[#This Row],[embalagens_danificadas]]+Fato_Producao[[#This Row],[peso_errado]]+Fato_Producao[[#This Row],[impressao]]</f>
        <v>164</v>
      </c>
      <c r="L972" s="1" t="d">
        <v>2025-05-13</v>
      </c>
      <c r="M972">
        <v>12</v>
      </c>
      <c r="N972" s="7">
        <v>9.18</v>
      </c>
      <c r="O972" s="4" t="str">
        <f t="shared" si="45"/>
        <v>maio</v>
      </c>
      <c r="P972" s="4">
        <f t="shared" si="46"/>
        <v>2025</v>
      </c>
      <c r="Q972" s="4" t="str">
        <f t="shared" si="47"/>
        <v/>
      </c>
      <c r="R972" t="s">
        <v>24</v>
      </c>
    </row>
    <row r="973" spans="1:18" x14ac:dyDescent="0.3">
      <c r="A973" s="1" t="d">
        <v>2025-05-25</v>
      </c>
      <c r="B973">
        <v>45502</v>
      </c>
      <c r="C973" t="str">
        <f>VLOOKUP(Fato_Producao[[#This Row],[referencia]], Dim_Produtos!A:B,2,FALSE)</f>
        <v>carapau pelim</v>
      </c>
      <c r="D973">
        <v>2194</v>
      </c>
      <c r="E973">
        <v>2045</v>
      </c>
      <c r="F973" s="5">
        <v>6.7900000000000002E-2</v>
      </c>
      <c r="G973" s="6">
        <v>44.7</v>
      </c>
      <c r="H973">
        <v>38</v>
      </c>
      <c r="I973">
        <v>109</v>
      </c>
      <c r="J973">
        <v>2</v>
      </c>
      <c r="K973">
        <f>Fato_Producao[[#This Row],[embalagens_danificadas]]+Fato_Producao[[#This Row],[peso_errado]]+Fato_Producao[[#This Row],[impressao]]</f>
        <v>149</v>
      </c>
      <c r="L973" s="1" t="d">
        <v>2025-05-13</v>
      </c>
      <c r="M973">
        <v>12</v>
      </c>
      <c r="N973" s="7">
        <v>5.81</v>
      </c>
      <c r="O973" s="4" t="str">
        <f t="shared" si="45"/>
        <v>maio</v>
      </c>
      <c r="P973" s="4">
        <f t="shared" si="46"/>
        <v>2025</v>
      </c>
      <c r="Q973" s="4" t="str">
        <f t="shared" si="47"/>
        <v/>
      </c>
      <c r="R973" t="s">
        <v>24</v>
      </c>
    </row>
    <row r="974" spans="1:18" x14ac:dyDescent="0.3">
      <c r="A974" s="1" t="d">
        <v>2025-05-26</v>
      </c>
      <c r="B974">
        <v>45511</v>
      </c>
      <c r="C974" t="str">
        <f>VLOOKUP(Fato_Producao[[#This Row],[referencia]], Dim_Produtos!A:B,2,FALSE)</f>
        <v>lula limpa</v>
      </c>
      <c r="D974">
        <v>1874</v>
      </c>
      <c r="E974">
        <v>1745</v>
      </c>
      <c r="F974" s="5">
        <v>6.88E-2</v>
      </c>
      <c r="G974" s="6">
        <v>41.28</v>
      </c>
      <c r="H974">
        <v>12</v>
      </c>
      <c r="I974">
        <v>115</v>
      </c>
      <c r="J974">
        <v>2</v>
      </c>
      <c r="K974">
        <f>Fato_Producao[[#This Row],[embalagens_danificadas]]+Fato_Producao[[#This Row],[peso_errado]]+Fato_Producao[[#This Row],[impressao]]</f>
        <v>129</v>
      </c>
      <c r="L974" s="1" t="d">
        <v>2025-05-13</v>
      </c>
      <c r="M974">
        <v>13</v>
      </c>
      <c r="N974" s="7">
        <v>5.78</v>
      </c>
      <c r="O974" s="4" t="str">
        <f t="shared" si="45"/>
        <v>maio</v>
      </c>
      <c r="P974" s="4">
        <f t="shared" si="46"/>
        <v>2025</v>
      </c>
      <c r="Q974" s="4" t="str">
        <f t="shared" si="47"/>
        <v/>
      </c>
      <c r="R974" t="s">
        <v>24</v>
      </c>
    </row>
    <row r="975" spans="1:18" x14ac:dyDescent="0.3">
      <c r="A975" s="1" t="d">
        <v>2025-05-27</v>
      </c>
      <c r="B975">
        <v>45512</v>
      </c>
      <c r="C975" t="str">
        <f>VLOOKUP(Fato_Producao[[#This Row],[referencia]], Dim_Produtos!A:B,2,FALSE)</f>
        <v>red-fish posta</v>
      </c>
      <c r="D975">
        <v>2892</v>
      </c>
      <c r="E975">
        <v>2725</v>
      </c>
      <c r="F975" s="5">
        <v>5.7700000000000001E-2</v>
      </c>
      <c r="G975" s="6">
        <v>56.78</v>
      </c>
      <c r="H975">
        <v>8</v>
      </c>
      <c r="I975">
        <v>156</v>
      </c>
      <c r="J975">
        <v>3</v>
      </c>
      <c r="K975">
        <f>Fato_Producao[[#This Row],[embalagens_danificadas]]+Fato_Producao[[#This Row],[peso_errado]]+Fato_Producao[[#This Row],[impressao]]</f>
        <v>167</v>
      </c>
      <c r="L975" s="1" t="d">
        <v>2025-05-13</v>
      </c>
      <c r="M975">
        <v>14</v>
      </c>
      <c r="N975" s="7">
        <v>7.95</v>
      </c>
      <c r="O975" s="4" t="str">
        <f t="shared" si="45"/>
        <v>maio</v>
      </c>
      <c r="P975" s="4">
        <f t="shared" si="46"/>
        <v>2025</v>
      </c>
      <c r="Q975" s="4" t="str">
        <f t="shared" si="47"/>
        <v/>
      </c>
      <c r="R975" t="s">
        <v>24</v>
      </c>
    </row>
    <row r="976" spans="1:18" x14ac:dyDescent="0.3">
      <c r="A976" s="1" t="d">
        <v>2025-05-28</v>
      </c>
      <c r="B976">
        <v>45504</v>
      </c>
      <c r="C976" t="str">
        <f>VLOOKUP(Fato_Producao[[#This Row],[referencia]], Dim_Produtos!A:B,2,FALSE)</f>
        <v>pescada posta fritar</v>
      </c>
      <c r="D976">
        <v>2460</v>
      </c>
      <c r="E976">
        <v>2319</v>
      </c>
      <c r="F976" s="5">
        <v>5.7299999999999997E-2</v>
      </c>
      <c r="G976" s="6">
        <v>45.12</v>
      </c>
      <c r="H976">
        <v>6</v>
      </c>
      <c r="I976">
        <v>132</v>
      </c>
      <c r="J976">
        <v>3</v>
      </c>
      <c r="K976">
        <f>Fato_Producao[[#This Row],[embalagens_danificadas]]+Fato_Producao[[#This Row],[peso_errado]]+Fato_Producao[[#This Row],[impressao]]</f>
        <v>141</v>
      </c>
      <c r="L976" s="1" t="d">
        <v>2025-05-13</v>
      </c>
      <c r="M976">
        <v>15</v>
      </c>
      <c r="N976" s="7">
        <v>6.32</v>
      </c>
      <c r="O976" s="4" t="str">
        <f t="shared" si="45"/>
        <v>maio</v>
      </c>
      <c r="P976" s="4">
        <f t="shared" si="46"/>
        <v>2025</v>
      </c>
      <c r="Q976" s="4" t="str">
        <f t="shared" si="47"/>
        <v/>
      </c>
      <c r="R976" t="s">
        <v>24</v>
      </c>
    </row>
    <row r="977" spans="1:18" x14ac:dyDescent="0.3">
      <c r="A977" s="1" t="d">
        <v>2025-05-28</v>
      </c>
      <c r="B977">
        <v>45502</v>
      </c>
      <c r="C977" t="str">
        <f>VLOOKUP(Fato_Producao[[#This Row],[referencia]], Dim_Produtos!A:B,2,FALSE)</f>
        <v>carapau pelim</v>
      </c>
      <c r="D977">
        <v>2195</v>
      </c>
      <c r="E977">
        <v>2048</v>
      </c>
      <c r="F977" s="5">
        <v>6.7000000000000004E-2</v>
      </c>
      <c r="G977" s="6">
        <v>44.1</v>
      </c>
      <c r="H977">
        <v>30</v>
      </c>
      <c r="I977">
        <v>114</v>
      </c>
      <c r="J977">
        <v>3</v>
      </c>
      <c r="K977">
        <f>Fato_Producao[[#This Row],[embalagens_danificadas]]+Fato_Producao[[#This Row],[peso_errado]]+Fato_Producao[[#This Row],[impressao]]</f>
        <v>147</v>
      </c>
      <c r="L977" s="1" t="d">
        <v>2025-05-13</v>
      </c>
      <c r="M977">
        <v>15</v>
      </c>
      <c r="N977" s="7">
        <v>5.73</v>
      </c>
      <c r="O977" s="4" t="str">
        <f t="shared" si="45"/>
        <v>maio</v>
      </c>
      <c r="P977" s="4">
        <f t="shared" si="46"/>
        <v>2025</v>
      </c>
      <c r="Q977" s="4" t="str">
        <f t="shared" si="47"/>
        <v/>
      </c>
      <c r="R977" t="s">
        <v>24</v>
      </c>
    </row>
    <row r="978" spans="1:18" x14ac:dyDescent="0.3">
      <c r="A978" s="1" t="d">
        <v>2025-05-29</v>
      </c>
      <c r="B978">
        <v>45500</v>
      </c>
      <c r="C978" t="str">
        <f>VLOOKUP(Fato_Producao[[#This Row],[referencia]], Dim_Produtos!A:B,2,FALSE)</f>
        <v>filete pescada</v>
      </c>
      <c r="D978">
        <v>3303</v>
      </c>
      <c r="E978">
        <v>3166</v>
      </c>
      <c r="F978" s="5">
        <v>4.1500000000000002E-2</v>
      </c>
      <c r="G978" s="6">
        <v>38.36</v>
      </c>
      <c r="H978">
        <v>8</v>
      </c>
      <c r="I978">
        <v>126</v>
      </c>
      <c r="J978">
        <v>3</v>
      </c>
      <c r="K978">
        <f>Fato_Producao[[#This Row],[embalagens_danificadas]]+Fato_Producao[[#This Row],[peso_errado]]+Fato_Producao[[#This Row],[impressao]]</f>
        <v>137</v>
      </c>
      <c r="L978" s="1" t="d">
        <v>2025-05-13</v>
      </c>
      <c r="M978">
        <v>16</v>
      </c>
      <c r="N978" s="7">
        <v>4.5999999999999996</v>
      </c>
      <c r="O978" s="4" t="str">
        <f t="shared" si="45"/>
        <v>maio</v>
      </c>
      <c r="P978" s="4">
        <f t="shared" si="46"/>
        <v>2025</v>
      </c>
      <c r="Q978" s="4" t="str">
        <f t="shared" si="47"/>
        <v/>
      </c>
      <c r="R978" t="s">
        <v>24</v>
      </c>
    </row>
    <row r="979" spans="1:18" x14ac:dyDescent="0.3">
      <c r="A979" s="1" t="d">
        <v>2025-05-29</v>
      </c>
      <c r="B979">
        <v>45507</v>
      </c>
      <c r="C979" t="str">
        <f>VLOOKUP(Fato_Producao[[#This Row],[referencia]], Dim_Produtos!A:B,2,FALSE)</f>
        <v>salmao posta</v>
      </c>
      <c r="D979">
        <v>3693</v>
      </c>
      <c r="E979">
        <v>3453</v>
      </c>
      <c r="F979" s="5">
        <v>6.5000000000000002E-2</v>
      </c>
      <c r="G979" s="6">
        <v>84</v>
      </c>
      <c r="H979">
        <v>4</v>
      </c>
      <c r="I979">
        <v>230</v>
      </c>
      <c r="J979">
        <v>6</v>
      </c>
      <c r="K979">
        <f>Fato_Producao[[#This Row],[embalagens_danificadas]]+Fato_Producao[[#This Row],[peso_errado]]+Fato_Producao[[#This Row],[impressao]]</f>
        <v>240</v>
      </c>
      <c r="L979" s="1" t="d">
        <v>2025-05-13</v>
      </c>
      <c r="M979">
        <v>16</v>
      </c>
      <c r="N979" s="7">
        <v>13.44</v>
      </c>
      <c r="O979" s="4" t="str">
        <f t="shared" si="45"/>
        <v>maio</v>
      </c>
      <c r="P979" s="4">
        <f t="shared" si="46"/>
        <v>2025</v>
      </c>
      <c r="Q979" s="4" t="str">
        <f t="shared" si="47"/>
        <v/>
      </c>
      <c r="R979" t="s">
        <v>24</v>
      </c>
    </row>
    <row r="980" spans="1:18" x14ac:dyDescent="0.3">
      <c r="A980" s="1" t="d">
        <v>2025-05-30</v>
      </c>
      <c r="B980">
        <v>45500</v>
      </c>
      <c r="C980" t="str">
        <f>VLOOKUP(Fato_Producao[[#This Row],[referencia]], Dim_Produtos!A:B,2,FALSE)</f>
        <v>filete pescada</v>
      </c>
      <c r="D980">
        <v>4121</v>
      </c>
      <c r="E980">
        <v>3936</v>
      </c>
      <c r="F980" s="5">
        <v>4.4900000000000002E-2</v>
      </c>
      <c r="G980" s="6">
        <v>51.8</v>
      </c>
      <c r="H980">
        <v>7</v>
      </c>
      <c r="I980">
        <v>175</v>
      </c>
      <c r="J980">
        <v>3</v>
      </c>
      <c r="K980">
        <f>Fato_Producao[[#This Row],[embalagens_danificadas]]+Fato_Producao[[#This Row],[peso_errado]]+Fato_Producao[[#This Row],[impressao]]</f>
        <v>185</v>
      </c>
      <c r="L980" s="1" t="d">
        <v>2025-05-13</v>
      </c>
      <c r="M980">
        <v>17</v>
      </c>
      <c r="N980" s="7">
        <v>6.22</v>
      </c>
      <c r="O980" s="4" t="str">
        <f t="shared" si="45"/>
        <v>maio</v>
      </c>
      <c r="P980" s="4">
        <f t="shared" si="46"/>
        <v>2025</v>
      </c>
      <c r="Q980" s="4" t="str">
        <f t="shared" si="47"/>
        <v/>
      </c>
      <c r="R980" t="s">
        <v>24</v>
      </c>
    </row>
    <row r="981" spans="1:18" x14ac:dyDescent="0.3">
      <c r="A981" s="1" t="d">
        <v>2025-05-31</v>
      </c>
      <c r="B981">
        <v>45505</v>
      </c>
      <c r="C981" t="str">
        <f>VLOOKUP(Fato_Producao[[#This Row],[referencia]], Dim_Produtos!A:B,2,FALSE)</f>
        <v>camarao</v>
      </c>
      <c r="D981">
        <v>2545</v>
      </c>
      <c r="E981">
        <v>2359</v>
      </c>
      <c r="F981" s="5">
        <v>7.3099999999999998E-2</v>
      </c>
      <c r="G981" s="6">
        <v>55.8</v>
      </c>
      <c r="H981">
        <v>58</v>
      </c>
      <c r="I981">
        <v>125</v>
      </c>
      <c r="J981">
        <v>3</v>
      </c>
      <c r="K981">
        <f>Fato_Producao[[#This Row],[embalagens_danificadas]]+Fato_Producao[[#This Row],[peso_errado]]+Fato_Producao[[#This Row],[impressao]]</f>
        <v>186</v>
      </c>
      <c r="L981" s="1" t="d">
        <v>2025-05-13</v>
      </c>
      <c r="M981">
        <v>18</v>
      </c>
      <c r="N981" s="7">
        <v>8.3699999999999992</v>
      </c>
      <c r="O981" s="4" t="str">
        <f t="shared" si="45"/>
        <v>maio</v>
      </c>
      <c r="P981" s="4">
        <f t="shared" si="46"/>
        <v>2025</v>
      </c>
      <c r="Q981" s="4" t="str">
        <f t="shared" si="47"/>
        <v/>
      </c>
      <c r="R981" t="s">
        <v>24</v>
      </c>
    </row>
    <row r="982" spans="1:18" x14ac:dyDescent="0.3">
      <c r="A982" s="1" t="d">
        <v>2025-05-31</v>
      </c>
      <c r="B982">
        <v>45501</v>
      </c>
      <c r="C982" t="str">
        <f>VLOOKUP(Fato_Producao[[#This Row],[referencia]], Dim_Produtos!A:B,2,FALSE)</f>
        <v>pescada posta cozer</v>
      </c>
      <c r="D982">
        <v>4127</v>
      </c>
      <c r="E982">
        <v>3830</v>
      </c>
      <c r="F982" s="5">
        <v>7.1999999999999995E-2</v>
      </c>
      <c r="G982" s="6">
        <v>95.04</v>
      </c>
      <c r="H982">
        <v>14</v>
      </c>
      <c r="I982">
        <v>274</v>
      </c>
      <c r="J982">
        <v>9</v>
      </c>
      <c r="K982">
        <f>Fato_Producao[[#This Row],[embalagens_danificadas]]+Fato_Producao[[#This Row],[peso_errado]]+Fato_Producao[[#This Row],[impressao]]</f>
        <v>297</v>
      </c>
      <c r="L982" s="1" t="d">
        <v>2025-05-13</v>
      </c>
      <c r="M982">
        <v>18</v>
      </c>
      <c r="N982" s="7">
        <v>13.31</v>
      </c>
      <c r="O982" s="4" t="str">
        <f t="shared" si="45"/>
        <v>maio</v>
      </c>
      <c r="P982" s="4">
        <f t="shared" si="46"/>
        <v>2025</v>
      </c>
      <c r="Q982" s="4" t="str">
        <f t="shared" si="47"/>
        <v/>
      </c>
      <c r="R982" t="s">
        <v>24</v>
      </c>
    </row>
    <row r="983" spans="1:18" x14ac:dyDescent="0.3">
      <c r="A983" s="1" t="d">
        <v>2025-06-01</v>
      </c>
      <c r="B983">
        <v>45501</v>
      </c>
      <c r="C983" t="str">
        <f>VLOOKUP(Fato_Producao[[#This Row],[referencia]], Dim_Produtos!A:B,2,FALSE)</f>
        <v>pescada posta cozer</v>
      </c>
      <c r="D983">
        <v>2085</v>
      </c>
      <c r="E983">
        <v>1941</v>
      </c>
      <c r="F983" s="5">
        <v>6.9099999999999995E-2</v>
      </c>
      <c r="G983" s="6">
        <v>46.08</v>
      </c>
      <c r="H983">
        <v>8</v>
      </c>
      <c r="I983">
        <v>135</v>
      </c>
      <c r="J983">
        <v>1</v>
      </c>
      <c r="K983">
        <f>Fato_Producao[[#This Row],[embalagens_danificadas]]+Fato_Producao[[#This Row],[peso_errado]]+Fato_Producao[[#This Row],[impressao]]</f>
        <v>144</v>
      </c>
      <c r="L983" s="1" t="d">
        <v>2025-05-13</v>
      </c>
      <c r="M983">
        <v>19</v>
      </c>
      <c r="N983" s="7">
        <v>6.45</v>
      </c>
      <c r="O983" s="4" t="str">
        <f t="shared" si="45"/>
        <v>junho</v>
      </c>
      <c r="P983" s="4">
        <f t="shared" si="46"/>
        <v>2025</v>
      </c>
      <c r="Q983" s="4" t="str">
        <f t="shared" si="47"/>
        <v/>
      </c>
      <c r="R983" t="s">
        <v>24</v>
      </c>
    </row>
    <row r="984" spans="1:18" x14ac:dyDescent="0.3">
      <c r="A984" s="1" t="d">
        <v>2025-06-02</v>
      </c>
      <c r="B984">
        <v>45506</v>
      </c>
      <c r="C984" t="str">
        <f>VLOOKUP(Fato_Producao[[#This Row],[referencia]], Dim_Produtos!A:B,2,FALSE)</f>
        <v>perca posta</v>
      </c>
      <c r="D984">
        <v>3758</v>
      </c>
      <c r="E984">
        <v>3568</v>
      </c>
      <c r="F984" s="5">
        <v>5.0599999999999999E-2</v>
      </c>
      <c r="G984" s="6">
        <v>66.5</v>
      </c>
      <c r="H984">
        <v>10</v>
      </c>
      <c r="I984">
        <v>174</v>
      </c>
      <c r="J984">
        <v>6</v>
      </c>
      <c r="K984">
        <f>Fato_Producao[[#This Row],[embalagens_danificadas]]+Fato_Producao[[#This Row],[peso_errado]]+Fato_Producao[[#This Row],[impressao]]</f>
        <v>190</v>
      </c>
      <c r="L984" s="1" t="d">
        <v>2025-05-13</v>
      </c>
      <c r="M984">
        <v>20</v>
      </c>
      <c r="N984" s="7">
        <v>9.9700000000000006</v>
      </c>
      <c r="O984" s="4" t="str">
        <f t="shared" si="45"/>
        <v>junho</v>
      </c>
      <c r="P984" s="4">
        <f t="shared" si="46"/>
        <v>2025</v>
      </c>
      <c r="Q984" s="4" t="str">
        <f t="shared" si="47"/>
        <v/>
      </c>
      <c r="R984" t="s">
        <v>24</v>
      </c>
    </row>
    <row r="985" spans="1:18" x14ac:dyDescent="0.3">
      <c r="A985" s="1" t="d">
        <v>2025-06-02</v>
      </c>
      <c r="B985">
        <v>45501</v>
      </c>
      <c r="C985" t="str">
        <f>VLOOKUP(Fato_Producao[[#This Row],[referencia]], Dim_Produtos!A:B,2,FALSE)</f>
        <v>pescada posta cozer</v>
      </c>
      <c r="D985">
        <v>3187</v>
      </c>
      <c r="E985">
        <v>2983</v>
      </c>
      <c r="F985" s="5">
        <v>6.4000000000000001E-2</v>
      </c>
      <c r="G985" s="6">
        <v>65.28</v>
      </c>
      <c r="H985">
        <v>6</v>
      </c>
      <c r="I985">
        <v>192</v>
      </c>
      <c r="J985">
        <v>6</v>
      </c>
      <c r="K985">
        <f>Fato_Producao[[#This Row],[embalagens_danificadas]]+Fato_Producao[[#This Row],[peso_errado]]+Fato_Producao[[#This Row],[impressao]]</f>
        <v>204</v>
      </c>
      <c r="L985" s="1" t="d">
        <v>2025-05-13</v>
      </c>
      <c r="M985">
        <v>20</v>
      </c>
      <c r="N985" s="7">
        <v>9.14</v>
      </c>
      <c r="O985" s="4" t="str">
        <f t="shared" si="45"/>
        <v>junho</v>
      </c>
      <c r="P985" s="4">
        <f t="shared" si="46"/>
        <v>2025</v>
      </c>
      <c r="Q985" s="4" t="str">
        <f t="shared" si="47"/>
        <v/>
      </c>
      <c r="R985" t="s">
        <v>24</v>
      </c>
    </row>
    <row r="986" spans="1:18" x14ac:dyDescent="0.3">
      <c r="A986" s="1" t="d">
        <v>2025-06-03</v>
      </c>
      <c r="B986">
        <v>45514</v>
      </c>
      <c r="C986" t="str">
        <f>VLOOKUP(Fato_Producao[[#This Row],[referencia]], Dim_Produtos!A:B,2,FALSE)</f>
        <v>sardinha pequena</v>
      </c>
      <c r="D986">
        <v>2801</v>
      </c>
      <c r="E986">
        <v>2612</v>
      </c>
      <c r="F986" s="5">
        <v>6.7500000000000004E-2</v>
      </c>
      <c r="G986" s="6">
        <v>56.7</v>
      </c>
      <c r="H986">
        <v>8</v>
      </c>
      <c r="I986">
        <v>178</v>
      </c>
      <c r="J986">
        <v>3</v>
      </c>
      <c r="K986">
        <f>Fato_Producao[[#This Row],[embalagens_danificadas]]+Fato_Producao[[#This Row],[peso_errado]]+Fato_Producao[[#This Row],[impressao]]</f>
        <v>189</v>
      </c>
      <c r="L986" s="1" t="d">
        <v>2025-05-13</v>
      </c>
      <c r="M986">
        <v>21</v>
      </c>
      <c r="N986" s="7">
        <v>6.8</v>
      </c>
      <c r="O986" s="4" t="str">
        <f t="shared" si="45"/>
        <v>junho</v>
      </c>
      <c r="P986" s="4">
        <f t="shared" si="46"/>
        <v>2025</v>
      </c>
      <c r="Q986" s="4" t="str">
        <f t="shared" si="47"/>
        <v/>
      </c>
      <c r="R986" t="s">
        <v>24</v>
      </c>
    </row>
    <row r="987" spans="1:18" x14ac:dyDescent="0.3">
      <c r="A987" s="1" t="d">
        <v>2025-06-03</v>
      </c>
      <c r="B987">
        <v>45501</v>
      </c>
      <c r="C987" t="str">
        <f>VLOOKUP(Fato_Producao[[#This Row],[referencia]], Dim_Produtos!A:B,2,FALSE)</f>
        <v>pescada posta cozer</v>
      </c>
      <c r="D987">
        <v>3697</v>
      </c>
      <c r="E987">
        <v>3515</v>
      </c>
      <c r="F987" s="5">
        <v>4.9200000000000001E-2</v>
      </c>
      <c r="G987" s="6">
        <v>58.24</v>
      </c>
      <c r="H987">
        <v>9</v>
      </c>
      <c r="I987">
        <v>170</v>
      </c>
      <c r="J987">
        <v>3</v>
      </c>
      <c r="K987">
        <f>Fato_Producao[[#This Row],[embalagens_danificadas]]+Fato_Producao[[#This Row],[peso_errado]]+Fato_Producao[[#This Row],[impressao]]</f>
        <v>182</v>
      </c>
      <c r="L987" s="1" t="d">
        <v>2025-05-13</v>
      </c>
      <c r="M987">
        <v>21</v>
      </c>
      <c r="N987" s="7">
        <v>8.15</v>
      </c>
      <c r="O987" s="4" t="str">
        <f t="shared" si="45"/>
        <v>junho</v>
      </c>
      <c r="P987" s="4">
        <f t="shared" si="46"/>
        <v>2025</v>
      </c>
      <c r="Q987" s="4" t="str">
        <f t="shared" si="47"/>
        <v/>
      </c>
      <c r="R987" t="s">
        <v>24</v>
      </c>
    </row>
    <row r="988" spans="1:18" x14ac:dyDescent="0.3">
      <c r="A988" s="1" t="d">
        <v>2025-06-04</v>
      </c>
      <c r="B988">
        <v>45512</v>
      </c>
      <c r="C988" t="str">
        <f>VLOOKUP(Fato_Producao[[#This Row],[referencia]], Dim_Produtos!A:B,2,FALSE)</f>
        <v>red-fish posta</v>
      </c>
      <c r="D988">
        <v>2033</v>
      </c>
      <c r="E988">
        <v>1891</v>
      </c>
      <c r="F988" s="5">
        <v>6.9800000000000001E-2</v>
      </c>
      <c r="G988" s="6">
        <v>48.28</v>
      </c>
      <c r="H988">
        <v>8</v>
      </c>
      <c r="I988">
        <v>132</v>
      </c>
      <c r="J988">
        <v>2</v>
      </c>
      <c r="K988">
        <f>Fato_Producao[[#This Row],[embalagens_danificadas]]+Fato_Producao[[#This Row],[peso_errado]]+Fato_Producao[[#This Row],[impressao]]</f>
        <v>142</v>
      </c>
      <c r="L988" s="1" t="d">
        <v>2025-05-13</v>
      </c>
      <c r="M988">
        <v>22</v>
      </c>
      <c r="N988" s="7">
        <v>6.76</v>
      </c>
      <c r="O988" s="4" t="str">
        <f t="shared" si="45"/>
        <v>junho</v>
      </c>
      <c r="P988" s="4">
        <f t="shared" si="46"/>
        <v>2025</v>
      </c>
      <c r="Q988" s="4" t="str">
        <f t="shared" si="47"/>
        <v/>
      </c>
      <c r="R988" t="s">
        <v>24</v>
      </c>
    </row>
    <row r="989" spans="1:18" x14ac:dyDescent="0.3">
      <c r="A989" s="1" t="d">
        <v>2025-06-05</v>
      </c>
      <c r="B989">
        <v>45502</v>
      </c>
      <c r="C989" t="str">
        <f>VLOOKUP(Fato_Producao[[#This Row],[referencia]], Dim_Produtos!A:B,2,FALSE)</f>
        <v>carapau pelim</v>
      </c>
      <c r="D989">
        <v>3590</v>
      </c>
      <c r="E989">
        <v>3326</v>
      </c>
      <c r="F989" s="5">
        <v>7.3499999999999996E-2</v>
      </c>
      <c r="G989" s="6">
        <v>79.2</v>
      </c>
      <c r="H989">
        <v>73</v>
      </c>
      <c r="I989">
        <v>181</v>
      </c>
      <c r="J989">
        <v>10</v>
      </c>
      <c r="K989">
        <f>Fato_Producao[[#This Row],[embalagens_danificadas]]+Fato_Producao[[#This Row],[peso_errado]]+Fato_Producao[[#This Row],[impressao]]</f>
        <v>264</v>
      </c>
      <c r="L989" s="1" t="d">
        <v>2025-05-13</v>
      </c>
      <c r="M989">
        <v>23</v>
      </c>
      <c r="N989" s="7">
        <v>10.3</v>
      </c>
      <c r="O989" s="4" t="str">
        <f t="shared" si="45"/>
        <v>junho</v>
      </c>
      <c r="P989" s="4">
        <f t="shared" si="46"/>
        <v>2025</v>
      </c>
      <c r="Q989" s="4" t="str">
        <f t="shared" si="47"/>
        <v/>
      </c>
      <c r="R989" t="s">
        <v>24</v>
      </c>
    </row>
    <row r="990" spans="1:18" x14ac:dyDescent="0.3">
      <c r="A990" s="1" t="d">
        <v>2025-06-06</v>
      </c>
      <c r="B990">
        <v>45502</v>
      </c>
      <c r="C990" t="str">
        <f>VLOOKUP(Fato_Producao[[#This Row],[referencia]], Dim_Produtos!A:B,2,FALSE)</f>
        <v>carapau pelim</v>
      </c>
      <c r="D990">
        <v>3621</v>
      </c>
      <c r="E990">
        <v>3407</v>
      </c>
      <c r="F990" s="5">
        <v>5.91E-2</v>
      </c>
      <c r="G990" s="6">
        <v>64.2</v>
      </c>
      <c r="H990">
        <v>66</v>
      </c>
      <c r="I990">
        <v>146</v>
      </c>
      <c r="J990">
        <v>2</v>
      </c>
      <c r="K990">
        <f>Fato_Producao[[#This Row],[embalagens_danificadas]]+Fato_Producao[[#This Row],[peso_errado]]+Fato_Producao[[#This Row],[impressao]]</f>
        <v>214</v>
      </c>
      <c r="L990" s="1" t="d">
        <v>2025-05-13</v>
      </c>
      <c r="M990">
        <v>24</v>
      </c>
      <c r="N990" s="7">
        <v>8.35</v>
      </c>
      <c r="O990" s="4" t="str">
        <f t="shared" si="45"/>
        <v>junho</v>
      </c>
      <c r="P990" s="4">
        <f t="shared" si="46"/>
        <v>2025</v>
      </c>
      <c r="Q990" s="4" t="str">
        <f t="shared" si="47"/>
        <v/>
      </c>
      <c r="R990" t="s">
        <v>24</v>
      </c>
    </row>
    <row r="991" spans="1:18" x14ac:dyDescent="0.3">
      <c r="A991" s="1" t="d">
        <v>2025-06-06</v>
      </c>
      <c r="B991">
        <v>45505</v>
      </c>
      <c r="C991" t="str">
        <f>VLOOKUP(Fato_Producao[[#This Row],[referencia]], Dim_Produtos!A:B,2,FALSE)</f>
        <v>camarao</v>
      </c>
      <c r="D991">
        <v>3759</v>
      </c>
      <c r="E991">
        <v>3481</v>
      </c>
      <c r="F991" s="5">
        <v>7.3999999999999996E-2</v>
      </c>
      <c r="G991" s="6">
        <v>83.4</v>
      </c>
      <c r="H991">
        <v>87</v>
      </c>
      <c r="I991">
        <v>183</v>
      </c>
      <c r="J991">
        <v>8</v>
      </c>
      <c r="K991">
        <f>Fato_Producao[[#This Row],[embalagens_danificadas]]+Fato_Producao[[#This Row],[peso_errado]]+Fato_Producao[[#This Row],[impressao]]</f>
        <v>278</v>
      </c>
      <c r="L991" s="1" t="d">
        <v>2025-05-13</v>
      </c>
      <c r="M991">
        <v>24</v>
      </c>
      <c r="N991" s="7">
        <v>12.51</v>
      </c>
      <c r="O991" s="4" t="str">
        <f t="shared" si="45"/>
        <v>junho</v>
      </c>
      <c r="P991" s="4">
        <f t="shared" si="46"/>
        <v>2025</v>
      </c>
      <c r="Q991" s="4" t="str">
        <f t="shared" si="47"/>
        <v/>
      </c>
      <c r="R991" t="s">
        <v>24</v>
      </c>
    </row>
    <row r="992" spans="1:18" x14ac:dyDescent="0.3">
      <c r="A992" s="1" t="d">
        <v>2025-06-07</v>
      </c>
      <c r="B992">
        <v>45512</v>
      </c>
      <c r="C992" t="str">
        <f>VLOOKUP(Fato_Producao[[#This Row],[referencia]], Dim_Produtos!A:B,2,FALSE)</f>
        <v>red-fish posta</v>
      </c>
      <c r="D992">
        <v>2024</v>
      </c>
      <c r="E992">
        <v>1885</v>
      </c>
      <c r="F992" s="5">
        <v>6.8699999999999997E-2</v>
      </c>
      <c r="G992" s="6">
        <v>47.26</v>
      </c>
      <c r="H992">
        <v>4</v>
      </c>
      <c r="I992">
        <v>132</v>
      </c>
      <c r="J992">
        <v>3</v>
      </c>
      <c r="K992">
        <f>Fato_Producao[[#This Row],[embalagens_danificadas]]+Fato_Producao[[#This Row],[peso_errado]]+Fato_Producao[[#This Row],[impressao]]</f>
        <v>139</v>
      </c>
      <c r="L992" s="1" t="d">
        <v>2025-05-13</v>
      </c>
      <c r="M992">
        <v>25</v>
      </c>
      <c r="N992" s="7">
        <v>6.62</v>
      </c>
      <c r="O992" s="4" t="str">
        <f t="shared" si="45"/>
        <v>junho</v>
      </c>
      <c r="P992" s="4">
        <f t="shared" si="46"/>
        <v>2025</v>
      </c>
      <c r="Q992" s="4" t="str">
        <f t="shared" si="47"/>
        <v/>
      </c>
      <c r="R992" t="s">
        <v>24</v>
      </c>
    </row>
    <row r="993" spans="1:18" x14ac:dyDescent="0.3">
      <c r="A993" s="1" t="d">
        <v>2025-06-07</v>
      </c>
      <c r="B993">
        <v>45512</v>
      </c>
      <c r="C993" t="str">
        <f>VLOOKUP(Fato_Producao[[#This Row],[referencia]], Dim_Produtos!A:B,2,FALSE)</f>
        <v>red-fish posta</v>
      </c>
      <c r="D993">
        <v>4002</v>
      </c>
      <c r="E993">
        <v>3698</v>
      </c>
      <c r="F993" s="5">
        <v>7.5999999999999998E-2</v>
      </c>
      <c r="G993" s="6">
        <v>103.36</v>
      </c>
      <c r="H993">
        <v>16</v>
      </c>
      <c r="I993">
        <v>282</v>
      </c>
      <c r="J993">
        <v>6</v>
      </c>
      <c r="K993">
        <f>Fato_Producao[[#This Row],[embalagens_danificadas]]+Fato_Producao[[#This Row],[peso_errado]]+Fato_Producao[[#This Row],[impressao]]</f>
        <v>304</v>
      </c>
      <c r="L993" s="1" t="d">
        <v>2025-05-13</v>
      </c>
      <c r="M993">
        <v>25</v>
      </c>
      <c r="N993" s="7">
        <v>14.47</v>
      </c>
      <c r="O993" s="4" t="str">
        <f t="shared" si="45"/>
        <v>junho</v>
      </c>
      <c r="P993" s="4">
        <f t="shared" si="46"/>
        <v>2025</v>
      </c>
      <c r="Q993" s="4" t="str">
        <f t="shared" si="47"/>
        <v/>
      </c>
      <c r="R993" t="s">
        <v>24</v>
      </c>
    </row>
    <row r="994" spans="1:18" x14ac:dyDescent="0.3">
      <c r="A994" s="1" t="d">
        <v>2025-06-08</v>
      </c>
      <c r="B994">
        <v>45500</v>
      </c>
      <c r="C994" t="str">
        <f>VLOOKUP(Fato_Producao[[#This Row],[referencia]], Dim_Produtos!A:B,2,FALSE)</f>
        <v>filete pescada</v>
      </c>
      <c r="D994">
        <v>4145</v>
      </c>
      <c r="E994">
        <v>3957</v>
      </c>
      <c r="F994" s="5">
        <v>4.5400000000000003E-2</v>
      </c>
      <c r="G994" s="6">
        <v>52.64</v>
      </c>
      <c r="H994">
        <v>5</v>
      </c>
      <c r="I994">
        <v>180</v>
      </c>
      <c r="J994">
        <v>3</v>
      </c>
      <c r="K994">
        <f>Fato_Producao[[#This Row],[embalagens_danificadas]]+Fato_Producao[[#This Row],[peso_errado]]+Fato_Producao[[#This Row],[impressao]]</f>
        <v>188</v>
      </c>
      <c r="L994" s="1" t="d">
        <v>2025-05-13</v>
      </c>
      <c r="M994">
        <v>26</v>
      </c>
      <c r="N994" s="7">
        <v>6.32</v>
      </c>
      <c r="O994" s="4" t="str">
        <f t="shared" si="45"/>
        <v>junho</v>
      </c>
      <c r="P994" s="4">
        <f t="shared" si="46"/>
        <v>2025</v>
      </c>
      <c r="Q994" s="4" t="str">
        <f t="shared" si="47"/>
        <v/>
      </c>
      <c r="R994" t="s">
        <v>24</v>
      </c>
    </row>
    <row r="995" spans="1:18" x14ac:dyDescent="0.3">
      <c r="A995" s="1" t="d">
        <v>2025-06-09</v>
      </c>
      <c r="B995">
        <v>45508</v>
      </c>
      <c r="C995" t="str">
        <f>VLOOKUP(Fato_Producao[[#This Row],[referencia]], Dim_Produtos!A:B,2,FALSE)</f>
        <v>lula suja</v>
      </c>
      <c r="D995">
        <v>2563</v>
      </c>
      <c r="E995">
        <v>2317</v>
      </c>
      <c r="F995" s="5">
        <v>9.6000000000000002E-2</v>
      </c>
      <c r="G995" s="6">
        <v>78.72</v>
      </c>
      <c r="H995">
        <v>32</v>
      </c>
      <c r="I995">
        <v>210</v>
      </c>
      <c r="J995">
        <v>4</v>
      </c>
      <c r="K995">
        <f>Fato_Producao[[#This Row],[embalagens_danificadas]]+Fato_Producao[[#This Row],[peso_errado]]+Fato_Producao[[#This Row],[impressao]]</f>
        <v>246</v>
      </c>
      <c r="L995" s="1" t="d">
        <v>2025-05-13</v>
      </c>
      <c r="M995">
        <v>27</v>
      </c>
      <c r="N995" s="7">
        <v>11.02</v>
      </c>
      <c r="O995" s="4" t="str">
        <f t="shared" si="45"/>
        <v>junho</v>
      </c>
      <c r="P995" s="4">
        <f t="shared" si="46"/>
        <v>2025</v>
      </c>
      <c r="Q995" s="4" t="str">
        <f t="shared" si="47"/>
        <v/>
      </c>
      <c r="R995" t="s">
        <v>24</v>
      </c>
    </row>
    <row r="996" spans="1:18" x14ac:dyDescent="0.3">
      <c r="A996" s="1" t="d">
        <v>2025-06-09</v>
      </c>
      <c r="B996">
        <v>45505</v>
      </c>
      <c r="C996" t="str">
        <f>VLOOKUP(Fato_Producao[[#This Row],[referencia]], Dim_Produtos!A:B,2,FALSE)</f>
        <v>camarao</v>
      </c>
      <c r="D996">
        <v>3511</v>
      </c>
      <c r="E996">
        <v>3271</v>
      </c>
      <c r="F996" s="5">
        <v>6.8400000000000002E-2</v>
      </c>
      <c r="G996" s="6">
        <v>72</v>
      </c>
      <c r="H996">
        <v>56</v>
      </c>
      <c r="I996">
        <v>178</v>
      </c>
      <c r="J996">
        <v>6</v>
      </c>
      <c r="K996">
        <f>Fato_Producao[[#This Row],[embalagens_danificadas]]+Fato_Producao[[#This Row],[peso_errado]]+Fato_Producao[[#This Row],[impressao]]</f>
        <v>240</v>
      </c>
      <c r="L996" s="1" t="d">
        <v>2025-05-13</v>
      </c>
      <c r="M996">
        <v>27</v>
      </c>
      <c r="N996" s="7">
        <v>10.8</v>
      </c>
      <c r="O996" s="4" t="str">
        <f t="shared" si="45"/>
        <v>junho</v>
      </c>
      <c r="P996" s="4">
        <f t="shared" si="46"/>
        <v>2025</v>
      </c>
      <c r="Q996" s="4" t="str">
        <f t="shared" si="47"/>
        <v/>
      </c>
      <c r="R996" t="s">
        <v>24</v>
      </c>
    </row>
    <row r="997" spans="1:18" x14ac:dyDescent="0.3">
      <c r="A997" s="1" t="d">
        <v>2025-06-10</v>
      </c>
      <c r="B997">
        <v>45507</v>
      </c>
      <c r="C997" t="str">
        <f>VLOOKUP(Fato_Producao[[#This Row],[referencia]], Dim_Produtos!A:B,2,FALSE)</f>
        <v>salmao posta</v>
      </c>
      <c r="D997">
        <v>3369</v>
      </c>
      <c r="E997">
        <v>3244</v>
      </c>
      <c r="F997" s="5">
        <v>3.7100000000000001E-2</v>
      </c>
      <c r="G997" s="6">
        <v>43.75</v>
      </c>
      <c r="H997">
        <v>4</v>
      </c>
      <c r="I997">
        <v>119</v>
      </c>
      <c r="J997">
        <v>2</v>
      </c>
      <c r="K997">
        <f>Fato_Producao[[#This Row],[embalagens_danificadas]]+Fato_Producao[[#This Row],[peso_errado]]+Fato_Producao[[#This Row],[impressao]]</f>
        <v>125</v>
      </c>
      <c r="L997" s="1" t="d">
        <v>2025-05-13</v>
      </c>
      <c r="M997">
        <v>28</v>
      </c>
      <c r="N997" s="7">
        <v>7</v>
      </c>
      <c r="O997" s="4" t="str">
        <f t="shared" si="45"/>
        <v>junho</v>
      </c>
      <c r="P997" s="4">
        <f t="shared" si="46"/>
        <v>2025</v>
      </c>
      <c r="Q997" s="4" t="str">
        <f t="shared" si="47"/>
        <v/>
      </c>
      <c r="R997" t="s">
        <v>24</v>
      </c>
    </row>
    <row r="998" spans="1:18" x14ac:dyDescent="0.3">
      <c r="A998" s="1" t="d">
        <v>2025-06-11</v>
      </c>
      <c r="B998">
        <v>45503</v>
      </c>
      <c r="C998" t="str">
        <f>VLOOKUP(Fato_Producao[[#This Row],[referencia]], Dim_Produtos!A:B,2,FALSE)</f>
        <v>sardinha pequena</v>
      </c>
      <c r="D998">
        <v>3197</v>
      </c>
      <c r="E998">
        <v>2980</v>
      </c>
      <c r="F998" s="5">
        <v>6.7900000000000002E-2</v>
      </c>
      <c r="G998" s="6">
        <v>56.42</v>
      </c>
      <c r="H998">
        <v>7</v>
      </c>
      <c r="I998">
        <v>205</v>
      </c>
      <c r="J998">
        <v>5</v>
      </c>
      <c r="K998">
        <f>Fato_Producao[[#This Row],[embalagens_danificadas]]+Fato_Producao[[#This Row],[peso_errado]]+Fato_Producao[[#This Row],[impressao]]</f>
        <v>217</v>
      </c>
      <c r="L998" s="1" t="d">
        <v>2025-05-13</v>
      </c>
      <c r="M998">
        <v>29</v>
      </c>
      <c r="N998" s="7">
        <v>6.21</v>
      </c>
      <c r="O998" s="4" t="str">
        <f t="shared" si="45"/>
        <v>junho</v>
      </c>
      <c r="P998" s="4">
        <f t="shared" si="46"/>
        <v>2025</v>
      </c>
      <c r="Q998" s="4" t="str">
        <f t="shared" si="47"/>
        <v/>
      </c>
      <c r="R998" t="s">
        <v>24</v>
      </c>
    </row>
    <row r="999" spans="1:18" x14ac:dyDescent="0.3">
      <c r="A999" s="1" t="d">
        <v>2025-06-11</v>
      </c>
      <c r="B999">
        <v>45504</v>
      </c>
      <c r="C999" t="str">
        <f>VLOOKUP(Fato_Producao[[#This Row],[referencia]], Dim_Produtos!A:B,2,FALSE)</f>
        <v>pescada posta fritar</v>
      </c>
      <c r="D999">
        <v>3020</v>
      </c>
      <c r="E999">
        <v>2825</v>
      </c>
      <c r="F999" s="5">
        <v>6.4600000000000005E-2</v>
      </c>
      <c r="G999" s="6">
        <v>62.4</v>
      </c>
      <c r="H999">
        <v>69</v>
      </c>
      <c r="I999">
        <v>28</v>
      </c>
      <c r="J999">
        <v>98</v>
      </c>
      <c r="K999">
        <f>Fato_Producao[[#This Row],[embalagens_danificadas]]+Fato_Producao[[#This Row],[peso_errado]]+Fato_Producao[[#This Row],[impressao]]</f>
        <v>195</v>
      </c>
      <c r="L999" s="1" t="d">
        <v>2025-05-13</v>
      </c>
      <c r="M999">
        <v>29</v>
      </c>
      <c r="N999" s="7">
        <v>8.74</v>
      </c>
      <c r="O999" s="4" t="str">
        <f t="shared" si="45"/>
        <v>junho</v>
      </c>
      <c r="P999" s="4">
        <f t="shared" si="46"/>
        <v>2025</v>
      </c>
      <c r="Q999" s="4" t="str">
        <f t="shared" si="47"/>
        <v/>
      </c>
      <c r="R999" t="s">
        <v>50</v>
      </c>
    </row>
    <row r="1000" spans="1:18" x14ac:dyDescent="0.3">
      <c r="A1000" s="1" t="d">
        <v>2025-06-12</v>
      </c>
      <c r="B1000">
        <v>45508</v>
      </c>
      <c r="C1000" t="str">
        <f>VLOOKUP(Fato_Producao[[#This Row],[referencia]], Dim_Produtos!A:B,2,FALSE)</f>
        <v>lula suja</v>
      </c>
      <c r="D1000">
        <v>4086</v>
      </c>
      <c r="E1000">
        <v>3682</v>
      </c>
      <c r="F1000" s="5">
        <v>9.8900000000000002E-2</v>
      </c>
      <c r="G1000" s="6">
        <v>129.28</v>
      </c>
      <c r="H1000">
        <v>34</v>
      </c>
      <c r="I1000">
        <v>366</v>
      </c>
      <c r="J1000">
        <v>4</v>
      </c>
      <c r="K1000">
        <f>Fato_Producao[[#This Row],[embalagens_danificadas]]+Fato_Producao[[#This Row],[peso_errado]]+Fato_Producao[[#This Row],[impressao]]</f>
        <v>404</v>
      </c>
      <c r="L1000" s="1" t="d">
        <v>2025-05-13</v>
      </c>
      <c r="M1000">
        <v>30</v>
      </c>
      <c r="N1000" s="7">
        <v>18.100000000000001</v>
      </c>
      <c r="O1000" s="4" t="str">
        <f t="shared" si="45"/>
        <v>junho</v>
      </c>
      <c r="P1000" s="4">
        <f t="shared" si="46"/>
        <v>2025</v>
      </c>
      <c r="Q1000" s="4" t="str">
        <f t="shared" si="47"/>
        <v/>
      </c>
      <c r="R1000" t="s">
        <v>24</v>
      </c>
    </row>
    <row r="1001" spans="1:18" x14ac:dyDescent="0.3">
      <c r="A1001" s="1" t="d">
        <v>2025-06-12</v>
      </c>
      <c r="B1001">
        <v>45510</v>
      </c>
      <c r="C1001" t="str">
        <f>VLOOKUP(Fato_Producao[[#This Row],[referencia]], Dim_Produtos!A:B,2,FALSE)</f>
        <v>tiras pota</v>
      </c>
      <c r="D1001">
        <v>3269</v>
      </c>
      <c r="E1001">
        <v>2956</v>
      </c>
      <c r="F1001" s="5">
        <v>9.5699999999999993E-2</v>
      </c>
      <c r="G1001" s="6">
        <v>100.16</v>
      </c>
      <c r="H1001">
        <v>36</v>
      </c>
      <c r="I1001">
        <v>272</v>
      </c>
      <c r="J1001">
        <v>5</v>
      </c>
      <c r="K1001">
        <f>Fato_Producao[[#This Row],[embalagens_danificadas]]+Fato_Producao[[#This Row],[peso_errado]]+Fato_Producao[[#This Row],[impressao]]</f>
        <v>313</v>
      </c>
      <c r="L1001" s="1" t="d">
        <v>2025-05-13</v>
      </c>
      <c r="M1001">
        <v>30</v>
      </c>
      <c r="N1001" s="7">
        <v>14.02</v>
      </c>
      <c r="O1001" s="4" t="str">
        <f t="shared" si="45"/>
        <v>junho</v>
      </c>
      <c r="P1001" s="4">
        <f t="shared" si="46"/>
        <v>2025</v>
      </c>
      <c r="Q1001" s="4" t="str">
        <f t="shared" si="47"/>
        <v/>
      </c>
      <c r="R1001" t="s">
        <v>24</v>
      </c>
    </row>
    <row r="1002" spans="1:18" x14ac:dyDescent="0.3">
      <c r="A1002" s="1" t="d">
        <v>2025-06-13</v>
      </c>
      <c r="B1002">
        <v>45507</v>
      </c>
      <c r="C1002" t="str">
        <f>VLOOKUP(Fato_Producao[[#This Row],[referencia]], Dim_Produtos!A:B,2,FALSE)</f>
        <v>salmao posta</v>
      </c>
      <c r="D1002">
        <v>1855</v>
      </c>
      <c r="E1002">
        <v>1723</v>
      </c>
      <c r="F1002" s="5">
        <v>7.1199999999999999E-2</v>
      </c>
      <c r="G1002" s="6">
        <v>46.2</v>
      </c>
      <c r="H1002">
        <v>8</v>
      </c>
      <c r="I1002">
        <v>121</v>
      </c>
      <c r="J1002">
        <v>3</v>
      </c>
      <c r="K1002">
        <f>Fato_Producao[[#This Row],[embalagens_danificadas]]+Fato_Producao[[#This Row],[peso_errado]]+Fato_Producao[[#This Row],[impressao]]</f>
        <v>132</v>
      </c>
      <c r="L1002" s="1" t="d">
        <v>2025-05-13</v>
      </c>
      <c r="M1002">
        <v>31</v>
      </c>
      <c r="N1002" s="7">
        <v>7.39</v>
      </c>
      <c r="O1002" s="4" t="str">
        <f t="shared" si="45"/>
        <v>junho</v>
      </c>
      <c r="P1002" s="4">
        <f t="shared" si="46"/>
        <v>2025</v>
      </c>
      <c r="Q1002" s="4" t="str">
        <f t="shared" si="47"/>
        <v/>
      </c>
      <c r="R1002" t="s">
        <v>24</v>
      </c>
    </row>
    <row r="1003" spans="1:18" x14ac:dyDescent="0.3">
      <c r="A1003" s="1" t="d">
        <v>2025-06-13</v>
      </c>
      <c r="B1003">
        <v>45505</v>
      </c>
      <c r="C1003" t="str">
        <f>VLOOKUP(Fato_Producao[[#This Row],[referencia]], Dim_Produtos!A:B,2,FALSE)</f>
        <v>camarao</v>
      </c>
      <c r="D1003">
        <v>2507</v>
      </c>
      <c r="E1003">
        <v>2304</v>
      </c>
      <c r="F1003" s="5">
        <v>8.1000000000000003E-2</v>
      </c>
      <c r="G1003" s="6">
        <v>60.9</v>
      </c>
      <c r="H1003">
        <v>61</v>
      </c>
      <c r="I1003">
        <v>137</v>
      </c>
      <c r="J1003">
        <v>5</v>
      </c>
      <c r="K1003">
        <f>Fato_Producao[[#This Row],[embalagens_danificadas]]+Fato_Producao[[#This Row],[peso_errado]]+Fato_Producao[[#This Row],[impressao]]</f>
        <v>203</v>
      </c>
      <c r="L1003" s="1" t="d">
        <v>2025-05-13</v>
      </c>
      <c r="M1003">
        <v>31</v>
      </c>
      <c r="N1003" s="7">
        <v>9.1300000000000008</v>
      </c>
      <c r="O1003" s="4" t="str">
        <f t="shared" si="45"/>
        <v>junho</v>
      </c>
      <c r="P1003" s="4">
        <f t="shared" si="46"/>
        <v>2025</v>
      </c>
      <c r="Q1003" s="4" t="str">
        <f t="shared" si="47"/>
        <v/>
      </c>
      <c r="R1003" t="s">
        <v>24</v>
      </c>
    </row>
    <row r="1004" spans="1:18" x14ac:dyDescent="0.3">
      <c r="A1004" s="1" t="d">
        <v>2025-06-14</v>
      </c>
      <c r="B1004">
        <v>45509</v>
      </c>
      <c r="C1004" t="str">
        <f>VLOOKUP(Fato_Producao[[#This Row],[referencia]], Dim_Produtos!A:B,2,FALSE)</f>
        <v>lascas bacalhau</v>
      </c>
      <c r="D1004">
        <v>2916</v>
      </c>
      <c r="E1004">
        <v>2692</v>
      </c>
      <c r="F1004" s="5">
        <v>7.6799999999999993E-2</v>
      </c>
      <c r="G1004" s="6">
        <v>62.72</v>
      </c>
      <c r="H1004">
        <v>3</v>
      </c>
      <c r="I1004">
        <v>215</v>
      </c>
      <c r="J1004">
        <v>6</v>
      </c>
      <c r="K1004">
        <f>Fato_Producao[[#This Row],[embalagens_danificadas]]+Fato_Producao[[#This Row],[peso_errado]]+Fato_Producao[[#This Row],[impressao]]</f>
        <v>224</v>
      </c>
      <c r="L1004" s="1" t="d">
        <v>2025-05-13</v>
      </c>
      <c r="M1004">
        <v>32</v>
      </c>
      <c r="N1004" s="7">
        <v>8.15</v>
      </c>
      <c r="O1004" s="4" t="str">
        <f t="shared" si="45"/>
        <v>junho</v>
      </c>
      <c r="P1004" s="4">
        <f t="shared" si="46"/>
        <v>2025</v>
      </c>
      <c r="Q1004" s="4" t="str">
        <f t="shared" si="47"/>
        <v/>
      </c>
      <c r="R1004" t="s">
        <v>24</v>
      </c>
    </row>
    <row r="1005" spans="1:18" x14ac:dyDescent="0.3">
      <c r="A1005" s="1" t="d">
        <v>2025-06-14</v>
      </c>
      <c r="B1005">
        <v>45512</v>
      </c>
      <c r="C1005" t="str">
        <f>VLOOKUP(Fato_Producao[[#This Row],[referencia]], Dim_Produtos!A:B,2,FALSE)</f>
        <v>red-fish posta</v>
      </c>
      <c r="D1005">
        <v>2238</v>
      </c>
      <c r="E1005">
        <v>2051</v>
      </c>
      <c r="F1005" s="5">
        <v>8.3599999999999994E-2</v>
      </c>
      <c r="G1005" s="6">
        <v>63.58</v>
      </c>
      <c r="H1005">
        <v>4</v>
      </c>
      <c r="I1005">
        <v>178</v>
      </c>
      <c r="J1005">
        <v>5</v>
      </c>
      <c r="K1005">
        <f>Fato_Producao[[#This Row],[embalagens_danificadas]]+Fato_Producao[[#This Row],[peso_errado]]+Fato_Producao[[#This Row],[impressao]]</f>
        <v>187</v>
      </c>
      <c r="L1005" s="1" t="d">
        <v>2025-05-13</v>
      </c>
      <c r="M1005">
        <v>32</v>
      </c>
      <c r="N1005" s="7">
        <v>8.9</v>
      </c>
      <c r="O1005" s="4" t="str">
        <f t="shared" si="45"/>
        <v>junho</v>
      </c>
      <c r="P1005" s="4">
        <f t="shared" si="46"/>
        <v>2025</v>
      </c>
      <c r="Q1005" s="4" t="str">
        <f t="shared" si="47"/>
        <v/>
      </c>
      <c r="R1005" t="s">
        <v>24</v>
      </c>
    </row>
    <row r="1006" spans="1:18" x14ac:dyDescent="0.3">
      <c r="A1006" s="1" t="d">
        <v>2025-06-15</v>
      </c>
      <c r="B1006">
        <v>45514</v>
      </c>
      <c r="C1006" t="str">
        <f>VLOOKUP(Fato_Producao[[#This Row],[referencia]], Dim_Produtos!A:B,2,FALSE)</f>
        <v>sardinha pequena</v>
      </c>
      <c r="D1006">
        <v>2916</v>
      </c>
      <c r="E1006">
        <v>2638</v>
      </c>
      <c r="F1006" s="5">
        <v>9.5299999999999996E-2</v>
      </c>
      <c r="G1006" s="6">
        <v>83.4</v>
      </c>
      <c r="H1006">
        <v>15</v>
      </c>
      <c r="I1006">
        <v>260</v>
      </c>
      <c r="J1006">
        <v>3</v>
      </c>
      <c r="K1006">
        <f>Fato_Producao[[#This Row],[embalagens_danificadas]]+Fato_Producao[[#This Row],[peso_errado]]+Fato_Producao[[#This Row],[impressao]]</f>
        <v>278</v>
      </c>
      <c r="L1006" s="1" t="d">
        <v>2025-05-13</v>
      </c>
      <c r="M1006">
        <v>33</v>
      </c>
      <c r="N1006" s="7">
        <v>10.01</v>
      </c>
      <c r="O1006" s="4" t="str">
        <f t="shared" si="45"/>
        <v>junho</v>
      </c>
      <c r="P1006" s="4">
        <f t="shared" si="46"/>
        <v>2025</v>
      </c>
      <c r="Q1006" s="4" t="str">
        <f t="shared" si="47"/>
        <v/>
      </c>
      <c r="R1006" t="s">
        <v>24</v>
      </c>
    </row>
    <row r="1007" spans="1:18" x14ac:dyDescent="0.3">
      <c r="A1007" s="1" t="d">
        <v>2025-06-15</v>
      </c>
      <c r="B1007">
        <v>45509</v>
      </c>
      <c r="C1007" t="str">
        <f>VLOOKUP(Fato_Producao[[#This Row],[referencia]], Dim_Produtos!A:B,2,FALSE)</f>
        <v>lascas bacalhau</v>
      </c>
      <c r="D1007">
        <v>2963</v>
      </c>
      <c r="E1007">
        <v>2743</v>
      </c>
      <c r="F1007" s="5">
        <v>7.4200000000000002E-2</v>
      </c>
      <c r="G1007" s="6">
        <v>61.6</v>
      </c>
      <c r="H1007">
        <v>13</v>
      </c>
      <c r="I1007">
        <v>202</v>
      </c>
      <c r="J1007">
        <v>5</v>
      </c>
      <c r="K1007">
        <f>Fato_Producao[[#This Row],[embalagens_danificadas]]+Fato_Producao[[#This Row],[peso_errado]]+Fato_Producao[[#This Row],[impressao]]</f>
        <v>220</v>
      </c>
      <c r="L1007" s="1" t="d">
        <v>2025-05-13</v>
      </c>
      <c r="M1007">
        <v>33</v>
      </c>
      <c r="N1007" s="7">
        <v>8.01</v>
      </c>
      <c r="O1007" s="4" t="str">
        <f t="shared" si="45"/>
        <v>junho</v>
      </c>
      <c r="P1007" s="4">
        <f t="shared" si="46"/>
        <v>2025</v>
      </c>
      <c r="Q1007" s="4" t="str">
        <f t="shared" si="47"/>
        <v/>
      </c>
      <c r="R1007" t="s">
        <v>24</v>
      </c>
    </row>
    <row r="1008" spans="1:18" x14ac:dyDescent="0.3">
      <c r="A1008" s="1" t="d">
        <v>2025-06-16</v>
      </c>
      <c r="B1008">
        <v>45508</v>
      </c>
      <c r="C1008" t="str">
        <f>VLOOKUP(Fato_Producao[[#This Row],[referencia]], Dim_Produtos!A:B,2,FALSE)</f>
        <v>lula suja</v>
      </c>
      <c r="D1008">
        <v>3156</v>
      </c>
      <c r="E1008">
        <v>2811</v>
      </c>
      <c r="F1008" s="5">
        <v>0.10929999999999999</v>
      </c>
      <c r="G1008" s="6">
        <v>110.4</v>
      </c>
      <c r="H1008">
        <v>29</v>
      </c>
      <c r="I1008">
        <v>312</v>
      </c>
      <c r="J1008">
        <v>4</v>
      </c>
      <c r="K1008">
        <f>Fato_Producao[[#This Row],[embalagens_danificadas]]+Fato_Producao[[#This Row],[peso_errado]]+Fato_Producao[[#This Row],[impressao]]</f>
        <v>345</v>
      </c>
      <c r="L1008" s="1" t="d">
        <v>2025-05-13</v>
      </c>
      <c r="M1008">
        <v>34</v>
      </c>
      <c r="N1008" s="7">
        <v>15.46</v>
      </c>
      <c r="O1008" s="4" t="str">
        <f t="shared" si="45"/>
        <v>junho</v>
      </c>
      <c r="P1008" s="4">
        <f t="shared" si="46"/>
        <v>2025</v>
      </c>
      <c r="Q1008" s="4" t="str">
        <f t="shared" si="47"/>
        <v/>
      </c>
      <c r="R1008" t="s">
        <v>24</v>
      </c>
    </row>
    <row r="1009" spans="1:18" x14ac:dyDescent="0.3">
      <c r="A1009" s="1" t="d">
        <v>2025-06-16</v>
      </c>
      <c r="B1009">
        <v>45512</v>
      </c>
      <c r="C1009" t="str">
        <f>VLOOKUP(Fato_Producao[[#This Row],[referencia]], Dim_Produtos!A:B,2,FALSE)</f>
        <v>red-fish posta</v>
      </c>
      <c r="D1009">
        <v>2467</v>
      </c>
      <c r="E1009">
        <v>2253</v>
      </c>
      <c r="F1009" s="5">
        <v>8.6699999999999999E-2</v>
      </c>
      <c r="G1009" s="6">
        <v>72.760000000000005</v>
      </c>
      <c r="H1009">
        <v>6</v>
      </c>
      <c r="I1009">
        <v>202</v>
      </c>
      <c r="J1009">
        <v>6</v>
      </c>
      <c r="K1009">
        <f>Fato_Producao[[#This Row],[embalagens_danificadas]]+Fato_Producao[[#This Row],[peso_errado]]+Fato_Producao[[#This Row],[impressao]]</f>
        <v>214</v>
      </c>
      <c r="L1009" s="1" t="d">
        <v>2025-05-13</v>
      </c>
      <c r="M1009">
        <v>34</v>
      </c>
      <c r="N1009" s="7">
        <v>10.19</v>
      </c>
      <c r="O1009" s="4" t="str">
        <f t="shared" si="45"/>
        <v>junho</v>
      </c>
      <c r="P1009" s="4">
        <f t="shared" si="46"/>
        <v>2025</v>
      </c>
      <c r="Q1009" s="4" t="str">
        <f t="shared" si="47"/>
        <v/>
      </c>
      <c r="R1009" t="s">
        <v>24</v>
      </c>
    </row>
    <row r="1010" spans="1:18" x14ac:dyDescent="0.3">
      <c r="A1010" s="1" t="d">
        <v>2025-06-17</v>
      </c>
      <c r="B1010">
        <v>45502</v>
      </c>
      <c r="C1010" t="str">
        <f>VLOOKUP(Fato_Producao[[#This Row],[referencia]], Dim_Produtos!A:B,2,FALSE)</f>
        <v>carapau pelim</v>
      </c>
      <c r="D1010">
        <v>1861</v>
      </c>
      <c r="E1010">
        <v>1724</v>
      </c>
      <c r="F1010" s="5">
        <v>7.3599999999999999E-2</v>
      </c>
      <c r="G1010" s="6">
        <v>41.1</v>
      </c>
      <c r="H1010">
        <v>26</v>
      </c>
      <c r="I1010">
        <v>108</v>
      </c>
      <c r="J1010">
        <v>3</v>
      </c>
      <c r="K1010">
        <f>Fato_Producao[[#This Row],[embalagens_danificadas]]+Fato_Producao[[#This Row],[peso_errado]]+Fato_Producao[[#This Row],[impressao]]</f>
        <v>137</v>
      </c>
      <c r="L1010" s="1" t="d">
        <v>2025-05-13</v>
      </c>
      <c r="M1010">
        <v>35</v>
      </c>
      <c r="N1010" s="7">
        <v>5.34</v>
      </c>
      <c r="O1010" s="4" t="str">
        <f t="shared" si="45"/>
        <v>junho</v>
      </c>
      <c r="P1010" s="4">
        <f t="shared" si="46"/>
        <v>2025</v>
      </c>
      <c r="Q1010" s="4" t="str">
        <f t="shared" si="47"/>
        <v/>
      </c>
      <c r="R1010" t="s">
        <v>24</v>
      </c>
    </row>
    <row r="1011" spans="1:18" x14ac:dyDescent="0.3">
      <c r="A1011" s="1" t="d">
        <v>2025-06-17</v>
      </c>
      <c r="B1011">
        <v>45510</v>
      </c>
      <c r="C1011" t="str">
        <f>VLOOKUP(Fato_Producao[[#This Row],[referencia]], Dim_Produtos!A:B,2,FALSE)</f>
        <v>tiras pota</v>
      </c>
      <c r="D1011">
        <v>3112</v>
      </c>
      <c r="E1011">
        <v>2789</v>
      </c>
      <c r="F1011" s="5">
        <v>0.1038</v>
      </c>
      <c r="G1011" s="6">
        <v>103.36</v>
      </c>
      <c r="H1011">
        <v>48</v>
      </c>
      <c r="I1011">
        <v>270</v>
      </c>
      <c r="J1011">
        <v>5</v>
      </c>
      <c r="K1011">
        <f>Fato_Producao[[#This Row],[embalagens_danificadas]]+Fato_Producao[[#This Row],[peso_errado]]+Fato_Producao[[#This Row],[impressao]]</f>
        <v>323</v>
      </c>
      <c r="L1011" s="1" t="d">
        <v>2025-05-13</v>
      </c>
      <c r="M1011">
        <v>35</v>
      </c>
      <c r="N1011" s="7">
        <v>14.47</v>
      </c>
      <c r="O1011" s="4" t="str">
        <f t="shared" si="45"/>
        <v>junho</v>
      </c>
      <c r="P1011" s="4">
        <f t="shared" si="46"/>
        <v>2025</v>
      </c>
      <c r="Q1011" s="4" t="str">
        <f t="shared" si="47"/>
        <v/>
      </c>
      <c r="R1011" t="s">
        <v>24</v>
      </c>
    </row>
    <row r="1012" spans="1:18" x14ac:dyDescent="0.3">
      <c r="A1012" s="1" t="d">
        <v>2025-06-18</v>
      </c>
      <c r="B1012">
        <v>45507</v>
      </c>
      <c r="C1012" t="str">
        <f>VLOOKUP(Fato_Producao[[#This Row],[referencia]], Dim_Produtos!A:B,2,FALSE)</f>
        <v>salmao posta</v>
      </c>
      <c r="D1012">
        <v>3331</v>
      </c>
      <c r="E1012">
        <v>3077</v>
      </c>
      <c r="F1012" s="5">
        <v>7.6300000000000007E-2</v>
      </c>
      <c r="G1012" s="6">
        <v>88.9</v>
      </c>
      <c r="H1012">
        <v>13</v>
      </c>
      <c r="I1012">
        <v>234</v>
      </c>
      <c r="J1012">
        <v>7</v>
      </c>
      <c r="K1012">
        <f>Fato_Producao[[#This Row],[embalagens_danificadas]]+Fato_Producao[[#This Row],[peso_errado]]+Fato_Producao[[#This Row],[impressao]]</f>
        <v>254</v>
      </c>
      <c r="L1012" s="1" t="d">
        <v>2025-05-13</v>
      </c>
      <c r="M1012">
        <v>36</v>
      </c>
      <c r="N1012" s="7">
        <v>14.22</v>
      </c>
      <c r="O1012" s="4" t="str">
        <f t="shared" si="45"/>
        <v>junho</v>
      </c>
      <c r="P1012" s="4">
        <f t="shared" si="46"/>
        <v>2025</v>
      </c>
      <c r="Q1012" s="4" t="str">
        <f t="shared" si="47"/>
        <v/>
      </c>
      <c r="R1012" t="s">
        <v>24</v>
      </c>
    </row>
    <row r="1013" spans="1:18" x14ac:dyDescent="0.3">
      <c r="A1013" s="1" t="d">
        <v>2025-06-18</v>
      </c>
      <c r="B1013">
        <v>45500</v>
      </c>
      <c r="C1013" t="str">
        <f>VLOOKUP(Fato_Producao[[#This Row],[referencia]], Dim_Produtos!A:B,2,FALSE)</f>
        <v>filete pescada</v>
      </c>
      <c r="D1013">
        <v>3031</v>
      </c>
      <c r="E1013">
        <v>2809</v>
      </c>
      <c r="F1013" s="5">
        <v>7.3200000000000001E-2</v>
      </c>
      <c r="G1013" s="6">
        <v>62.16</v>
      </c>
      <c r="H1013">
        <v>12</v>
      </c>
      <c r="I1013">
        <v>206</v>
      </c>
      <c r="J1013">
        <v>4</v>
      </c>
      <c r="K1013">
        <f>Fato_Producao[[#This Row],[embalagens_danificadas]]+Fato_Producao[[#This Row],[peso_errado]]+Fato_Producao[[#This Row],[impressao]]</f>
        <v>222</v>
      </c>
      <c r="L1013" s="1" t="d">
        <v>2025-05-13</v>
      </c>
      <c r="M1013">
        <v>36</v>
      </c>
      <c r="N1013" s="7">
        <v>7.46</v>
      </c>
      <c r="O1013" s="4" t="str">
        <f t="shared" si="45"/>
        <v>junho</v>
      </c>
      <c r="P1013" s="4">
        <f t="shared" si="46"/>
        <v>2025</v>
      </c>
      <c r="Q1013" s="4" t="str">
        <f t="shared" si="47"/>
        <v/>
      </c>
      <c r="R1013" t="s">
        <v>24</v>
      </c>
    </row>
    <row r="1014" spans="1:18" x14ac:dyDescent="0.3">
      <c r="A1014" s="1" t="d">
        <v>2025-06-19</v>
      </c>
      <c r="B1014">
        <v>45508</v>
      </c>
      <c r="C1014" t="str">
        <f>VLOOKUP(Fato_Producao[[#This Row],[referencia]], Dim_Produtos!A:B,2,FALSE)</f>
        <v>lula suja</v>
      </c>
      <c r="D1014">
        <v>3425</v>
      </c>
      <c r="E1014">
        <v>3084</v>
      </c>
      <c r="F1014" s="5">
        <v>9.9599999999999994E-2</v>
      </c>
      <c r="G1014" s="6">
        <v>109.12</v>
      </c>
      <c r="H1014">
        <v>30</v>
      </c>
      <c r="I1014">
        <v>305</v>
      </c>
      <c r="J1014">
        <v>6</v>
      </c>
      <c r="K1014">
        <f>Fato_Producao[[#This Row],[embalagens_danificadas]]+Fato_Producao[[#This Row],[peso_errado]]+Fato_Producao[[#This Row],[impressao]]</f>
        <v>341</v>
      </c>
      <c r="L1014" s="1" t="d">
        <v>2025-05-13</v>
      </c>
      <c r="M1014">
        <v>37</v>
      </c>
      <c r="N1014" s="7">
        <v>15.28</v>
      </c>
      <c r="O1014" s="4" t="str">
        <f t="shared" si="45"/>
        <v>junho</v>
      </c>
      <c r="P1014" s="4">
        <f t="shared" si="46"/>
        <v>2025</v>
      </c>
      <c r="Q1014" s="4" t="str">
        <f t="shared" si="47"/>
        <v/>
      </c>
      <c r="R1014" t="s">
        <v>24</v>
      </c>
    </row>
    <row r="1015" spans="1:18" x14ac:dyDescent="0.3">
      <c r="A1015" s="1" t="d">
        <v>2025-06-19</v>
      </c>
      <c r="B1015">
        <v>45511</v>
      </c>
      <c r="C1015" t="str">
        <f>VLOOKUP(Fato_Producao[[#This Row],[referencia]], Dim_Produtos!A:B,2,FALSE)</f>
        <v>lula limpa</v>
      </c>
      <c r="D1015">
        <v>3431</v>
      </c>
      <c r="E1015">
        <v>3123</v>
      </c>
      <c r="F1015" s="5">
        <v>8.9800000000000005E-2</v>
      </c>
      <c r="G1015" s="6">
        <v>98.56</v>
      </c>
      <c r="H1015">
        <v>41</v>
      </c>
      <c r="I1015">
        <v>261</v>
      </c>
      <c r="J1015">
        <v>6</v>
      </c>
      <c r="K1015">
        <f>Fato_Producao[[#This Row],[embalagens_danificadas]]+Fato_Producao[[#This Row],[peso_errado]]+Fato_Producao[[#This Row],[impressao]]</f>
        <v>308</v>
      </c>
      <c r="L1015" s="1" t="d">
        <v>2025-05-13</v>
      </c>
      <c r="M1015">
        <v>37</v>
      </c>
      <c r="N1015" s="7">
        <v>13.8</v>
      </c>
      <c r="O1015" s="4" t="str">
        <f t="shared" si="45"/>
        <v>junho</v>
      </c>
      <c r="P1015" s="4">
        <f t="shared" si="46"/>
        <v>2025</v>
      </c>
      <c r="Q1015" s="4" t="str">
        <f t="shared" si="47"/>
        <v/>
      </c>
      <c r="R1015" t="s">
        <v>24</v>
      </c>
    </row>
    <row r="1016" spans="1:18" x14ac:dyDescent="0.3">
      <c r="A1016" s="1" t="d">
        <v>2025-06-20</v>
      </c>
      <c r="B1016">
        <v>45510</v>
      </c>
      <c r="C1016" t="str">
        <f>VLOOKUP(Fato_Producao[[#This Row],[referencia]], Dim_Produtos!A:B,2,FALSE)</f>
        <v>tiras pota</v>
      </c>
      <c r="D1016">
        <v>1915</v>
      </c>
      <c r="E1016">
        <v>1752</v>
      </c>
      <c r="F1016" s="5">
        <v>8.5099999999999995E-2</v>
      </c>
      <c r="G1016" s="6">
        <v>52.16</v>
      </c>
      <c r="H1016">
        <v>21</v>
      </c>
      <c r="I1016">
        <v>139</v>
      </c>
      <c r="J1016">
        <v>3</v>
      </c>
      <c r="K1016">
        <f>Fato_Producao[[#This Row],[embalagens_danificadas]]+Fato_Producao[[#This Row],[peso_errado]]+Fato_Producao[[#This Row],[impressao]]</f>
        <v>163</v>
      </c>
      <c r="L1016" s="1" t="d">
        <v>2025-05-13</v>
      </c>
      <c r="M1016">
        <v>38</v>
      </c>
      <c r="N1016" s="7">
        <v>7.3</v>
      </c>
      <c r="O1016" s="4" t="str">
        <f t="shared" si="45"/>
        <v>junho</v>
      </c>
      <c r="P1016" s="4">
        <f t="shared" si="46"/>
        <v>2025</v>
      </c>
      <c r="Q1016" s="4" t="str">
        <f t="shared" si="47"/>
        <v/>
      </c>
      <c r="R1016" t="s">
        <v>24</v>
      </c>
    </row>
    <row r="1017" spans="1:18" x14ac:dyDescent="0.3">
      <c r="A1017" s="1" t="d">
        <v>2025-06-20</v>
      </c>
      <c r="B1017">
        <v>45509</v>
      </c>
      <c r="C1017" t="str">
        <f>VLOOKUP(Fato_Producao[[#This Row],[referencia]], Dim_Produtos!A:B,2,FALSE)</f>
        <v>lascas bacalhau</v>
      </c>
      <c r="D1017">
        <v>2909</v>
      </c>
      <c r="E1017">
        <v>2669</v>
      </c>
      <c r="F1017" s="5">
        <v>8.2500000000000004E-2</v>
      </c>
      <c r="G1017" s="6">
        <v>67.2</v>
      </c>
      <c r="H1017">
        <v>14</v>
      </c>
      <c r="I1017">
        <v>221</v>
      </c>
      <c r="J1017">
        <v>5</v>
      </c>
      <c r="K1017">
        <f>Fato_Producao[[#This Row],[embalagens_danificadas]]+Fato_Producao[[#This Row],[peso_errado]]+Fato_Producao[[#This Row],[impressao]]</f>
        <v>240</v>
      </c>
      <c r="L1017" s="1" t="d">
        <v>2025-05-13</v>
      </c>
      <c r="M1017">
        <v>38</v>
      </c>
      <c r="N1017" s="7">
        <v>8.74</v>
      </c>
      <c r="O1017" s="4" t="str">
        <f t="shared" si="45"/>
        <v>junho</v>
      </c>
      <c r="P1017" s="4">
        <f t="shared" si="46"/>
        <v>2025</v>
      </c>
      <c r="Q1017" s="4" t="str">
        <f t="shared" si="47"/>
        <v/>
      </c>
      <c r="R1017" t="s">
        <v>24</v>
      </c>
    </row>
    <row r="1018" spans="1:18" x14ac:dyDescent="0.3">
      <c r="A1018" s="1" t="d">
        <v>2025-06-21</v>
      </c>
      <c r="B1018">
        <v>45505</v>
      </c>
      <c r="C1018" t="str">
        <f>VLOOKUP(Fato_Producao[[#This Row],[referencia]], Dim_Produtos!A:B,2,FALSE)</f>
        <v>camarao</v>
      </c>
      <c r="D1018">
        <v>3842</v>
      </c>
      <c r="E1018">
        <v>3556</v>
      </c>
      <c r="F1018" s="5">
        <v>7.4399999999999994E-2</v>
      </c>
      <c r="G1018" s="6">
        <v>85.8</v>
      </c>
      <c r="H1018">
        <v>86</v>
      </c>
      <c r="I1018">
        <v>191</v>
      </c>
      <c r="J1018">
        <v>9</v>
      </c>
      <c r="K1018">
        <f>Fato_Producao[[#This Row],[embalagens_danificadas]]+Fato_Producao[[#This Row],[peso_errado]]+Fato_Producao[[#This Row],[impressao]]</f>
        <v>286</v>
      </c>
      <c r="L1018" s="1" t="d">
        <v>2025-05-13</v>
      </c>
      <c r="M1018">
        <v>39</v>
      </c>
      <c r="N1018" s="7">
        <v>12.87</v>
      </c>
      <c r="O1018" s="4" t="str">
        <f t="shared" si="45"/>
        <v>junho</v>
      </c>
      <c r="P1018" s="4">
        <f t="shared" si="46"/>
        <v>2025</v>
      </c>
      <c r="Q1018" s="4" t="str">
        <f t="shared" si="47"/>
        <v/>
      </c>
      <c r="R1018" t="s">
        <v>24</v>
      </c>
    </row>
    <row r="1019" spans="1:18" x14ac:dyDescent="0.3">
      <c r="A1019" s="1" t="d">
        <v>2025-06-22</v>
      </c>
      <c r="B1019">
        <v>45507</v>
      </c>
      <c r="C1019" t="str">
        <f>VLOOKUP(Fato_Producao[[#This Row],[referencia]], Dim_Produtos!A:B,2,FALSE)</f>
        <v>salmao posta</v>
      </c>
      <c r="D1019">
        <v>3157</v>
      </c>
      <c r="E1019">
        <v>2871</v>
      </c>
      <c r="F1019" s="5">
        <v>9.06E-2</v>
      </c>
      <c r="G1019" s="6">
        <v>100.1</v>
      </c>
      <c r="H1019">
        <v>10</v>
      </c>
      <c r="I1019">
        <v>268</v>
      </c>
      <c r="J1019">
        <v>8</v>
      </c>
      <c r="K1019">
        <f>Fato_Producao[[#This Row],[embalagens_danificadas]]+Fato_Producao[[#This Row],[peso_errado]]+Fato_Producao[[#This Row],[impressao]]</f>
        <v>286</v>
      </c>
      <c r="L1019" s="1" t="d">
        <v>2025-05-13</v>
      </c>
      <c r="M1019">
        <v>40</v>
      </c>
      <c r="N1019" s="7">
        <v>16.02</v>
      </c>
      <c r="O1019" s="4" t="str">
        <f t="shared" si="45"/>
        <v>junho</v>
      </c>
      <c r="P1019" s="4">
        <f t="shared" si="46"/>
        <v>2025</v>
      </c>
      <c r="Q1019" s="4" t="str">
        <f t="shared" si="47"/>
        <v/>
      </c>
      <c r="R1019" t="s">
        <v>24</v>
      </c>
    </row>
    <row r="1020" spans="1:18" x14ac:dyDescent="0.3">
      <c r="A1020" s="1" t="d">
        <v>2025-06-22</v>
      </c>
      <c r="B1020">
        <v>45507</v>
      </c>
      <c r="C1020" t="str">
        <f>VLOOKUP(Fato_Producao[[#This Row],[referencia]], Dim_Produtos!A:B,2,FALSE)</f>
        <v>salmao posta</v>
      </c>
      <c r="D1020">
        <v>4008</v>
      </c>
      <c r="E1020">
        <v>3703</v>
      </c>
      <c r="F1020" s="5">
        <v>7.6100000000000001E-2</v>
      </c>
      <c r="G1020" s="6">
        <v>106.75</v>
      </c>
      <c r="H1020">
        <v>6</v>
      </c>
      <c r="I1020">
        <v>293</v>
      </c>
      <c r="J1020">
        <v>6</v>
      </c>
      <c r="K1020">
        <f>Fato_Producao[[#This Row],[embalagens_danificadas]]+Fato_Producao[[#This Row],[peso_errado]]+Fato_Producao[[#This Row],[impressao]]</f>
        <v>305</v>
      </c>
      <c r="L1020" s="1" t="d">
        <v>2025-05-13</v>
      </c>
      <c r="M1020">
        <v>40</v>
      </c>
      <c r="N1020" s="7">
        <v>17.079999999999998</v>
      </c>
      <c r="O1020" s="4" t="str">
        <f t="shared" si="45"/>
        <v>junho</v>
      </c>
      <c r="P1020" s="4">
        <f t="shared" si="46"/>
        <v>2025</v>
      </c>
      <c r="Q1020" s="4" t="str">
        <f t="shared" si="47"/>
        <v/>
      </c>
      <c r="R1020" t="s">
        <v>24</v>
      </c>
    </row>
    <row r="1021" spans="1:18" x14ac:dyDescent="0.3">
      <c r="A1021" s="1" t="d">
        <v>2025-06-23</v>
      </c>
      <c r="B1021">
        <v>45513</v>
      </c>
      <c r="C1021" t="str">
        <f>VLOOKUP(Fato_Producao[[#This Row],[referencia]], Dim_Produtos!A:B,2,FALSE)</f>
        <v>filete pescada</v>
      </c>
      <c r="D1021">
        <v>3466</v>
      </c>
      <c r="E1021">
        <v>3227</v>
      </c>
      <c r="F1021" s="5">
        <v>6.9000000000000006E-2</v>
      </c>
      <c r="G1021" s="6">
        <v>76.48</v>
      </c>
      <c r="H1021">
        <v>6</v>
      </c>
      <c r="I1021">
        <v>226</v>
      </c>
      <c r="J1021">
        <v>7</v>
      </c>
      <c r="K1021">
        <f>Fato_Producao[[#This Row],[embalagens_danificadas]]+Fato_Producao[[#This Row],[peso_errado]]+Fato_Producao[[#This Row],[impressao]]</f>
        <v>239</v>
      </c>
      <c r="L1021" s="1" t="d">
        <v>2025-05-13</v>
      </c>
      <c r="M1021">
        <v>41</v>
      </c>
      <c r="N1021" s="7">
        <v>9.94</v>
      </c>
      <c r="O1021" s="4" t="str">
        <f t="shared" si="45"/>
        <v>junho</v>
      </c>
      <c r="P1021" s="4">
        <f t="shared" si="46"/>
        <v>2025</v>
      </c>
      <c r="Q1021" s="4" t="str">
        <f t="shared" si="47"/>
        <v/>
      </c>
      <c r="R1021" t="s">
        <v>24</v>
      </c>
    </row>
    <row r="1022" spans="1:18" x14ac:dyDescent="0.3">
      <c r="A1022" s="1" t="d">
        <v>2025-06-24</v>
      </c>
      <c r="B1022">
        <v>45513</v>
      </c>
      <c r="C1022" t="str">
        <f>VLOOKUP(Fato_Producao[[#This Row],[referencia]], Dim_Produtos!A:B,2,FALSE)</f>
        <v>filete pescada</v>
      </c>
      <c r="D1022">
        <v>2626</v>
      </c>
      <c r="E1022">
        <v>2403</v>
      </c>
      <c r="F1022" s="5">
        <v>8.4900000000000003E-2</v>
      </c>
      <c r="G1022" s="6">
        <v>71.36</v>
      </c>
      <c r="H1022">
        <v>11</v>
      </c>
      <c r="I1022">
        <v>209</v>
      </c>
      <c r="J1022">
        <v>3</v>
      </c>
      <c r="K1022">
        <f>Fato_Producao[[#This Row],[embalagens_danificadas]]+Fato_Producao[[#This Row],[peso_errado]]+Fato_Producao[[#This Row],[impressao]]</f>
        <v>223</v>
      </c>
      <c r="L1022" s="1" t="d">
        <v>2025-05-13</v>
      </c>
      <c r="M1022">
        <v>42</v>
      </c>
      <c r="N1022" s="7">
        <v>9.2799999999999994</v>
      </c>
      <c r="O1022" s="4" t="str">
        <f t="shared" si="45"/>
        <v>junho</v>
      </c>
      <c r="P1022" s="4">
        <f t="shared" si="46"/>
        <v>2025</v>
      </c>
      <c r="Q1022" s="4" t="str">
        <f t="shared" si="47"/>
        <v/>
      </c>
      <c r="R1022" t="s">
        <v>24</v>
      </c>
    </row>
    <row r="1023" spans="1:18" x14ac:dyDescent="0.3">
      <c r="A1023" s="1" t="d">
        <v>2025-06-24</v>
      </c>
      <c r="B1023">
        <v>45510</v>
      </c>
      <c r="C1023" t="str">
        <f>VLOOKUP(Fato_Producao[[#This Row],[referencia]], Dim_Produtos!A:B,2,FALSE)</f>
        <v>tiras pota</v>
      </c>
      <c r="D1023">
        <v>4024</v>
      </c>
      <c r="E1023">
        <v>3646</v>
      </c>
      <c r="F1023" s="5">
        <v>9.3899999999999997E-2</v>
      </c>
      <c r="G1023" s="6">
        <v>120.96</v>
      </c>
      <c r="H1023">
        <v>48</v>
      </c>
      <c r="I1023">
        <v>320</v>
      </c>
      <c r="J1023">
        <v>10</v>
      </c>
      <c r="K1023">
        <f>Fato_Producao[[#This Row],[embalagens_danificadas]]+Fato_Producao[[#This Row],[peso_errado]]+Fato_Producao[[#This Row],[impressao]]</f>
        <v>378</v>
      </c>
      <c r="L1023" s="1" t="d">
        <v>2025-05-13</v>
      </c>
      <c r="M1023">
        <v>42</v>
      </c>
      <c r="N1023" s="7">
        <v>16.93</v>
      </c>
      <c r="O1023" s="4" t="str">
        <f t="shared" si="45"/>
        <v>junho</v>
      </c>
      <c r="P1023" s="4">
        <f t="shared" si="46"/>
        <v>2025</v>
      </c>
      <c r="Q1023" s="4" t="str">
        <f t="shared" si="47"/>
        <v/>
      </c>
      <c r="R1023" t="s">
        <v>24</v>
      </c>
    </row>
    <row r="1024" spans="1:18" x14ac:dyDescent="0.3">
      <c r="A1024" s="1" t="d">
        <v>2025-06-25</v>
      </c>
      <c r="B1024">
        <v>45510</v>
      </c>
      <c r="C1024" t="str">
        <f>VLOOKUP(Fato_Producao[[#This Row],[referencia]], Dim_Produtos!A:B,2,FALSE)</f>
        <v>tiras pota</v>
      </c>
      <c r="D1024">
        <v>2288</v>
      </c>
      <c r="E1024">
        <v>2048</v>
      </c>
      <c r="F1024" s="5">
        <v>0.10489999999999999</v>
      </c>
      <c r="G1024" s="6">
        <v>76.8</v>
      </c>
      <c r="H1024">
        <v>21</v>
      </c>
      <c r="I1024">
        <v>214</v>
      </c>
      <c r="J1024">
        <v>5</v>
      </c>
      <c r="K1024">
        <f>Fato_Producao[[#This Row],[embalagens_danificadas]]+Fato_Producao[[#This Row],[peso_errado]]+Fato_Producao[[#This Row],[impressao]]</f>
        <v>240</v>
      </c>
      <c r="L1024" s="1" t="d">
        <v>2025-05-13</v>
      </c>
      <c r="M1024">
        <v>43</v>
      </c>
      <c r="N1024" s="7">
        <v>10.75</v>
      </c>
      <c r="O1024" s="4" t="str">
        <f t="shared" si="45"/>
        <v>junho</v>
      </c>
      <c r="P1024" s="4">
        <f t="shared" si="46"/>
        <v>2025</v>
      </c>
      <c r="Q1024" s="4" t="str">
        <f t="shared" si="47"/>
        <v/>
      </c>
      <c r="R1024" t="s">
        <v>24</v>
      </c>
    </row>
    <row r="1025" spans="1:18" x14ac:dyDescent="0.3">
      <c r="A1025" s="1" t="d">
        <v>2025-06-25</v>
      </c>
      <c r="B1025">
        <v>45504</v>
      </c>
      <c r="C1025" t="str">
        <f>VLOOKUP(Fato_Producao[[#This Row],[referencia]], Dim_Produtos!A:B,2,FALSE)</f>
        <v>pescada posta fritar</v>
      </c>
      <c r="D1025">
        <v>2351</v>
      </c>
      <c r="E1025">
        <v>2144</v>
      </c>
      <c r="F1025" s="5">
        <v>8.7999999999999995E-2</v>
      </c>
      <c r="G1025" s="6">
        <v>66.239999999999995</v>
      </c>
      <c r="H1025">
        <v>9</v>
      </c>
      <c r="I1025">
        <v>193</v>
      </c>
      <c r="J1025">
        <v>5</v>
      </c>
      <c r="K1025">
        <f>Fato_Producao[[#This Row],[embalagens_danificadas]]+Fato_Producao[[#This Row],[peso_errado]]+Fato_Producao[[#This Row],[impressao]]</f>
        <v>207</v>
      </c>
      <c r="L1025" s="1" t="d">
        <v>2025-05-13</v>
      </c>
      <c r="M1025">
        <v>43</v>
      </c>
      <c r="N1025" s="7">
        <v>9.27</v>
      </c>
      <c r="O1025" s="4" t="str">
        <f t="shared" si="45"/>
        <v>junho</v>
      </c>
      <c r="P1025" s="4">
        <f t="shared" si="46"/>
        <v>2025</v>
      </c>
      <c r="Q1025" s="4" t="str">
        <f t="shared" si="47"/>
        <v/>
      </c>
      <c r="R1025" t="s">
        <v>24</v>
      </c>
    </row>
    <row r="1026" spans="1:18" x14ac:dyDescent="0.3">
      <c r="A1026" s="1" t="d">
        <v>2025-06-26</v>
      </c>
      <c r="B1026">
        <v>45505</v>
      </c>
      <c r="C1026" t="str">
        <f>VLOOKUP(Fato_Producao[[#This Row],[referencia]], Dim_Produtos!A:B,2,FALSE)</f>
        <v>camarao</v>
      </c>
      <c r="D1026">
        <v>2583</v>
      </c>
      <c r="E1026">
        <v>2335</v>
      </c>
      <c r="F1026" s="5">
        <v>9.6000000000000002E-2</v>
      </c>
      <c r="G1026" s="6">
        <v>74.400000000000006</v>
      </c>
      <c r="H1026">
        <v>59</v>
      </c>
      <c r="I1026">
        <v>181</v>
      </c>
      <c r="J1026">
        <v>8</v>
      </c>
      <c r="K1026">
        <f>Fato_Producao[[#This Row],[embalagens_danificadas]]+Fato_Producao[[#This Row],[peso_errado]]+Fato_Producao[[#This Row],[impressao]]</f>
        <v>248</v>
      </c>
      <c r="L1026" s="1" t="d">
        <v>2025-05-13</v>
      </c>
      <c r="M1026">
        <v>44</v>
      </c>
      <c r="N1026" s="7">
        <v>11.16</v>
      </c>
      <c r="O1026" s="4" t="str">
        <f t="shared" ref="O1026:O1089" si="48">TEXT(A1026, "mmmm")</f>
        <v>junho</v>
      </c>
      <c r="P1026" s="4">
        <f t="shared" ref="P1026:P1089" si="49">YEAR(A1026)</f>
        <v>2025</v>
      </c>
      <c r="Q1026" s="4" t="str">
        <f t="shared" ref="Q1026:Q1089" si="50">IF(M1027 &gt;= M1026, "", M1026)</f>
        <v/>
      </c>
      <c r="R1026" t="s">
        <v>24</v>
      </c>
    </row>
    <row r="1027" spans="1:18" x14ac:dyDescent="0.3">
      <c r="A1027" s="1" t="d">
        <v>2025-06-27</v>
      </c>
      <c r="B1027">
        <v>45509</v>
      </c>
      <c r="C1027" t="str">
        <f>VLOOKUP(Fato_Producao[[#This Row],[referencia]], Dim_Produtos!A:B,2,FALSE)</f>
        <v>lascas bacalhau</v>
      </c>
      <c r="D1027">
        <v>2638</v>
      </c>
      <c r="E1027">
        <v>2400</v>
      </c>
      <c r="F1027" s="5">
        <v>9.0200000000000002E-2</v>
      </c>
      <c r="G1027" s="6">
        <v>66.64</v>
      </c>
      <c r="H1027">
        <v>12</v>
      </c>
      <c r="I1027">
        <v>219</v>
      </c>
      <c r="J1027">
        <v>7</v>
      </c>
      <c r="K1027">
        <f>Fato_Producao[[#This Row],[embalagens_danificadas]]+Fato_Producao[[#This Row],[peso_errado]]+Fato_Producao[[#This Row],[impressao]]</f>
        <v>238</v>
      </c>
      <c r="L1027" s="1" t="d">
        <v>2025-05-13</v>
      </c>
      <c r="M1027">
        <v>45</v>
      </c>
      <c r="N1027" s="7">
        <v>8.66</v>
      </c>
      <c r="O1027" s="4" t="str">
        <f t="shared" si="48"/>
        <v>junho</v>
      </c>
      <c r="P1027" s="4">
        <f t="shared" si="49"/>
        <v>2025</v>
      </c>
      <c r="Q1027" s="4" t="str">
        <f t="shared" si="50"/>
        <v/>
      </c>
      <c r="R1027" t="s">
        <v>24</v>
      </c>
    </row>
    <row r="1028" spans="1:18" x14ac:dyDescent="0.3">
      <c r="A1028" s="1" t="d">
        <v>2025-06-27</v>
      </c>
      <c r="B1028">
        <v>45504</v>
      </c>
      <c r="C1028" t="str">
        <f>VLOOKUP(Fato_Producao[[#This Row],[referencia]], Dim_Produtos!A:B,2,FALSE)</f>
        <v>pescada posta fritar</v>
      </c>
      <c r="D1028">
        <v>3451</v>
      </c>
      <c r="E1028">
        <v>3158</v>
      </c>
      <c r="F1028" s="5">
        <v>8.4900000000000003E-2</v>
      </c>
      <c r="G1028" s="6">
        <v>93.76</v>
      </c>
      <c r="H1028">
        <v>11</v>
      </c>
      <c r="I1028">
        <v>278</v>
      </c>
      <c r="J1028">
        <v>4</v>
      </c>
      <c r="K1028">
        <f>Fato_Producao[[#This Row],[embalagens_danificadas]]+Fato_Producao[[#This Row],[peso_errado]]+Fato_Producao[[#This Row],[impressao]]</f>
        <v>293</v>
      </c>
      <c r="L1028" s="1" t="d">
        <v>2025-05-13</v>
      </c>
      <c r="M1028">
        <v>45</v>
      </c>
      <c r="N1028" s="7">
        <v>13.13</v>
      </c>
      <c r="O1028" s="4" t="str">
        <f t="shared" si="48"/>
        <v>junho</v>
      </c>
      <c r="P1028" s="4">
        <f t="shared" si="49"/>
        <v>2025</v>
      </c>
      <c r="Q1028" s="4" t="str">
        <f t="shared" si="50"/>
        <v/>
      </c>
      <c r="R1028" t="s">
        <v>24</v>
      </c>
    </row>
    <row r="1029" spans="1:18" x14ac:dyDescent="0.3">
      <c r="A1029" s="1" t="d">
        <v>2025-06-28</v>
      </c>
      <c r="B1029">
        <v>45509</v>
      </c>
      <c r="C1029" t="str">
        <f>VLOOKUP(Fato_Producao[[#This Row],[referencia]], Dim_Produtos!A:B,2,FALSE)</f>
        <v>lascas bacalhau</v>
      </c>
      <c r="D1029">
        <v>3858</v>
      </c>
      <c r="E1029">
        <v>3508</v>
      </c>
      <c r="F1029" s="5">
        <v>9.0700000000000003E-2</v>
      </c>
      <c r="G1029" s="6">
        <v>98</v>
      </c>
      <c r="H1029">
        <v>108</v>
      </c>
      <c r="I1029">
        <v>62</v>
      </c>
      <c r="J1029">
        <v>180</v>
      </c>
      <c r="K1029">
        <f>Fato_Producao[[#This Row],[embalagens_danificadas]]+Fato_Producao[[#This Row],[peso_errado]]+Fato_Producao[[#This Row],[impressao]]</f>
        <v>350</v>
      </c>
      <c r="L1029" s="1" t="d">
        <v>2025-05-13</v>
      </c>
      <c r="M1029">
        <v>46</v>
      </c>
      <c r="N1029" s="7">
        <v>12.74</v>
      </c>
      <c r="O1029" s="4" t="str">
        <f t="shared" si="48"/>
        <v>junho</v>
      </c>
      <c r="P1029" s="4">
        <f t="shared" si="49"/>
        <v>2025</v>
      </c>
      <c r="Q1029" s="4">
        <f t="shared" si="50"/>
        <v>46</v>
      </c>
      <c r="R1029" t="s">
        <v>50</v>
      </c>
    </row>
    <row r="1030" spans="1:18" x14ac:dyDescent="0.3">
      <c r="A1030" s="1" t="d">
        <v>2025-06-29</v>
      </c>
      <c r="B1030">
        <v>45512</v>
      </c>
      <c r="C1030" t="str">
        <f>VLOOKUP(Fato_Producao[[#This Row],[referencia]], Dim_Produtos!A:B,2,FALSE)</f>
        <v>red-fish posta</v>
      </c>
      <c r="D1030">
        <v>3358</v>
      </c>
      <c r="E1030">
        <v>3196</v>
      </c>
      <c r="F1030" s="5">
        <v>4.82E-2</v>
      </c>
      <c r="G1030" s="6">
        <v>55.08</v>
      </c>
      <c r="H1030">
        <v>5</v>
      </c>
      <c r="I1030">
        <v>155</v>
      </c>
      <c r="J1030">
        <v>2</v>
      </c>
      <c r="K1030">
        <f>Fato_Producao[[#This Row],[embalagens_danificadas]]+Fato_Producao[[#This Row],[peso_errado]]+Fato_Producao[[#This Row],[impressao]]</f>
        <v>162</v>
      </c>
      <c r="L1030" s="1" t="d">
        <v>2025-06-29</v>
      </c>
      <c r="M1030">
        <v>0</v>
      </c>
      <c r="N1030" s="7">
        <v>7.71</v>
      </c>
      <c r="O1030" s="4" t="str">
        <f t="shared" si="48"/>
        <v>junho</v>
      </c>
      <c r="P1030" s="4">
        <f t="shared" si="49"/>
        <v>2025</v>
      </c>
      <c r="Q1030" s="4" t="str">
        <f t="shared" si="50"/>
        <v/>
      </c>
      <c r="R1030" t="s">
        <v>24</v>
      </c>
    </row>
    <row r="1031" spans="1:18" x14ac:dyDescent="0.3">
      <c r="A1031" s="1" t="d">
        <v>2025-06-29</v>
      </c>
      <c r="B1031">
        <v>45510</v>
      </c>
      <c r="C1031" t="str">
        <f>VLOOKUP(Fato_Producao[[#This Row],[referencia]], Dim_Produtos!A:B,2,FALSE)</f>
        <v>tiras pota</v>
      </c>
      <c r="D1031">
        <v>2951</v>
      </c>
      <c r="E1031">
        <v>2766</v>
      </c>
      <c r="F1031" s="5">
        <v>6.2700000000000006E-2</v>
      </c>
      <c r="G1031" s="6">
        <v>59.2</v>
      </c>
      <c r="H1031">
        <v>24</v>
      </c>
      <c r="I1031">
        <v>158</v>
      </c>
      <c r="J1031">
        <v>3</v>
      </c>
      <c r="K1031">
        <f>Fato_Producao[[#This Row],[embalagens_danificadas]]+Fato_Producao[[#This Row],[peso_errado]]+Fato_Producao[[#This Row],[impressao]]</f>
        <v>185</v>
      </c>
      <c r="L1031" s="1" t="d">
        <v>2025-06-29</v>
      </c>
      <c r="M1031">
        <v>0</v>
      </c>
      <c r="N1031" s="7">
        <v>8.2899999999999991</v>
      </c>
      <c r="O1031" s="4" t="str">
        <f t="shared" si="48"/>
        <v>junho</v>
      </c>
      <c r="P1031" s="4">
        <f t="shared" si="49"/>
        <v>2025</v>
      </c>
      <c r="Q1031" s="4" t="str">
        <f t="shared" si="50"/>
        <v/>
      </c>
      <c r="R1031" t="s">
        <v>24</v>
      </c>
    </row>
    <row r="1032" spans="1:18" x14ac:dyDescent="0.3">
      <c r="A1032" s="1" t="d">
        <v>2025-06-30</v>
      </c>
      <c r="B1032">
        <v>45501</v>
      </c>
      <c r="C1032" t="str">
        <f>VLOOKUP(Fato_Producao[[#This Row],[referencia]], Dim_Produtos!A:B,2,FALSE)</f>
        <v>pescada posta cozer</v>
      </c>
      <c r="D1032">
        <v>3694</v>
      </c>
      <c r="E1032">
        <v>3525</v>
      </c>
      <c r="F1032" s="5">
        <v>4.5699999999999998E-2</v>
      </c>
      <c r="G1032" s="6">
        <v>54.08</v>
      </c>
      <c r="H1032">
        <v>4</v>
      </c>
      <c r="I1032">
        <v>160</v>
      </c>
      <c r="J1032">
        <v>5</v>
      </c>
      <c r="K1032">
        <f>Fato_Producao[[#This Row],[embalagens_danificadas]]+Fato_Producao[[#This Row],[peso_errado]]+Fato_Producao[[#This Row],[impressao]]</f>
        <v>169</v>
      </c>
      <c r="L1032" s="1" t="d">
        <v>2025-06-29</v>
      </c>
      <c r="M1032">
        <v>1</v>
      </c>
      <c r="N1032" s="7">
        <v>7.57</v>
      </c>
      <c r="O1032" s="4" t="str">
        <f t="shared" si="48"/>
        <v>junho</v>
      </c>
      <c r="P1032" s="4">
        <f t="shared" si="49"/>
        <v>2025</v>
      </c>
      <c r="Q1032" s="4" t="str">
        <f t="shared" si="50"/>
        <v/>
      </c>
      <c r="R1032" t="s">
        <v>24</v>
      </c>
    </row>
    <row r="1033" spans="1:18" x14ac:dyDescent="0.3">
      <c r="A1033" s="1" t="d">
        <v>2025-06-30</v>
      </c>
      <c r="B1033">
        <v>45504</v>
      </c>
      <c r="C1033" t="str">
        <f>VLOOKUP(Fato_Producao[[#This Row],[referencia]], Dim_Produtos!A:B,2,FALSE)</f>
        <v>pescada posta fritar</v>
      </c>
      <c r="D1033">
        <v>3459</v>
      </c>
      <c r="E1033">
        <v>3205</v>
      </c>
      <c r="F1033" s="5">
        <v>7.3400000000000007E-2</v>
      </c>
      <c r="G1033" s="6">
        <v>81.28</v>
      </c>
      <c r="H1033">
        <v>11</v>
      </c>
      <c r="I1033">
        <v>236</v>
      </c>
      <c r="J1033">
        <v>7</v>
      </c>
      <c r="K1033">
        <f>Fato_Producao[[#This Row],[embalagens_danificadas]]+Fato_Producao[[#This Row],[peso_errado]]+Fato_Producao[[#This Row],[impressao]]</f>
        <v>254</v>
      </c>
      <c r="L1033" s="1" t="d">
        <v>2025-06-29</v>
      </c>
      <c r="M1033">
        <v>1</v>
      </c>
      <c r="N1033" s="7">
        <v>11.38</v>
      </c>
      <c r="O1033" s="4" t="str">
        <f t="shared" si="48"/>
        <v>junho</v>
      </c>
      <c r="P1033" s="4">
        <f t="shared" si="49"/>
        <v>2025</v>
      </c>
      <c r="Q1033" s="4" t="str">
        <f t="shared" si="50"/>
        <v/>
      </c>
      <c r="R1033" t="s">
        <v>24</v>
      </c>
    </row>
    <row r="1034" spans="1:18" x14ac:dyDescent="0.3">
      <c r="A1034" s="1" t="d">
        <v>2025-07-01</v>
      </c>
      <c r="B1034">
        <v>45513</v>
      </c>
      <c r="C1034" t="str">
        <f>VLOOKUP(Fato_Producao[[#This Row],[referencia]], Dim_Produtos!A:B,2,FALSE)</f>
        <v>filete pescada</v>
      </c>
      <c r="D1034">
        <v>2372</v>
      </c>
      <c r="E1034">
        <v>2268</v>
      </c>
      <c r="F1034" s="5">
        <v>4.3799999999999999E-2</v>
      </c>
      <c r="G1034" s="6">
        <v>33.28</v>
      </c>
      <c r="H1034">
        <v>4</v>
      </c>
      <c r="I1034">
        <v>98</v>
      </c>
      <c r="J1034">
        <v>2</v>
      </c>
      <c r="K1034">
        <f>Fato_Producao[[#This Row],[embalagens_danificadas]]+Fato_Producao[[#This Row],[peso_errado]]+Fato_Producao[[#This Row],[impressao]]</f>
        <v>104</v>
      </c>
      <c r="L1034" s="1" t="d">
        <v>2025-06-29</v>
      </c>
      <c r="M1034">
        <v>2</v>
      </c>
      <c r="N1034" s="7">
        <v>4.33</v>
      </c>
      <c r="O1034" s="4" t="str">
        <f t="shared" si="48"/>
        <v>julho</v>
      </c>
      <c r="P1034" s="4">
        <f t="shared" si="49"/>
        <v>2025</v>
      </c>
      <c r="Q1034" s="4" t="str">
        <f t="shared" si="50"/>
        <v/>
      </c>
      <c r="R1034" t="s">
        <v>24</v>
      </c>
    </row>
    <row r="1035" spans="1:18" x14ac:dyDescent="0.3">
      <c r="A1035" s="1" t="d">
        <v>2025-07-01</v>
      </c>
      <c r="B1035">
        <v>45505</v>
      </c>
      <c r="C1035" t="str">
        <f>VLOOKUP(Fato_Producao[[#This Row],[referencia]], Dim_Produtos!A:B,2,FALSE)</f>
        <v>camarao</v>
      </c>
      <c r="D1035">
        <v>1964</v>
      </c>
      <c r="E1035">
        <v>1835</v>
      </c>
      <c r="F1035" s="5">
        <v>6.5699999999999995E-2</v>
      </c>
      <c r="G1035" s="6">
        <v>38.700000000000003</v>
      </c>
      <c r="H1035">
        <v>33</v>
      </c>
      <c r="I1035">
        <v>91</v>
      </c>
      <c r="J1035">
        <v>5</v>
      </c>
      <c r="K1035">
        <f>Fato_Producao[[#This Row],[embalagens_danificadas]]+Fato_Producao[[#This Row],[peso_errado]]+Fato_Producao[[#This Row],[impressao]]</f>
        <v>129</v>
      </c>
      <c r="L1035" s="1" t="d">
        <v>2025-06-29</v>
      </c>
      <c r="M1035">
        <v>2</v>
      </c>
      <c r="N1035" s="7">
        <v>5.81</v>
      </c>
      <c r="O1035" s="4" t="str">
        <f t="shared" si="48"/>
        <v>julho</v>
      </c>
      <c r="P1035" s="4">
        <f t="shared" si="49"/>
        <v>2025</v>
      </c>
      <c r="Q1035" s="4" t="str">
        <f t="shared" si="50"/>
        <v/>
      </c>
      <c r="R1035" t="s">
        <v>24</v>
      </c>
    </row>
    <row r="1036" spans="1:18" x14ac:dyDescent="0.3">
      <c r="A1036" s="1" t="d">
        <v>2025-07-02</v>
      </c>
      <c r="B1036">
        <v>45500</v>
      </c>
      <c r="C1036" t="str">
        <f>VLOOKUP(Fato_Producao[[#This Row],[referencia]], Dim_Produtos!A:B,2,FALSE)</f>
        <v>filete pescada</v>
      </c>
      <c r="D1036">
        <v>1891</v>
      </c>
      <c r="E1036">
        <v>1836</v>
      </c>
      <c r="F1036" s="5">
        <v>2.9100000000000001E-2</v>
      </c>
      <c r="G1036" s="6">
        <v>15.4</v>
      </c>
      <c r="H1036">
        <v>3</v>
      </c>
      <c r="I1036">
        <v>51</v>
      </c>
      <c r="J1036">
        <v>1</v>
      </c>
      <c r="K1036">
        <f>Fato_Producao[[#This Row],[embalagens_danificadas]]+Fato_Producao[[#This Row],[peso_errado]]+Fato_Producao[[#This Row],[impressao]]</f>
        <v>55</v>
      </c>
      <c r="L1036" s="1" t="d">
        <v>2025-06-29</v>
      </c>
      <c r="M1036">
        <v>3</v>
      </c>
      <c r="N1036" s="7">
        <v>1.85</v>
      </c>
      <c r="O1036" s="4" t="str">
        <f t="shared" si="48"/>
        <v>julho</v>
      </c>
      <c r="P1036" s="4">
        <f t="shared" si="49"/>
        <v>2025</v>
      </c>
      <c r="Q1036" s="4" t="str">
        <f t="shared" si="50"/>
        <v/>
      </c>
      <c r="R1036" t="s">
        <v>24</v>
      </c>
    </row>
    <row r="1037" spans="1:18" x14ac:dyDescent="0.3">
      <c r="A1037" s="1" t="d">
        <v>2025-07-02</v>
      </c>
      <c r="B1037">
        <v>45508</v>
      </c>
      <c r="C1037" t="str">
        <f>VLOOKUP(Fato_Producao[[#This Row],[referencia]], Dim_Produtos!A:B,2,FALSE)</f>
        <v>lula suja</v>
      </c>
      <c r="D1037">
        <v>2598</v>
      </c>
      <c r="E1037">
        <v>2368</v>
      </c>
      <c r="F1037" s="5">
        <v>8.8499999999999995E-2</v>
      </c>
      <c r="G1037" s="6">
        <v>73.599999999999994</v>
      </c>
      <c r="H1037">
        <v>19</v>
      </c>
      <c r="I1037">
        <v>205</v>
      </c>
      <c r="J1037">
        <v>6</v>
      </c>
      <c r="K1037">
        <f>Fato_Producao[[#This Row],[embalagens_danificadas]]+Fato_Producao[[#This Row],[peso_errado]]+Fato_Producao[[#This Row],[impressao]]</f>
        <v>230</v>
      </c>
      <c r="L1037" s="1" t="d">
        <v>2025-06-29</v>
      </c>
      <c r="M1037">
        <v>3</v>
      </c>
      <c r="N1037" s="7">
        <v>10.3</v>
      </c>
      <c r="O1037" s="4" t="str">
        <f t="shared" si="48"/>
        <v>julho</v>
      </c>
      <c r="P1037" s="4">
        <f t="shared" si="49"/>
        <v>2025</v>
      </c>
      <c r="Q1037" s="4" t="str">
        <f t="shared" si="50"/>
        <v/>
      </c>
      <c r="R1037" t="s">
        <v>24</v>
      </c>
    </row>
    <row r="1038" spans="1:18" x14ac:dyDescent="0.3">
      <c r="A1038" s="1" t="d">
        <v>2025-07-03</v>
      </c>
      <c r="B1038">
        <v>45504</v>
      </c>
      <c r="C1038" t="str">
        <f>VLOOKUP(Fato_Producao[[#This Row],[referencia]], Dim_Produtos!A:B,2,FALSE)</f>
        <v>pescada posta fritar</v>
      </c>
      <c r="D1038">
        <v>2397</v>
      </c>
      <c r="E1038">
        <v>2305</v>
      </c>
      <c r="F1038" s="5">
        <v>3.8399999999999997E-2</v>
      </c>
      <c r="G1038" s="6">
        <v>29.44</v>
      </c>
      <c r="H1038">
        <v>5</v>
      </c>
      <c r="I1038">
        <v>85</v>
      </c>
      <c r="J1038">
        <v>2</v>
      </c>
      <c r="K1038">
        <f>Fato_Producao[[#This Row],[embalagens_danificadas]]+Fato_Producao[[#This Row],[peso_errado]]+Fato_Producao[[#This Row],[impressao]]</f>
        <v>92</v>
      </c>
      <c r="L1038" s="1" t="d">
        <v>2025-06-29</v>
      </c>
      <c r="M1038">
        <v>4</v>
      </c>
      <c r="N1038" s="7">
        <v>4.12</v>
      </c>
      <c r="O1038" s="4" t="str">
        <f t="shared" si="48"/>
        <v>julho</v>
      </c>
      <c r="P1038" s="4">
        <f t="shared" si="49"/>
        <v>2025</v>
      </c>
      <c r="Q1038" s="4" t="str">
        <f t="shared" si="50"/>
        <v/>
      </c>
      <c r="R1038" t="s">
        <v>24</v>
      </c>
    </row>
    <row r="1039" spans="1:18" x14ac:dyDescent="0.3">
      <c r="A1039" s="1" t="d">
        <v>2025-07-03</v>
      </c>
      <c r="B1039">
        <v>45504</v>
      </c>
      <c r="C1039" t="str">
        <f>VLOOKUP(Fato_Producao[[#This Row],[referencia]], Dim_Produtos!A:B,2,FALSE)</f>
        <v>pescada posta fritar</v>
      </c>
      <c r="D1039">
        <v>2516</v>
      </c>
      <c r="E1039">
        <v>2340</v>
      </c>
      <c r="F1039" s="5">
        <v>7.0000000000000007E-2</v>
      </c>
      <c r="G1039" s="6">
        <v>56.32</v>
      </c>
      <c r="H1039">
        <v>9</v>
      </c>
      <c r="I1039">
        <v>163</v>
      </c>
      <c r="J1039">
        <v>4</v>
      </c>
      <c r="K1039">
        <f>Fato_Producao[[#This Row],[embalagens_danificadas]]+Fato_Producao[[#This Row],[peso_errado]]+Fato_Producao[[#This Row],[impressao]]</f>
        <v>176</v>
      </c>
      <c r="L1039" s="1" t="d">
        <v>2025-06-29</v>
      </c>
      <c r="M1039">
        <v>4</v>
      </c>
      <c r="N1039" s="7">
        <v>7.88</v>
      </c>
      <c r="O1039" s="4" t="str">
        <f t="shared" si="48"/>
        <v>julho</v>
      </c>
      <c r="P1039" s="4">
        <f t="shared" si="49"/>
        <v>2025</v>
      </c>
      <c r="Q1039" s="4" t="str">
        <f t="shared" si="50"/>
        <v/>
      </c>
      <c r="R1039" t="s">
        <v>24</v>
      </c>
    </row>
    <row r="1040" spans="1:18" x14ac:dyDescent="0.3">
      <c r="A1040" s="1" t="d">
        <v>2025-07-04</v>
      </c>
      <c r="B1040">
        <v>45500</v>
      </c>
      <c r="C1040" t="str">
        <f>VLOOKUP(Fato_Producao[[#This Row],[referencia]], Dim_Produtos!A:B,2,FALSE)</f>
        <v>filete pescada</v>
      </c>
      <c r="D1040">
        <v>4117</v>
      </c>
      <c r="E1040">
        <v>3938</v>
      </c>
      <c r="F1040" s="5">
        <v>4.3499999999999997E-2</v>
      </c>
      <c r="G1040" s="6">
        <v>50.12</v>
      </c>
      <c r="H1040">
        <v>7</v>
      </c>
      <c r="I1040">
        <v>170</v>
      </c>
      <c r="J1040">
        <v>2</v>
      </c>
      <c r="K1040">
        <f>Fato_Producao[[#This Row],[embalagens_danificadas]]+Fato_Producao[[#This Row],[peso_errado]]+Fato_Producao[[#This Row],[impressao]]</f>
        <v>179</v>
      </c>
      <c r="L1040" s="1" t="d">
        <v>2025-06-29</v>
      </c>
      <c r="M1040">
        <v>5</v>
      </c>
      <c r="N1040" s="7">
        <v>6.01</v>
      </c>
      <c r="O1040" s="4" t="str">
        <f t="shared" si="48"/>
        <v>julho</v>
      </c>
      <c r="P1040" s="4">
        <f t="shared" si="49"/>
        <v>2025</v>
      </c>
      <c r="Q1040" s="4" t="str">
        <f t="shared" si="50"/>
        <v/>
      </c>
      <c r="R1040" t="s">
        <v>24</v>
      </c>
    </row>
    <row r="1041" spans="1:18" x14ac:dyDescent="0.3">
      <c r="A1041" s="1" t="d">
        <v>2025-07-04</v>
      </c>
      <c r="B1041">
        <v>45512</v>
      </c>
      <c r="C1041" t="str">
        <f>VLOOKUP(Fato_Producao[[#This Row],[referencia]], Dim_Produtos!A:B,2,FALSE)</f>
        <v>red-fish posta</v>
      </c>
      <c r="D1041">
        <v>3555</v>
      </c>
      <c r="E1041">
        <v>3429</v>
      </c>
      <c r="F1041" s="5">
        <v>3.5400000000000001E-2</v>
      </c>
      <c r="G1041" s="6">
        <v>42.84</v>
      </c>
      <c r="H1041">
        <v>5</v>
      </c>
      <c r="I1041">
        <v>118</v>
      </c>
      <c r="J1041">
        <v>3</v>
      </c>
      <c r="K1041">
        <f>Fato_Producao[[#This Row],[embalagens_danificadas]]+Fato_Producao[[#This Row],[peso_errado]]+Fato_Producao[[#This Row],[impressao]]</f>
        <v>126</v>
      </c>
      <c r="L1041" s="1" t="d">
        <v>2025-06-29</v>
      </c>
      <c r="M1041">
        <v>5</v>
      </c>
      <c r="N1041" s="7">
        <v>6</v>
      </c>
      <c r="O1041" s="4" t="str">
        <f t="shared" si="48"/>
        <v>julho</v>
      </c>
      <c r="P1041" s="4">
        <f t="shared" si="49"/>
        <v>2025</v>
      </c>
      <c r="Q1041" s="4" t="str">
        <f t="shared" si="50"/>
        <v/>
      </c>
      <c r="R1041" t="s">
        <v>24</v>
      </c>
    </row>
    <row r="1042" spans="1:18" x14ac:dyDescent="0.3">
      <c r="A1042" s="1" t="d">
        <v>2025-07-05</v>
      </c>
      <c r="B1042">
        <v>45505</v>
      </c>
      <c r="C1042" t="str">
        <f>VLOOKUP(Fato_Producao[[#This Row],[referencia]], Dim_Produtos!A:B,2,FALSE)</f>
        <v>camarao</v>
      </c>
      <c r="D1042">
        <v>3459</v>
      </c>
      <c r="E1042">
        <v>3358</v>
      </c>
      <c r="F1042" s="5">
        <v>2.92E-2</v>
      </c>
      <c r="G1042" s="6">
        <v>30.3</v>
      </c>
      <c r="H1042">
        <v>28</v>
      </c>
      <c r="I1042">
        <v>71</v>
      </c>
      <c r="J1042">
        <v>2</v>
      </c>
      <c r="K1042">
        <f>Fato_Producao[[#This Row],[embalagens_danificadas]]+Fato_Producao[[#This Row],[peso_errado]]+Fato_Producao[[#This Row],[impressao]]</f>
        <v>101</v>
      </c>
      <c r="L1042" s="1" t="d">
        <v>2025-06-29</v>
      </c>
      <c r="M1042">
        <v>6</v>
      </c>
      <c r="N1042" s="7">
        <v>4.54</v>
      </c>
      <c r="O1042" s="4" t="str">
        <f t="shared" si="48"/>
        <v>julho</v>
      </c>
      <c r="P1042" s="4">
        <f t="shared" si="49"/>
        <v>2025</v>
      </c>
      <c r="Q1042" s="4" t="str">
        <f t="shared" si="50"/>
        <v/>
      </c>
      <c r="R1042" t="s">
        <v>24</v>
      </c>
    </row>
    <row r="1043" spans="1:18" x14ac:dyDescent="0.3">
      <c r="A1043" s="1" t="d">
        <v>2025-07-05</v>
      </c>
      <c r="B1043">
        <v>45512</v>
      </c>
      <c r="C1043" t="str">
        <f>VLOOKUP(Fato_Producao[[#This Row],[referencia]], Dim_Produtos!A:B,2,FALSE)</f>
        <v>red-fish posta</v>
      </c>
      <c r="D1043">
        <v>2176</v>
      </c>
      <c r="E1043">
        <v>2072</v>
      </c>
      <c r="F1043" s="5">
        <v>4.7800000000000002E-2</v>
      </c>
      <c r="G1043" s="6">
        <v>35.36</v>
      </c>
      <c r="H1043">
        <v>6</v>
      </c>
      <c r="I1043">
        <v>96</v>
      </c>
      <c r="J1043">
        <v>2</v>
      </c>
      <c r="K1043">
        <f>Fato_Producao[[#This Row],[embalagens_danificadas]]+Fato_Producao[[#This Row],[peso_errado]]+Fato_Producao[[#This Row],[impressao]]</f>
        <v>104</v>
      </c>
      <c r="L1043" s="1" t="d">
        <v>2025-06-29</v>
      </c>
      <c r="M1043">
        <v>6</v>
      </c>
      <c r="N1043" s="7">
        <v>4.95</v>
      </c>
      <c r="O1043" s="4" t="str">
        <f t="shared" si="48"/>
        <v>julho</v>
      </c>
      <c r="P1043" s="4">
        <f t="shared" si="49"/>
        <v>2025</v>
      </c>
      <c r="Q1043" s="4" t="str">
        <f t="shared" si="50"/>
        <v/>
      </c>
      <c r="R1043" t="s">
        <v>24</v>
      </c>
    </row>
    <row r="1044" spans="1:18" x14ac:dyDescent="0.3">
      <c r="A1044" s="1" t="d">
        <v>2025-07-06</v>
      </c>
      <c r="B1044">
        <v>45513</v>
      </c>
      <c r="C1044" t="str">
        <f>VLOOKUP(Fato_Producao[[#This Row],[referencia]], Dim_Produtos!A:B,2,FALSE)</f>
        <v>filete pescada</v>
      </c>
      <c r="D1044">
        <v>2794</v>
      </c>
      <c r="E1044">
        <v>2677</v>
      </c>
      <c r="F1044" s="5">
        <v>4.19E-2</v>
      </c>
      <c r="G1044" s="6">
        <v>37.44</v>
      </c>
      <c r="H1044">
        <v>2</v>
      </c>
      <c r="I1044">
        <v>112</v>
      </c>
      <c r="J1044">
        <v>3</v>
      </c>
      <c r="K1044">
        <f>Fato_Producao[[#This Row],[embalagens_danificadas]]+Fato_Producao[[#This Row],[peso_errado]]+Fato_Producao[[#This Row],[impressao]]</f>
        <v>117</v>
      </c>
      <c r="L1044" s="1" t="d">
        <v>2025-06-29</v>
      </c>
      <c r="M1044">
        <v>7</v>
      </c>
      <c r="N1044" s="7">
        <v>4.87</v>
      </c>
      <c r="O1044" s="4" t="str">
        <f t="shared" si="48"/>
        <v>julho</v>
      </c>
      <c r="P1044" s="4">
        <f t="shared" si="49"/>
        <v>2025</v>
      </c>
      <c r="Q1044" s="4" t="str">
        <f t="shared" si="50"/>
        <v/>
      </c>
      <c r="R1044" t="s">
        <v>24</v>
      </c>
    </row>
    <row r="1045" spans="1:18" x14ac:dyDescent="0.3">
      <c r="A1045" s="1" t="d">
        <v>2025-07-06</v>
      </c>
      <c r="B1045">
        <v>45500</v>
      </c>
      <c r="C1045" t="str">
        <f>VLOOKUP(Fato_Producao[[#This Row],[referencia]], Dim_Produtos!A:B,2,FALSE)</f>
        <v>filete pescada</v>
      </c>
      <c r="D1045">
        <v>1856</v>
      </c>
      <c r="E1045">
        <v>1787</v>
      </c>
      <c r="F1045" s="5">
        <v>3.7199999999999997E-2</v>
      </c>
      <c r="G1045" s="6">
        <v>19.32</v>
      </c>
      <c r="H1045">
        <v>4</v>
      </c>
      <c r="I1045">
        <v>64</v>
      </c>
      <c r="J1045">
        <v>1</v>
      </c>
      <c r="K1045">
        <f>Fato_Producao[[#This Row],[embalagens_danificadas]]+Fato_Producao[[#This Row],[peso_errado]]+Fato_Producao[[#This Row],[impressao]]</f>
        <v>69</v>
      </c>
      <c r="L1045" s="1" t="d">
        <v>2025-06-29</v>
      </c>
      <c r="M1045">
        <v>7</v>
      </c>
      <c r="N1045" s="7">
        <v>2.3199999999999998</v>
      </c>
      <c r="O1045" s="4" t="str">
        <f t="shared" si="48"/>
        <v>julho</v>
      </c>
      <c r="P1045" s="4">
        <f t="shared" si="49"/>
        <v>2025</v>
      </c>
      <c r="Q1045" s="4" t="str">
        <f t="shared" si="50"/>
        <v/>
      </c>
      <c r="R1045" t="s">
        <v>24</v>
      </c>
    </row>
    <row r="1046" spans="1:18" x14ac:dyDescent="0.3">
      <c r="A1046" s="1" t="d">
        <v>2025-07-07</v>
      </c>
      <c r="B1046">
        <v>45509</v>
      </c>
      <c r="C1046" t="str">
        <f>VLOOKUP(Fato_Producao[[#This Row],[referencia]], Dim_Produtos!A:B,2,FALSE)</f>
        <v>lascas bacalhau</v>
      </c>
      <c r="D1046">
        <v>2691</v>
      </c>
      <c r="E1046">
        <v>2511</v>
      </c>
      <c r="F1046" s="5">
        <v>6.6900000000000001E-2</v>
      </c>
      <c r="G1046" s="6">
        <v>50.4</v>
      </c>
      <c r="H1046">
        <v>3</v>
      </c>
      <c r="I1046">
        <v>172</v>
      </c>
      <c r="J1046">
        <v>5</v>
      </c>
      <c r="K1046">
        <f>Fato_Producao[[#This Row],[embalagens_danificadas]]+Fato_Producao[[#This Row],[peso_errado]]+Fato_Producao[[#This Row],[impressao]]</f>
        <v>180</v>
      </c>
      <c r="L1046" s="1" t="d">
        <v>2025-06-29</v>
      </c>
      <c r="M1046">
        <v>8</v>
      </c>
      <c r="N1046" s="7">
        <v>6.55</v>
      </c>
      <c r="O1046" s="4" t="str">
        <f t="shared" si="48"/>
        <v>julho</v>
      </c>
      <c r="P1046" s="4">
        <f t="shared" si="49"/>
        <v>2025</v>
      </c>
      <c r="Q1046" s="4" t="str">
        <f t="shared" si="50"/>
        <v/>
      </c>
      <c r="R1046" t="s">
        <v>24</v>
      </c>
    </row>
    <row r="1047" spans="1:18" x14ac:dyDescent="0.3">
      <c r="A1047" s="1" t="d">
        <v>2025-07-07</v>
      </c>
      <c r="B1047">
        <v>45512</v>
      </c>
      <c r="C1047" t="str">
        <f>VLOOKUP(Fato_Producao[[#This Row],[referencia]], Dim_Produtos!A:B,2,FALSE)</f>
        <v>red-fish posta</v>
      </c>
      <c r="D1047">
        <v>2604</v>
      </c>
      <c r="E1047">
        <v>2476</v>
      </c>
      <c r="F1047" s="5">
        <v>4.9200000000000001E-2</v>
      </c>
      <c r="G1047" s="6">
        <v>43.52</v>
      </c>
      <c r="H1047">
        <v>51</v>
      </c>
      <c r="I1047">
        <v>29</v>
      </c>
      <c r="J1047">
        <v>48</v>
      </c>
      <c r="K1047">
        <f>Fato_Producao[[#This Row],[embalagens_danificadas]]+Fato_Producao[[#This Row],[peso_errado]]+Fato_Producao[[#This Row],[impressao]]</f>
        <v>128</v>
      </c>
      <c r="L1047" s="1" t="d">
        <v>2025-06-29</v>
      </c>
      <c r="M1047">
        <v>8</v>
      </c>
      <c r="N1047" s="7">
        <v>6.09</v>
      </c>
      <c r="O1047" s="4" t="str">
        <f t="shared" si="48"/>
        <v>julho</v>
      </c>
      <c r="P1047" s="4">
        <f t="shared" si="49"/>
        <v>2025</v>
      </c>
      <c r="Q1047" s="4" t="str">
        <f t="shared" si="50"/>
        <v/>
      </c>
      <c r="R1047" t="s">
        <v>50</v>
      </c>
    </row>
    <row r="1048" spans="1:18" x14ac:dyDescent="0.3">
      <c r="A1048" s="1" t="d">
        <v>2025-07-08</v>
      </c>
      <c r="B1048">
        <v>45512</v>
      </c>
      <c r="C1048" t="str">
        <f>VLOOKUP(Fato_Producao[[#This Row],[referencia]], Dim_Produtos!A:B,2,FALSE)</f>
        <v>red-fish posta</v>
      </c>
      <c r="D1048">
        <v>3898</v>
      </c>
      <c r="E1048">
        <v>3696</v>
      </c>
      <c r="F1048" s="5">
        <v>5.1799999999999999E-2</v>
      </c>
      <c r="G1048" s="6">
        <v>68.680000000000007</v>
      </c>
      <c r="H1048">
        <v>5</v>
      </c>
      <c r="I1048">
        <v>192</v>
      </c>
      <c r="J1048">
        <v>5</v>
      </c>
      <c r="K1048">
        <f>Fato_Producao[[#This Row],[embalagens_danificadas]]+Fato_Producao[[#This Row],[peso_errado]]+Fato_Producao[[#This Row],[impressao]]</f>
        <v>202</v>
      </c>
      <c r="L1048" s="1" t="d">
        <v>2025-06-29</v>
      </c>
      <c r="M1048">
        <v>9</v>
      </c>
      <c r="N1048" s="7">
        <v>9.6199999999999992</v>
      </c>
      <c r="O1048" s="4" t="str">
        <f t="shared" si="48"/>
        <v>julho</v>
      </c>
      <c r="P1048" s="4">
        <f t="shared" si="49"/>
        <v>2025</v>
      </c>
      <c r="Q1048" s="4" t="str">
        <f t="shared" si="50"/>
        <v/>
      </c>
      <c r="R1048" t="s">
        <v>24</v>
      </c>
    </row>
    <row r="1049" spans="1:18" x14ac:dyDescent="0.3">
      <c r="A1049" s="1" t="d">
        <v>2025-07-09</v>
      </c>
      <c r="B1049">
        <v>45509</v>
      </c>
      <c r="C1049" t="str">
        <f>VLOOKUP(Fato_Producao[[#This Row],[referencia]], Dim_Produtos!A:B,2,FALSE)</f>
        <v>lascas bacalhau</v>
      </c>
      <c r="D1049">
        <v>4115</v>
      </c>
      <c r="E1049">
        <v>3942</v>
      </c>
      <c r="F1049" s="5">
        <v>4.2000000000000003E-2</v>
      </c>
      <c r="G1049" s="6">
        <v>48.44</v>
      </c>
      <c r="H1049">
        <v>7</v>
      </c>
      <c r="I1049">
        <v>163</v>
      </c>
      <c r="J1049">
        <v>3</v>
      </c>
      <c r="K1049">
        <f>Fato_Producao[[#This Row],[embalagens_danificadas]]+Fato_Producao[[#This Row],[peso_errado]]+Fato_Producao[[#This Row],[impressao]]</f>
        <v>173</v>
      </c>
      <c r="L1049" s="1" t="d">
        <v>2025-06-29</v>
      </c>
      <c r="M1049">
        <v>10</v>
      </c>
      <c r="N1049" s="7">
        <v>6.3</v>
      </c>
      <c r="O1049" s="4" t="str">
        <f t="shared" si="48"/>
        <v>julho</v>
      </c>
      <c r="P1049" s="4">
        <f t="shared" si="49"/>
        <v>2025</v>
      </c>
      <c r="Q1049" s="4" t="str">
        <f t="shared" si="50"/>
        <v/>
      </c>
      <c r="R1049" t="s">
        <v>24</v>
      </c>
    </row>
    <row r="1050" spans="1:18" x14ac:dyDescent="0.3">
      <c r="A1050" s="1" t="d">
        <v>2025-07-09</v>
      </c>
      <c r="B1050">
        <v>45503</v>
      </c>
      <c r="C1050" t="str">
        <f>VLOOKUP(Fato_Producao[[#This Row],[referencia]], Dim_Produtos!A:B,2,FALSE)</f>
        <v>sardinha pequena</v>
      </c>
      <c r="D1050">
        <v>3622</v>
      </c>
      <c r="E1050">
        <v>3389</v>
      </c>
      <c r="F1050" s="5">
        <v>6.4299999999999996E-2</v>
      </c>
      <c r="G1050" s="6">
        <v>60.58</v>
      </c>
      <c r="H1050">
        <v>10</v>
      </c>
      <c r="I1050">
        <v>216</v>
      </c>
      <c r="J1050">
        <v>7</v>
      </c>
      <c r="K1050">
        <f>Fato_Producao[[#This Row],[embalagens_danificadas]]+Fato_Producao[[#This Row],[peso_errado]]+Fato_Producao[[#This Row],[impressao]]</f>
        <v>233</v>
      </c>
      <c r="L1050" s="1" t="d">
        <v>2025-06-29</v>
      </c>
      <c r="M1050">
        <v>10</v>
      </c>
      <c r="N1050" s="7">
        <v>6.66</v>
      </c>
      <c r="O1050" s="4" t="str">
        <f t="shared" si="48"/>
        <v>julho</v>
      </c>
      <c r="P1050" s="4">
        <f t="shared" si="49"/>
        <v>2025</v>
      </c>
      <c r="Q1050" s="4" t="str">
        <f t="shared" si="50"/>
        <v/>
      </c>
      <c r="R1050" t="s">
        <v>24</v>
      </c>
    </row>
    <row r="1051" spans="1:18" x14ac:dyDescent="0.3">
      <c r="A1051" s="1" t="d">
        <v>2025-07-10</v>
      </c>
      <c r="B1051">
        <v>45508</v>
      </c>
      <c r="C1051" t="str">
        <f>VLOOKUP(Fato_Producao[[#This Row],[referencia]], Dim_Produtos!A:B,2,FALSE)</f>
        <v>lula suja</v>
      </c>
      <c r="D1051">
        <v>2070</v>
      </c>
      <c r="E1051">
        <v>1853</v>
      </c>
      <c r="F1051" s="5">
        <v>0.1048</v>
      </c>
      <c r="G1051" s="6">
        <v>69.44</v>
      </c>
      <c r="H1051">
        <v>25</v>
      </c>
      <c r="I1051">
        <v>186</v>
      </c>
      <c r="J1051">
        <v>6</v>
      </c>
      <c r="K1051">
        <f>Fato_Producao[[#This Row],[embalagens_danificadas]]+Fato_Producao[[#This Row],[peso_errado]]+Fato_Producao[[#This Row],[impressao]]</f>
        <v>217</v>
      </c>
      <c r="L1051" s="1" t="d">
        <v>2025-06-29</v>
      </c>
      <c r="M1051">
        <v>11</v>
      </c>
      <c r="N1051" s="7">
        <v>9.7200000000000006</v>
      </c>
      <c r="O1051" s="4" t="str">
        <f t="shared" si="48"/>
        <v>julho</v>
      </c>
      <c r="P1051" s="4">
        <f t="shared" si="49"/>
        <v>2025</v>
      </c>
      <c r="Q1051" s="4" t="str">
        <f t="shared" si="50"/>
        <v/>
      </c>
      <c r="R1051" t="s">
        <v>24</v>
      </c>
    </row>
    <row r="1052" spans="1:18" x14ac:dyDescent="0.3">
      <c r="A1052" s="1" t="d">
        <v>2025-07-10</v>
      </c>
      <c r="B1052">
        <v>45514</v>
      </c>
      <c r="C1052" t="str">
        <f>VLOOKUP(Fato_Producao[[#This Row],[referencia]], Dim_Produtos!A:B,2,FALSE)</f>
        <v>sardinha pequena</v>
      </c>
      <c r="D1052">
        <v>3026</v>
      </c>
      <c r="E1052">
        <v>2790</v>
      </c>
      <c r="F1052" s="5">
        <v>7.8E-2</v>
      </c>
      <c r="G1052" s="6">
        <v>70.8</v>
      </c>
      <c r="H1052">
        <v>7</v>
      </c>
      <c r="I1052">
        <v>223</v>
      </c>
      <c r="J1052">
        <v>6</v>
      </c>
      <c r="K1052">
        <f>Fato_Producao[[#This Row],[embalagens_danificadas]]+Fato_Producao[[#This Row],[peso_errado]]+Fato_Producao[[#This Row],[impressao]]</f>
        <v>236</v>
      </c>
      <c r="L1052" s="1" t="d">
        <v>2025-06-29</v>
      </c>
      <c r="M1052">
        <v>11</v>
      </c>
      <c r="N1052" s="7">
        <v>8.5</v>
      </c>
      <c r="O1052" s="4" t="str">
        <f t="shared" si="48"/>
        <v>julho</v>
      </c>
      <c r="P1052" s="4">
        <f t="shared" si="49"/>
        <v>2025</v>
      </c>
      <c r="Q1052" s="4" t="str">
        <f t="shared" si="50"/>
        <v/>
      </c>
      <c r="R1052" t="s">
        <v>24</v>
      </c>
    </row>
    <row r="1053" spans="1:18" x14ac:dyDescent="0.3">
      <c r="A1053" s="1" t="d">
        <v>2025-07-11</v>
      </c>
      <c r="B1053">
        <v>45501</v>
      </c>
      <c r="C1053" t="str">
        <f>VLOOKUP(Fato_Producao[[#This Row],[referencia]], Dim_Produtos!A:B,2,FALSE)</f>
        <v>pescada posta cozer</v>
      </c>
      <c r="D1053">
        <v>2393</v>
      </c>
      <c r="E1053">
        <v>2254</v>
      </c>
      <c r="F1053" s="5">
        <v>5.8099999999999999E-2</v>
      </c>
      <c r="G1053" s="6">
        <v>44.48</v>
      </c>
      <c r="H1053">
        <v>9</v>
      </c>
      <c r="I1053">
        <v>128</v>
      </c>
      <c r="J1053">
        <v>2</v>
      </c>
      <c r="K1053">
        <f>Fato_Producao[[#This Row],[embalagens_danificadas]]+Fato_Producao[[#This Row],[peso_errado]]+Fato_Producao[[#This Row],[impressao]]</f>
        <v>139</v>
      </c>
      <c r="L1053" s="1" t="d">
        <v>2025-06-29</v>
      </c>
      <c r="M1053">
        <v>12</v>
      </c>
      <c r="N1053" s="7">
        <v>6.23</v>
      </c>
      <c r="O1053" s="4" t="str">
        <f t="shared" si="48"/>
        <v>julho</v>
      </c>
      <c r="P1053" s="4">
        <f t="shared" si="49"/>
        <v>2025</v>
      </c>
      <c r="Q1053" s="4" t="str">
        <f t="shared" si="50"/>
        <v/>
      </c>
      <c r="R1053" t="s">
        <v>24</v>
      </c>
    </row>
    <row r="1054" spans="1:18" x14ac:dyDescent="0.3">
      <c r="A1054" s="1" t="d">
        <v>2025-07-12</v>
      </c>
      <c r="B1054">
        <v>45509</v>
      </c>
      <c r="C1054" t="str">
        <f>VLOOKUP(Fato_Producao[[#This Row],[referencia]], Dim_Produtos!A:B,2,FALSE)</f>
        <v>lascas bacalhau</v>
      </c>
      <c r="D1054">
        <v>3757</v>
      </c>
      <c r="E1054">
        <v>3513</v>
      </c>
      <c r="F1054" s="5">
        <v>6.4899999999999999E-2</v>
      </c>
      <c r="G1054" s="6">
        <v>68.319999999999993</v>
      </c>
      <c r="H1054">
        <v>12</v>
      </c>
      <c r="I1054">
        <v>226</v>
      </c>
      <c r="J1054">
        <v>6</v>
      </c>
      <c r="K1054">
        <f>Fato_Producao[[#This Row],[embalagens_danificadas]]+Fato_Producao[[#This Row],[peso_errado]]+Fato_Producao[[#This Row],[impressao]]</f>
        <v>244</v>
      </c>
      <c r="L1054" s="1" t="d">
        <v>2025-06-29</v>
      </c>
      <c r="M1054">
        <v>13</v>
      </c>
      <c r="N1054" s="7">
        <v>8.8800000000000008</v>
      </c>
      <c r="O1054" s="4" t="str">
        <f t="shared" si="48"/>
        <v>julho</v>
      </c>
      <c r="P1054" s="4">
        <f t="shared" si="49"/>
        <v>2025</v>
      </c>
      <c r="Q1054" s="4" t="str">
        <f t="shared" si="50"/>
        <v/>
      </c>
      <c r="R1054" t="s">
        <v>24</v>
      </c>
    </row>
    <row r="1055" spans="1:18" x14ac:dyDescent="0.3">
      <c r="A1055" s="1" t="d">
        <v>2025-07-12</v>
      </c>
      <c r="B1055">
        <v>45504</v>
      </c>
      <c r="C1055" t="str">
        <f>VLOOKUP(Fato_Producao[[#This Row],[referencia]], Dim_Produtos!A:B,2,FALSE)</f>
        <v>pescada posta fritar</v>
      </c>
      <c r="D1055">
        <v>2270</v>
      </c>
      <c r="E1055">
        <v>2137</v>
      </c>
      <c r="F1055" s="5">
        <v>5.8599999999999999E-2</v>
      </c>
      <c r="G1055" s="6">
        <v>42.56</v>
      </c>
      <c r="H1055">
        <v>7</v>
      </c>
      <c r="I1055">
        <v>122</v>
      </c>
      <c r="J1055">
        <v>4</v>
      </c>
      <c r="K1055">
        <f>Fato_Producao[[#This Row],[embalagens_danificadas]]+Fato_Producao[[#This Row],[peso_errado]]+Fato_Producao[[#This Row],[impressao]]</f>
        <v>133</v>
      </c>
      <c r="L1055" s="1" t="d">
        <v>2025-06-29</v>
      </c>
      <c r="M1055">
        <v>13</v>
      </c>
      <c r="N1055" s="7">
        <v>5.96</v>
      </c>
      <c r="O1055" s="4" t="str">
        <f t="shared" si="48"/>
        <v>julho</v>
      </c>
      <c r="P1055" s="4">
        <f t="shared" si="49"/>
        <v>2025</v>
      </c>
      <c r="Q1055" s="4" t="str">
        <f t="shared" si="50"/>
        <v/>
      </c>
      <c r="R1055" t="s">
        <v>24</v>
      </c>
    </row>
    <row r="1056" spans="1:18" x14ac:dyDescent="0.3">
      <c r="A1056" s="1" t="d">
        <v>2025-07-13</v>
      </c>
      <c r="B1056">
        <v>45500</v>
      </c>
      <c r="C1056" t="str">
        <f>VLOOKUP(Fato_Producao[[#This Row],[referencia]], Dim_Produtos!A:B,2,FALSE)</f>
        <v>filete pescada</v>
      </c>
      <c r="D1056">
        <v>3109</v>
      </c>
      <c r="E1056">
        <v>2937</v>
      </c>
      <c r="F1056" s="5">
        <v>5.5300000000000002E-2</v>
      </c>
      <c r="G1056" s="6">
        <v>48.16</v>
      </c>
      <c r="H1056">
        <v>10</v>
      </c>
      <c r="I1056">
        <v>157</v>
      </c>
      <c r="J1056">
        <v>5</v>
      </c>
      <c r="K1056">
        <f>Fato_Producao[[#This Row],[embalagens_danificadas]]+Fato_Producao[[#This Row],[peso_errado]]+Fato_Producao[[#This Row],[impressao]]</f>
        <v>172</v>
      </c>
      <c r="L1056" s="1" t="d">
        <v>2025-06-29</v>
      </c>
      <c r="M1056">
        <v>14</v>
      </c>
      <c r="N1056" s="7">
        <v>5.78</v>
      </c>
      <c r="O1056" s="4" t="str">
        <f t="shared" si="48"/>
        <v>julho</v>
      </c>
      <c r="P1056" s="4">
        <f t="shared" si="49"/>
        <v>2025</v>
      </c>
      <c r="Q1056" s="4" t="str">
        <f t="shared" si="50"/>
        <v/>
      </c>
      <c r="R1056" t="s">
        <v>24</v>
      </c>
    </row>
    <row r="1057" spans="1:18" x14ac:dyDescent="0.3">
      <c r="A1057" s="1" t="d">
        <v>2025-07-14</v>
      </c>
      <c r="B1057">
        <v>45507</v>
      </c>
      <c r="C1057" t="str">
        <f>VLOOKUP(Fato_Producao[[#This Row],[referencia]], Dim_Produtos!A:B,2,FALSE)</f>
        <v>salmao posta</v>
      </c>
      <c r="D1057">
        <v>2505</v>
      </c>
      <c r="E1057">
        <v>2402</v>
      </c>
      <c r="F1057" s="5">
        <v>4.1099999999999998E-2</v>
      </c>
      <c r="G1057" s="6">
        <v>36.049999999999997</v>
      </c>
      <c r="H1057">
        <v>4</v>
      </c>
      <c r="I1057">
        <v>97</v>
      </c>
      <c r="J1057">
        <v>2</v>
      </c>
      <c r="K1057">
        <f>Fato_Producao[[#This Row],[embalagens_danificadas]]+Fato_Producao[[#This Row],[peso_errado]]+Fato_Producao[[#This Row],[impressao]]</f>
        <v>103</v>
      </c>
      <c r="L1057" s="1" t="d">
        <v>2025-06-29</v>
      </c>
      <c r="M1057">
        <v>15</v>
      </c>
      <c r="N1057" s="7">
        <v>5.77</v>
      </c>
      <c r="O1057" s="4" t="str">
        <f t="shared" si="48"/>
        <v>julho</v>
      </c>
      <c r="P1057" s="4">
        <f t="shared" si="49"/>
        <v>2025</v>
      </c>
      <c r="Q1057" s="4" t="str">
        <f t="shared" si="50"/>
        <v/>
      </c>
      <c r="R1057" t="s">
        <v>24</v>
      </c>
    </row>
    <row r="1058" spans="1:18" x14ac:dyDescent="0.3">
      <c r="A1058" s="1" t="d">
        <v>2025-07-14</v>
      </c>
      <c r="B1058">
        <v>45502</v>
      </c>
      <c r="C1058" t="str">
        <f>VLOOKUP(Fato_Producao[[#This Row],[referencia]], Dim_Produtos!A:B,2,FALSE)</f>
        <v>carapau pelim</v>
      </c>
      <c r="D1058">
        <v>2986</v>
      </c>
      <c r="E1058">
        <v>2757</v>
      </c>
      <c r="F1058" s="5">
        <v>7.6700000000000004E-2</v>
      </c>
      <c r="G1058" s="6">
        <v>68.7</v>
      </c>
      <c r="H1058">
        <v>74</v>
      </c>
      <c r="I1058">
        <v>54</v>
      </c>
      <c r="J1058">
        <v>101</v>
      </c>
      <c r="K1058">
        <f>Fato_Producao[[#This Row],[embalagens_danificadas]]+Fato_Producao[[#This Row],[peso_errado]]+Fato_Producao[[#This Row],[impressao]]</f>
        <v>229</v>
      </c>
      <c r="L1058" s="1" t="d">
        <v>2025-06-29</v>
      </c>
      <c r="M1058">
        <v>15</v>
      </c>
      <c r="N1058" s="7">
        <v>8.93</v>
      </c>
      <c r="O1058" s="4" t="str">
        <f t="shared" si="48"/>
        <v>julho</v>
      </c>
      <c r="P1058" s="4">
        <f t="shared" si="49"/>
        <v>2025</v>
      </c>
      <c r="Q1058" s="4" t="str">
        <f t="shared" si="50"/>
        <v/>
      </c>
      <c r="R1058" t="s">
        <v>50</v>
      </c>
    </row>
    <row r="1059" spans="1:18" x14ac:dyDescent="0.3">
      <c r="A1059" s="1" t="d">
        <v>2025-07-15</v>
      </c>
      <c r="B1059">
        <v>45503</v>
      </c>
      <c r="C1059" t="str">
        <f>VLOOKUP(Fato_Producao[[#This Row],[referencia]], Dim_Produtos!A:B,2,FALSE)</f>
        <v>sardinha pequena</v>
      </c>
      <c r="D1059">
        <v>2961</v>
      </c>
      <c r="E1059">
        <v>2797</v>
      </c>
      <c r="F1059" s="5">
        <v>5.5399999999999998E-2</v>
      </c>
      <c r="G1059" s="6">
        <v>42.64</v>
      </c>
      <c r="H1059">
        <v>9</v>
      </c>
      <c r="I1059">
        <v>151</v>
      </c>
      <c r="J1059">
        <v>4</v>
      </c>
      <c r="K1059">
        <f>Fato_Producao[[#This Row],[embalagens_danificadas]]+Fato_Producao[[#This Row],[peso_errado]]+Fato_Producao[[#This Row],[impressao]]</f>
        <v>164</v>
      </c>
      <c r="L1059" s="1" t="d">
        <v>2025-06-29</v>
      </c>
      <c r="M1059">
        <v>16</v>
      </c>
      <c r="N1059" s="7">
        <v>4.6900000000000004</v>
      </c>
      <c r="O1059" s="4" t="str">
        <f t="shared" si="48"/>
        <v>julho</v>
      </c>
      <c r="P1059" s="4">
        <f t="shared" si="49"/>
        <v>2025</v>
      </c>
      <c r="Q1059" s="4" t="str">
        <f t="shared" si="50"/>
        <v/>
      </c>
      <c r="R1059" t="s">
        <v>24</v>
      </c>
    </row>
    <row r="1060" spans="1:18" x14ac:dyDescent="0.3">
      <c r="A1060" s="1" t="d">
        <v>2025-07-15</v>
      </c>
      <c r="B1060">
        <v>45513</v>
      </c>
      <c r="C1060" t="str">
        <f>VLOOKUP(Fato_Producao[[#This Row],[referencia]], Dim_Produtos!A:B,2,FALSE)</f>
        <v>filete pescada</v>
      </c>
      <c r="D1060">
        <v>2225</v>
      </c>
      <c r="E1060">
        <v>2084</v>
      </c>
      <c r="F1060" s="5">
        <v>6.3399999999999998E-2</v>
      </c>
      <c r="G1060" s="6">
        <v>45.12</v>
      </c>
      <c r="H1060">
        <v>5</v>
      </c>
      <c r="I1060">
        <v>134</v>
      </c>
      <c r="J1060">
        <v>2</v>
      </c>
      <c r="K1060">
        <f>Fato_Producao[[#This Row],[embalagens_danificadas]]+Fato_Producao[[#This Row],[peso_errado]]+Fato_Producao[[#This Row],[impressao]]</f>
        <v>141</v>
      </c>
      <c r="L1060" s="1" t="d">
        <v>2025-06-29</v>
      </c>
      <c r="M1060">
        <v>16</v>
      </c>
      <c r="N1060" s="7">
        <v>5.87</v>
      </c>
      <c r="O1060" s="4" t="str">
        <f t="shared" si="48"/>
        <v>julho</v>
      </c>
      <c r="P1060" s="4">
        <f t="shared" si="49"/>
        <v>2025</v>
      </c>
      <c r="Q1060" s="4" t="str">
        <f t="shared" si="50"/>
        <v/>
      </c>
      <c r="R1060" t="s">
        <v>24</v>
      </c>
    </row>
    <row r="1061" spans="1:18" x14ac:dyDescent="0.3">
      <c r="A1061" s="1" t="d">
        <v>2025-07-16</v>
      </c>
      <c r="B1061">
        <v>45506</v>
      </c>
      <c r="C1061" t="str">
        <f>VLOOKUP(Fato_Producao[[#This Row],[referencia]], Dim_Produtos!A:B,2,FALSE)</f>
        <v>perca posta</v>
      </c>
      <c r="D1061">
        <v>2766</v>
      </c>
      <c r="E1061">
        <v>2577</v>
      </c>
      <c r="F1061" s="5">
        <v>6.83E-2</v>
      </c>
      <c r="G1061" s="6">
        <v>66.150000000000006</v>
      </c>
      <c r="H1061">
        <v>10</v>
      </c>
      <c r="I1061">
        <v>175</v>
      </c>
      <c r="J1061">
        <v>4</v>
      </c>
      <c r="K1061">
        <f>Fato_Producao[[#This Row],[embalagens_danificadas]]+Fato_Producao[[#This Row],[peso_errado]]+Fato_Producao[[#This Row],[impressao]]</f>
        <v>189</v>
      </c>
      <c r="L1061" s="1" t="d">
        <v>2025-06-29</v>
      </c>
      <c r="M1061">
        <v>17</v>
      </c>
      <c r="N1061" s="7">
        <v>9.92</v>
      </c>
      <c r="O1061" s="4" t="str">
        <f t="shared" si="48"/>
        <v>julho</v>
      </c>
      <c r="P1061" s="4">
        <f t="shared" si="49"/>
        <v>2025</v>
      </c>
      <c r="Q1061" s="4" t="str">
        <f t="shared" si="50"/>
        <v/>
      </c>
      <c r="R1061" t="s">
        <v>24</v>
      </c>
    </row>
    <row r="1062" spans="1:18" x14ac:dyDescent="0.3">
      <c r="A1062" s="1" t="d">
        <v>2025-07-16</v>
      </c>
      <c r="B1062">
        <v>45500</v>
      </c>
      <c r="C1062" t="str">
        <f>VLOOKUP(Fato_Producao[[#This Row],[referencia]], Dim_Produtos!A:B,2,FALSE)</f>
        <v>filete pescada</v>
      </c>
      <c r="D1062">
        <v>3464</v>
      </c>
      <c r="E1062">
        <v>3291</v>
      </c>
      <c r="F1062" s="5">
        <v>4.99E-2</v>
      </c>
      <c r="G1062" s="6">
        <v>48.44</v>
      </c>
      <c r="H1062">
        <v>6</v>
      </c>
      <c r="I1062">
        <v>165</v>
      </c>
      <c r="J1062">
        <v>2</v>
      </c>
      <c r="K1062">
        <f>Fato_Producao[[#This Row],[embalagens_danificadas]]+Fato_Producao[[#This Row],[peso_errado]]+Fato_Producao[[#This Row],[impressao]]</f>
        <v>173</v>
      </c>
      <c r="L1062" s="1" t="d">
        <v>2025-06-29</v>
      </c>
      <c r="M1062">
        <v>17</v>
      </c>
      <c r="N1062" s="7">
        <v>5.81</v>
      </c>
      <c r="O1062" s="4" t="str">
        <f t="shared" si="48"/>
        <v>julho</v>
      </c>
      <c r="P1062" s="4">
        <f t="shared" si="49"/>
        <v>2025</v>
      </c>
      <c r="Q1062" s="4" t="str">
        <f t="shared" si="50"/>
        <v/>
      </c>
      <c r="R1062" t="s">
        <v>24</v>
      </c>
    </row>
    <row r="1063" spans="1:18" x14ac:dyDescent="0.3">
      <c r="A1063" s="1" t="d">
        <v>2025-07-17</v>
      </c>
      <c r="B1063">
        <v>45505</v>
      </c>
      <c r="C1063" t="str">
        <f>VLOOKUP(Fato_Producao[[#This Row],[referencia]], Dim_Produtos!A:B,2,FALSE)</f>
        <v>camarao</v>
      </c>
      <c r="D1063">
        <v>1945</v>
      </c>
      <c r="E1063">
        <v>1798</v>
      </c>
      <c r="F1063" s="5">
        <v>7.5600000000000001E-2</v>
      </c>
      <c r="G1063" s="6">
        <v>44.1</v>
      </c>
      <c r="H1063">
        <v>44</v>
      </c>
      <c r="I1063">
        <v>100</v>
      </c>
      <c r="J1063">
        <v>3</v>
      </c>
      <c r="K1063">
        <f>Fato_Producao[[#This Row],[embalagens_danificadas]]+Fato_Producao[[#This Row],[peso_errado]]+Fato_Producao[[#This Row],[impressao]]</f>
        <v>147</v>
      </c>
      <c r="L1063" s="1" t="d">
        <v>2025-06-29</v>
      </c>
      <c r="M1063">
        <v>18</v>
      </c>
      <c r="N1063" s="7">
        <v>6.62</v>
      </c>
      <c r="O1063" s="4" t="str">
        <f t="shared" si="48"/>
        <v>julho</v>
      </c>
      <c r="P1063" s="4">
        <f t="shared" si="49"/>
        <v>2025</v>
      </c>
      <c r="Q1063" s="4" t="str">
        <f t="shared" si="50"/>
        <v/>
      </c>
      <c r="R1063" t="s">
        <v>24</v>
      </c>
    </row>
    <row r="1064" spans="1:18" x14ac:dyDescent="0.3">
      <c r="A1064" s="1" t="d">
        <v>2025-07-18</v>
      </c>
      <c r="B1064">
        <v>45513</v>
      </c>
      <c r="C1064" t="str">
        <f>VLOOKUP(Fato_Producao[[#This Row],[referencia]], Dim_Produtos!A:B,2,FALSE)</f>
        <v>filete pescada</v>
      </c>
      <c r="D1064">
        <v>4086</v>
      </c>
      <c r="E1064">
        <v>3881</v>
      </c>
      <c r="F1064" s="5">
        <v>5.0200000000000002E-2</v>
      </c>
      <c r="G1064" s="6">
        <v>65.599999999999994</v>
      </c>
      <c r="H1064">
        <v>13</v>
      </c>
      <c r="I1064">
        <v>187</v>
      </c>
      <c r="J1064">
        <v>5</v>
      </c>
      <c r="K1064">
        <f>Fato_Producao[[#This Row],[embalagens_danificadas]]+Fato_Producao[[#This Row],[peso_errado]]+Fato_Producao[[#This Row],[impressao]]</f>
        <v>205</v>
      </c>
      <c r="L1064" s="1" t="d">
        <v>2025-06-29</v>
      </c>
      <c r="M1064">
        <v>19</v>
      </c>
      <c r="N1064" s="7">
        <v>8.5299999999999994</v>
      </c>
      <c r="O1064" s="4" t="str">
        <f t="shared" si="48"/>
        <v>julho</v>
      </c>
      <c r="P1064" s="4">
        <f t="shared" si="49"/>
        <v>2025</v>
      </c>
      <c r="Q1064" s="4" t="str">
        <f t="shared" si="50"/>
        <v/>
      </c>
      <c r="R1064" t="s">
        <v>24</v>
      </c>
    </row>
    <row r="1065" spans="1:18" x14ac:dyDescent="0.3">
      <c r="A1065" s="1" t="d">
        <v>2025-07-19</v>
      </c>
      <c r="B1065">
        <v>45500</v>
      </c>
      <c r="C1065" t="str">
        <f>VLOOKUP(Fato_Producao[[#This Row],[referencia]], Dim_Produtos!A:B,2,FALSE)</f>
        <v>filete pescada</v>
      </c>
      <c r="D1065">
        <v>1991</v>
      </c>
      <c r="E1065">
        <v>1908</v>
      </c>
      <c r="F1065" s="5">
        <v>4.1700000000000001E-2</v>
      </c>
      <c r="G1065" s="6">
        <v>23.24</v>
      </c>
      <c r="H1065">
        <v>5</v>
      </c>
      <c r="I1065">
        <v>77</v>
      </c>
      <c r="J1065">
        <v>1</v>
      </c>
      <c r="K1065">
        <f>Fato_Producao[[#This Row],[embalagens_danificadas]]+Fato_Producao[[#This Row],[peso_errado]]+Fato_Producao[[#This Row],[impressao]]</f>
        <v>83</v>
      </c>
      <c r="L1065" s="1" t="d">
        <v>2025-06-29</v>
      </c>
      <c r="M1065">
        <v>20</v>
      </c>
      <c r="N1065" s="7">
        <v>2.79</v>
      </c>
      <c r="O1065" s="4" t="str">
        <f t="shared" si="48"/>
        <v>julho</v>
      </c>
      <c r="P1065" s="4">
        <f t="shared" si="49"/>
        <v>2025</v>
      </c>
      <c r="Q1065" s="4" t="str">
        <f t="shared" si="50"/>
        <v/>
      </c>
      <c r="R1065" t="s">
        <v>24</v>
      </c>
    </row>
    <row r="1066" spans="1:18" x14ac:dyDescent="0.3">
      <c r="A1066" s="1" t="d">
        <v>2025-07-19</v>
      </c>
      <c r="B1066">
        <v>45500</v>
      </c>
      <c r="C1066" t="str">
        <f>VLOOKUP(Fato_Producao[[#This Row],[referencia]], Dim_Produtos!A:B,2,FALSE)</f>
        <v>filete pescada</v>
      </c>
      <c r="D1066">
        <v>2597</v>
      </c>
      <c r="E1066">
        <v>2467</v>
      </c>
      <c r="F1066" s="5">
        <v>5.0099999999999999E-2</v>
      </c>
      <c r="G1066" s="6">
        <v>36.4</v>
      </c>
      <c r="H1066">
        <v>37</v>
      </c>
      <c r="I1066">
        <v>34</v>
      </c>
      <c r="J1066">
        <v>59</v>
      </c>
      <c r="K1066">
        <f>Fato_Producao[[#This Row],[embalagens_danificadas]]+Fato_Producao[[#This Row],[peso_errado]]+Fato_Producao[[#This Row],[impressao]]</f>
        <v>130</v>
      </c>
      <c r="L1066" s="1" t="d">
        <v>2025-06-29</v>
      </c>
      <c r="M1066">
        <v>20</v>
      </c>
      <c r="N1066" s="7">
        <v>4.37</v>
      </c>
      <c r="O1066" s="4" t="str">
        <f t="shared" si="48"/>
        <v>julho</v>
      </c>
      <c r="P1066" s="4">
        <f t="shared" si="49"/>
        <v>2025</v>
      </c>
      <c r="Q1066" s="4" t="str">
        <f t="shared" si="50"/>
        <v/>
      </c>
      <c r="R1066" t="s">
        <v>50</v>
      </c>
    </row>
    <row r="1067" spans="1:18" x14ac:dyDescent="0.3">
      <c r="A1067" s="1" t="d">
        <v>2025-07-20</v>
      </c>
      <c r="B1067">
        <v>45512</v>
      </c>
      <c r="C1067" t="str">
        <f>VLOOKUP(Fato_Producao[[#This Row],[referencia]], Dim_Produtos!A:B,2,FALSE)</f>
        <v>red-fish posta</v>
      </c>
      <c r="D1067">
        <v>3796</v>
      </c>
      <c r="E1067">
        <v>3570</v>
      </c>
      <c r="F1067" s="5">
        <v>5.9499999999999997E-2</v>
      </c>
      <c r="G1067" s="6">
        <v>76.84</v>
      </c>
      <c r="H1067">
        <v>98</v>
      </c>
      <c r="I1067">
        <v>35</v>
      </c>
      <c r="J1067">
        <v>93</v>
      </c>
      <c r="K1067">
        <f>Fato_Producao[[#This Row],[embalagens_danificadas]]+Fato_Producao[[#This Row],[peso_errado]]+Fato_Producao[[#This Row],[impressao]]</f>
        <v>226</v>
      </c>
      <c r="L1067" s="1" t="d">
        <v>2025-06-29</v>
      </c>
      <c r="M1067">
        <v>21</v>
      </c>
      <c r="N1067" s="7">
        <v>10.76</v>
      </c>
      <c r="O1067" s="4" t="str">
        <f t="shared" si="48"/>
        <v>julho</v>
      </c>
      <c r="P1067" s="4">
        <f t="shared" si="49"/>
        <v>2025</v>
      </c>
      <c r="Q1067" s="4" t="str">
        <f t="shared" si="50"/>
        <v/>
      </c>
      <c r="R1067" t="s">
        <v>50</v>
      </c>
    </row>
    <row r="1068" spans="1:18" x14ac:dyDescent="0.3">
      <c r="A1068" s="1" t="d">
        <v>2025-07-20</v>
      </c>
      <c r="B1068">
        <v>45500</v>
      </c>
      <c r="C1068" t="str">
        <f>VLOOKUP(Fato_Producao[[#This Row],[referencia]], Dim_Produtos!A:B,2,FALSE)</f>
        <v>filete pescada</v>
      </c>
      <c r="D1068">
        <v>3290</v>
      </c>
      <c r="E1068">
        <v>3098</v>
      </c>
      <c r="F1068" s="5">
        <v>5.8400000000000001E-2</v>
      </c>
      <c r="G1068" s="6">
        <v>53.76</v>
      </c>
      <c r="H1068">
        <v>5</v>
      </c>
      <c r="I1068">
        <v>182</v>
      </c>
      <c r="J1068">
        <v>5</v>
      </c>
      <c r="K1068">
        <f>Fato_Producao[[#This Row],[embalagens_danificadas]]+Fato_Producao[[#This Row],[peso_errado]]+Fato_Producao[[#This Row],[impressao]]</f>
        <v>192</v>
      </c>
      <c r="L1068" s="1" t="d">
        <v>2025-06-29</v>
      </c>
      <c r="M1068">
        <v>21</v>
      </c>
      <c r="N1068" s="7">
        <v>6.45</v>
      </c>
      <c r="O1068" s="4" t="str">
        <f t="shared" si="48"/>
        <v>julho</v>
      </c>
      <c r="P1068" s="4">
        <f t="shared" si="49"/>
        <v>2025</v>
      </c>
      <c r="Q1068" s="4" t="str">
        <f t="shared" si="50"/>
        <v/>
      </c>
      <c r="R1068" t="s">
        <v>24</v>
      </c>
    </row>
    <row r="1069" spans="1:18" x14ac:dyDescent="0.3">
      <c r="A1069" s="1" t="d">
        <v>2025-07-21</v>
      </c>
      <c r="B1069">
        <v>45514</v>
      </c>
      <c r="C1069" t="str">
        <f>VLOOKUP(Fato_Producao[[#This Row],[referencia]], Dim_Produtos!A:B,2,FALSE)</f>
        <v>sardinha pequena</v>
      </c>
      <c r="D1069">
        <v>3818</v>
      </c>
      <c r="E1069">
        <v>3473</v>
      </c>
      <c r="F1069" s="5">
        <v>9.0399999999999994E-2</v>
      </c>
      <c r="G1069" s="6">
        <v>103.5</v>
      </c>
      <c r="H1069">
        <v>19</v>
      </c>
      <c r="I1069">
        <v>319</v>
      </c>
      <c r="J1069">
        <v>7</v>
      </c>
      <c r="K1069">
        <f>Fato_Producao[[#This Row],[embalagens_danificadas]]+Fato_Producao[[#This Row],[peso_errado]]+Fato_Producao[[#This Row],[impressao]]</f>
        <v>345</v>
      </c>
      <c r="L1069" s="1" t="d">
        <v>2025-06-29</v>
      </c>
      <c r="M1069">
        <v>22</v>
      </c>
      <c r="N1069" s="7">
        <v>12.42</v>
      </c>
      <c r="O1069" s="4" t="str">
        <f t="shared" si="48"/>
        <v>julho</v>
      </c>
      <c r="P1069" s="4">
        <f t="shared" si="49"/>
        <v>2025</v>
      </c>
      <c r="Q1069" s="4" t="str">
        <f t="shared" si="50"/>
        <v/>
      </c>
      <c r="R1069" t="s">
        <v>24</v>
      </c>
    </row>
    <row r="1070" spans="1:18" x14ac:dyDescent="0.3">
      <c r="A1070" s="1" t="d">
        <v>2025-07-21</v>
      </c>
      <c r="B1070">
        <v>45508</v>
      </c>
      <c r="C1070" t="str">
        <f>VLOOKUP(Fato_Producao[[#This Row],[referencia]], Dim_Produtos!A:B,2,FALSE)</f>
        <v>lula suja</v>
      </c>
      <c r="D1070">
        <v>2894</v>
      </c>
      <c r="E1070">
        <v>2636</v>
      </c>
      <c r="F1070" s="5">
        <v>8.9099999999999999E-2</v>
      </c>
      <c r="G1070" s="6">
        <v>82.56</v>
      </c>
      <c r="H1070">
        <v>29</v>
      </c>
      <c r="I1070">
        <v>226</v>
      </c>
      <c r="J1070">
        <v>3</v>
      </c>
      <c r="K1070">
        <f>Fato_Producao[[#This Row],[embalagens_danificadas]]+Fato_Producao[[#This Row],[peso_errado]]+Fato_Producao[[#This Row],[impressao]]</f>
        <v>258</v>
      </c>
      <c r="L1070" s="1" t="d">
        <v>2025-06-29</v>
      </c>
      <c r="M1070">
        <v>22</v>
      </c>
      <c r="N1070" s="7">
        <v>11.56</v>
      </c>
      <c r="O1070" s="4" t="str">
        <f t="shared" si="48"/>
        <v>julho</v>
      </c>
      <c r="P1070" s="4">
        <f t="shared" si="49"/>
        <v>2025</v>
      </c>
      <c r="Q1070" s="4" t="str">
        <f t="shared" si="50"/>
        <v/>
      </c>
      <c r="R1070" t="s">
        <v>24</v>
      </c>
    </row>
    <row r="1071" spans="1:18" x14ac:dyDescent="0.3">
      <c r="A1071" s="1" t="d">
        <v>2025-07-22</v>
      </c>
      <c r="B1071">
        <v>45511</v>
      </c>
      <c r="C1071" t="str">
        <f>VLOOKUP(Fato_Producao[[#This Row],[referencia]], Dim_Produtos!A:B,2,FALSE)</f>
        <v>lula limpa</v>
      </c>
      <c r="D1071">
        <v>2381</v>
      </c>
      <c r="E1071">
        <v>2191</v>
      </c>
      <c r="F1071" s="5">
        <v>7.9799999999999996E-2</v>
      </c>
      <c r="G1071" s="6">
        <v>60.8</v>
      </c>
      <c r="H1071">
        <v>28</v>
      </c>
      <c r="I1071">
        <v>158</v>
      </c>
      <c r="J1071">
        <v>4</v>
      </c>
      <c r="K1071">
        <f>Fato_Producao[[#This Row],[embalagens_danificadas]]+Fato_Producao[[#This Row],[peso_errado]]+Fato_Producao[[#This Row],[impressao]]</f>
        <v>190</v>
      </c>
      <c r="L1071" s="1" t="d">
        <v>2025-06-29</v>
      </c>
      <c r="M1071">
        <v>23</v>
      </c>
      <c r="N1071" s="7">
        <v>8.51</v>
      </c>
      <c r="O1071" s="4" t="str">
        <f t="shared" si="48"/>
        <v>julho</v>
      </c>
      <c r="P1071" s="4">
        <f t="shared" si="49"/>
        <v>2025</v>
      </c>
      <c r="Q1071" s="4" t="str">
        <f t="shared" si="50"/>
        <v/>
      </c>
      <c r="R1071" t="s">
        <v>24</v>
      </c>
    </row>
    <row r="1072" spans="1:18" x14ac:dyDescent="0.3">
      <c r="A1072" s="1" t="d">
        <v>2025-07-22</v>
      </c>
      <c r="B1072">
        <v>45509</v>
      </c>
      <c r="C1072" t="str">
        <f>VLOOKUP(Fato_Producao[[#This Row],[referencia]], Dim_Produtos!A:B,2,FALSE)</f>
        <v>lascas bacalhau</v>
      </c>
      <c r="D1072">
        <v>1813</v>
      </c>
      <c r="E1072">
        <v>1639</v>
      </c>
      <c r="F1072" s="5">
        <v>9.6000000000000002E-2</v>
      </c>
      <c r="G1072" s="6">
        <v>48.72</v>
      </c>
      <c r="H1072">
        <v>9</v>
      </c>
      <c r="I1072">
        <v>161</v>
      </c>
      <c r="J1072">
        <v>4</v>
      </c>
      <c r="K1072">
        <f>Fato_Producao[[#This Row],[embalagens_danificadas]]+Fato_Producao[[#This Row],[peso_errado]]+Fato_Producao[[#This Row],[impressao]]</f>
        <v>174</v>
      </c>
      <c r="L1072" s="1" t="d">
        <v>2025-06-29</v>
      </c>
      <c r="M1072">
        <v>23</v>
      </c>
      <c r="N1072" s="7">
        <v>6.33</v>
      </c>
      <c r="O1072" s="4" t="str">
        <f t="shared" si="48"/>
        <v>julho</v>
      </c>
      <c r="P1072" s="4">
        <f t="shared" si="49"/>
        <v>2025</v>
      </c>
      <c r="Q1072" s="4" t="str">
        <f t="shared" si="50"/>
        <v/>
      </c>
      <c r="R1072" t="s">
        <v>24</v>
      </c>
    </row>
    <row r="1073" spans="1:18" x14ac:dyDescent="0.3">
      <c r="A1073" s="1" t="d">
        <v>2025-07-23</v>
      </c>
      <c r="B1073">
        <v>45505</v>
      </c>
      <c r="C1073" t="str">
        <f>VLOOKUP(Fato_Producao[[#This Row],[referencia]], Dim_Produtos!A:B,2,FALSE)</f>
        <v>camarao</v>
      </c>
      <c r="D1073">
        <v>2515</v>
      </c>
      <c r="E1073">
        <v>2320</v>
      </c>
      <c r="F1073" s="5">
        <v>7.7499999999999999E-2</v>
      </c>
      <c r="G1073" s="6">
        <v>58.5</v>
      </c>
      <c r="H1073">
        <v>43</v>
      </c>
      <c r="I1073">
        <v>146</v>
      </c>
      <c r="J1073">
        <v>6</v>
      </c>
      <c r="K1073">
        <f>Fato_Producao[[#This Row],[embalagens_danificadas]]+Fato_Producao[[#This Row],[peso_errado]]+Fato_Producao[[#This Row],[impressao]]</f>
        <v>195</v>
      </c>
      <c r="L1073" s="1" t="d">
        <v>2025-06-29</v>
      </c>
      <c r="M1073">
        <v>24</v>
      </c>
      <c r="N1073" s="7">
        <v>8.7799999999999994</v>
      </c>
      <c r="O1073" s="4" t="str">
        <f t="shared" si="48"/>
        <v>julho</v>
      </c>
      <c r="P1073" s="4">
        <f t="shared" si="49"/>
        <v>2025</v>
      </c>
      <c r="Q1073" s="4" t="str">
        <f t="shared" si="50"/>
        <v/>
      </c>
      <c r="R1073" t="s">
        <v>24</v>
      </c>
    </row>
    <row r="1074" spans="1:18" x14ac:dyDescent="0.3">
      <c r="A1074" s="1" t="d">
        <v>2025-07-23</v>
      </c>
      <c r="B1074">
        <v>45512</v>
      </c>
      <c r="C1074" t="str">
        <f>VLOOKUP(Fato_Producao[[#This Row],[referencia]], Dim_Produtos!A:B,2,FALSE)</f>
        <v>red-fish posta</v>
      </c>
      <c r="D1074">
        <v>2649</v>
      </c>
      <c r="E1074">
        <v>2513</v>
      </c>
      <c r="F1074" s="5">
        <v>5.1299999999999998E-2</v>
      </c>
      <c r="G1074" s="6">
        <v>46.24</v>
      </c>
      <c r="H1074">
        <v>5</v>
      </c>
      <c r="I1074">
        <v>128</v>
      </c>
      <c r="J1074">
        <v>3</v>
      </c>
      <c r="K1074">
        <f>Fato_Producao[[#This Row],[embalagens_danificadas]]+Fato_Producao[[#This Row],[peso_errado]]+Fato_Producao[[#This Row],[impressao]]</f>
        <v>136</v>
      </c>
      <c r="L1074" s="1" t="d">
        <v>2025-06-29</v>
      </c>
      <c r="M1074">
        <v>24</v>
      </c>
      <c r="N1074" s="7">
        <v>6.47</v>
      </c>
      <c r="O1074" s="4" t="str">
        <f t="shared" si="48"/>
        <v>julho</v>
      </c>
      <c r="P1074" s="4">
        <f t="shared" si="49"/>
        <v>2025</v>
      </c>
      <c r="Q1074" s="4" t="str">
        <f t="shared" si="50"/>
        <v/>
      </c>
      <c r="R1074" t="s">
        <v>24</v>
      </c>
    </row>
    <row r="1075" spans="1:18" x14ac:dyDescent="0.3">
      <c r="A1075" s="1" t="d">
        <v>2025-07-24</v>
      </c>
      <c r="B1075">
        <v>45503</v>
      </c>
      <c r="C1075" t="str">
        <f>VLOOKUP(Fato_Producao[[#This Row],[referencia]], Dim_Produtos!A:B,2,FALSE)</f>
        <v>sardinha pequena</v>
      </c>
      <c r="D1075">
        <v>3952</v>
      </c>
      <c r="E1075">
        <v>3650</v>
      </c>
      <c r="F1075" s="5">
        <v>7.6399999999999996E-2</v>
      </c>
      <c r="G1075" s="6">
        <v>78.52</v>
      </c>
      <c r="H1075">
        <v>8</v>
      </c>
      <c r="I1075">
        <v>288</v>
      </c>
      <c r="J1075">
        <v>6</v>
      </c>
      <c r="K1075">
        <f>Fato_Producao[[#This Row],[embalagens_danificadas]]+Fato_Producao[[#This Row],[peso_errado]]+Fato_Producao[[#This Row],[impressao]]</f>
        <v>302</v>
      </c>
      <c r="L1075" s="1" t="d">
        <v>2025-06-29</v>
      </c>
      <c r="M1075">
        <v>25</v>
      </c>
      <c r="N1075" s="7">
        <v>8.64</v>
      </c>
      <c r="O1075" s="4" t="str">
        <f t="shared" si="48"/>
        <v>julho</v>
      </c>
      <c r="P1075" s="4">
        <f t="shared" si="49"/>
        <v>2025</v>
      </c>
      <c r="Q1075" s="4" t="str">
        <f t="shared" si="50"/>
        <v/>
      </c>
      <c r="R1075" t="s">
        <v>24</v>
      </c>
    </row>
    <row r="1076" spans="1:18" x14ac:dyDescent="0.3">
      <c r="A1076" s="1" t="d">
        <v>2025-07-25</v>
      </c>
      <c r="B1076">
        <v>45509</v>
      </c>
      <c r="C1076" t="str">
        <f>VLOOKUP(Fato_Producao[[#This Row],[referencia]], Dim_Produtos!A:B,2,FALSE)</f>
        <v>lascas bacalhau</v>
      </c>
      <c r="D1076">
        <v>3675</v>
      </c>
      <c r="E1076">
        <v>3461</v>
      </c>
      <c r="F1076" s="5">
        <v>5.8200000000000002E-2</v>
      </c>
      <c r="G1076" s="6">
        <v>59.92</v>
      </c>
      <c r="H1076">
        <v>10</v>
      </c>
      <c r="I1076">
        <v>198</v>
      </c>
      <c r="J1076">
        <v>6</v>
      </c>
      <c r="K1076">
        <f>Fato_Producao[[#This Row],[embalagens_danificadas]]+Fato_Producao[[#This Row],[peso_errado]]+Fato_Producao[[#This Row],[impressao]]</f>
        <v>214</v>
      </c>
      <c r="L1076" s="1" t="d">
        <v>2025-06-29</v>
      </c>
      <c r="M1076">
        <v>26</v>
      </c>
      <c r="N1076" s="7">
        <v>7.79</v>
      </c>
      <c r="O1076" s="4" t="str">
        <f t="shared" si="48"/>
        <v>julho</v>
      </c>
      <c r="P1076" s="4">
        <f t="shared" si="49"/>
        <v>2025</v>
      </c>
      <c r="Q1076" s="4" t="str">
        <f t="shared" si="50"/>
        <v/>
      </c>
      <c r="R1076" t="s">
        <v>24</v>
      </c>
    </row>
    <row r="1077" spans="1:18" x14ac:dyDescent="0.3">
      <c r="A1077" s="1" t="d">
        <v>2025-07-25</v>
      </c>
      <c r="B1077">
        <v>45512</v>
      </c>
      <c r="C1077" t="str">
        <f>VLOOKUP(Fato_Producao[[#This Row],[referencia]], Dim_Produtos!A:B,2,FALSE)</f>
        <v>red-fish posta</v>
      </c>
      <c r="D1077">
        <v>2418</v>
      </c>
      <c r="E1077">
        <v>2286</v>
      </c>
      <c r="F1077" s="5">
        <v>5.4600000000000003E-2</v>
      </c>
      <c r="G1077" s="6">
        <v>44.88</v>
      </c>
      <c r="H1077">
        <v>8</v>
      </c>
      <c r="I1077">
        <v>121</v>
      </c>
      <c r="J1077">
        <v>3</v>
      </c>
      <c r="K1077">
        <f>Fato_Producao[[#This Row],[embalagens_danificadas]]+Fato_Producao[[#This Row],[peso_errado]]+Fato_Producao[[#This Row],[impressao]]</f>
        <v>132</v>
      </c>
      <c r="L1077" s="1" t="d">
        <v>2025-06-29</v>
      </c>
      <c r="M1077">
        <v>26</v>
      </c>
      <c r="N1077" s="7">
        <v>6.28</v>
      </c>
      <c r="O1077" s="4" t="str">
        <f t="shared" si="48"/>
        <v>julho</v>
      </c>
      <c r="P1077" s="4">
        <f t="shared" si="49"/>
        <v>2025</v>
      </c>
      <c r="Q1077" s="4" t="str">
        <f t="shared" si="50"/>
        <v/>
      </c>
      <c r="R1077" t="s">
        <v>24</v>
      </c>
    </row>
    <row r="1078" spans="1:18" x14ac:dyDescent="0.3">
      <c r="A1078" s="1" t="d">
        <v>2025-07-26</v>
      </c>
      <c r="B1078">
        <v>45502</v>
      </c>
      <c r="C1078" t="str">
        <f>VLOOKUP(Fato_Producao[[#This Row],[referencia]], Dim_Produtos!A:B,2,FALSE)</f>
        <v>carapau pelim</v>
      </c>
      <c r="D1078">
        <v>4164</v>
      </c>
      <c r="E1078">
        <v>3793</v>
      </c>
      <c r="F1078" s="5">
        <v>8.9099999999999999E-2</v>
      </c>
      <c r="G1078" s="6">
        <v>111.3</v>
      </c>
      <c r="H1078">
        <v>89</v>
      </c>
      <c r="I1078">
        <v>275</v>
      </c>
      <c r="J1078">
        <v>7</v>
      </c>
      <c r="K1078">
        <f>Fato_Producao[[#This Row],[embalagens_danificadas]]+Fato_Producao[[#This Row],[peso_errado]]+Fato_Producao[[#This Row],[impressao]]</f>
        <v>371</v>
      </c>
      <c r="L1078" s="1" t="d">
        <v>2025-06-29</v>
      </c>
      <c r="M1078">
        <v>27</v>
      </c>
      <c r="N1078" s="7">
        <v>14.47</v>
      </c>
      <c r="O1078" s="4" t="str">
        <f t="shared" si="48"/>
        <v>julho</v>
      </c>
      <c r="P1078" s="4">
        <f t="shared" si="49"/>
        <v>2025</v>
      </c>
      <c r="Q1078" s="4" t="str">
        <f t="shared" si="50"/>
        <v/>
      </c>
      <c r="R1078" t="s">
        <v>24</v>
      </c>
    </row>
    <row r="1079" spans="1:18" x14ac:dyDescent="0.3">
      <c r="A1079" s="1" t="d">
        <v>2025-07-26</v>
      </c>
      <c r="B1079">
        <v>45510</v>
      </c>
      <c r="C1079" t="str">
        <f>VLOOKUP(Fato_Producao[[#This Row],[referencia]], Dim_Produtos!A:B,2,FALSE)</f>
        <v>tiras pota</v>
      </c>
      <c r="D1079">
        <v>3736</v>
      </c>
      <c r="E1079">
        <v>3420</v>
      </c>
      <c r="F1079" s="5">
        <v>8.4599999999999995E-2</v>
      </c>
      <c r="G1079" s="6">
        <v>101.12</v>
      </c>
      <c r="H1079">
        <v>44</v>
      </c>
      <c r="I1079">
        <v>266</v>
      </c>
      <c r="J1079">
        <v>6</v>
      </c>
      <c r="K1079">
        <f>Fato_Producao[[#This Row],[embalagens_danificadas]]+Fato_Producao[[#This Row],[peso_errado]]+Fato_Producao[[#This Row],[impressao]]</f>
        <v>316</v>
      </c>
      <c r="L1079" s="1" t="d">
        <v>2025-06-29</v>
      </c>
      <c r="M1079">
        <v>27</v>
      </c>
      <c r="N1079" s="7">
        <v>14.16</v>
      </c>
      <c r="O1079" s="4" t="str">
        <f t="shared" si="48"/>
        <v>julho</v>
      </c>
      <c r="P1079" s="4">
        <f t="shared" si="49"/>
        <v>2025</v>
      </c>
      <c r="Q1079" s="4" t="str">
        <f t="shared" si="50"/>
        <v/>
      </c>
      <c r="R1079" t="s">
        <v>24</v>
      </c>
    </row>
    <row r="1080" spans="1:18" x14ac:dyDescent="0.3">
      <c r="A1080" s="1" t="d">
        <v>2025-07-27</v>
      </c>
      <c r="B1080">
        <v>45503</v>
      </c>
      <c r="C1080" t="str">
        <f>VLOOKUP(Fato_Producao[[#This Row],[referencia]], Dim_Produtos!A:B,2,FALSE)</f>
        <v>sardinha pequena</v>
      </c>
      <c r="D1080">
        <v>2877</v>
      </c>
      <c r="E1080">
        <v>2653</v>
      </c>
      <c r="F1080" s="5">
        <v>7.7899999999999997E-2</v>
      </c>
      <c r="G1080" s="6">
        <v>58.24</v>
      </c>
      <c r="H1080">
        <v>5</v>
      </c>
      <c r="I1080">
        <v>213</v>
      </c>
      <c r="J1080">
        <v>6</v>
      </c>
      <c r="K1080">
        <f>Fato_Producao[[#This Row],[embalagens_danificadas]]+Fato_Producao[[#This Row],[peso_errado]]+Fato_Producao[[#This Row],[impressao]]</f>
        <v>224</v>
      </c>
      <c r="L1080" s="1" t="d">
        <v>2025-06-29</v>
      </c>
      <c r="M1080">
        <v>28</v>
      </c>
      <c r="N1080" s="7">
        <v>6.41</v>
      </c>
      <c r="O1080" s="4" t="str">
        <f t="shared" si="48"/>
        <v>julho</v>
      </c>
      <c r="P1080" s="4">
        <f t="shared" si="49"/>
        <v>2025</v>
      </c>
      <c r="Q1080" s="4" t="str">
        <f t="shared" si="50"/>
        <v/>
      </c>
      <c r="R1080" t="s">
        <v>24</v>
      </c>
    </row>
    <row r="1081" spans="1:18" x14ac:dyDescent="0.3">
      <c r="A1081" s="1" t="d">
        <v>2025-07-28</v>
      </c>
      <c r="B1081">
        <v>45505</v>
      </c>
      <c r="C1081" t="str">
        <f>VLOOKUP(Fato_Producao[[#This Row],[referencia]], Dim_Produtos!A:B,2,FALSE)</f>
        <v>camarao</v>
      </c>
      <c r="D1081">
        <v>3577</v>
      </c>
      <c r="E1081">
        <v>3278</v>
      </c>
      <c r="F1081" s="5">
        <v>8.3599999999999994E-2</v>
      </c>
      <c r="G1081" s="6">
        <v>89.7</v>
      </c>
      <c r="H1081">
        <v>62</v>
      </c>
      <c r="I1081">
        <v>232</v>
      </c>
      <c r="J1081">
        <v>5</v>
      </c>
      <c r="K1081">
        <f>Fato_Producao[[#This Row],[embalagens_danificadas]]+Fato_Producao[[#This Row],[peso_errado]]+Fato_Producao[[#This Row],[impressao]]</f>
        <v>299</v>
      </c>
      <c r="L1081" s="1" t="d">
        <v>2025-06-29</v>
      </c>
      <c r="M1081">
        <v>29</v>
      </c>
      <c r="N1081" s="7">
        <v>13.46</v>
      </c>
      <c r="O1081" s="4" t="str">
        <f t="shared" si="48"/>
        <v>julho</v>
      </c>
      <c r="P1081" s="4">
        <f t="shared" si="49"/>
        <v>2025</v>
      </c>
      <c r="Q1081" s="4" t="str">
        <f t="shared" si="50"/>
        <v/>
      </c>
      <c r="R1081" t="s">
        <v>24</v>
      </c>
    </row>
    <row r="1082" spans="1:18" x14ac:dyDescent="0.3">
      <c r="A1082" s="1" t="d">
        <v>2025-07-28</v>
      </c>
      <c r="B1082">
        <v>45511</v>
      </c>
      <c r="C1082" t="str">
        <f>VLOOKUP(Fato_Producao[[#This Row],[referencia]], Dim_Produtos!A:B,2,FALSE)</f>
        <v>lula limpa</v>
      </c>
      <c r="D1082">
        <v>3848</v>
      </c>
      <c r="E1082">
        <v>3478</v>
      </c>
      <c r="F1082" s="5">
        <v>9.6199999999999994E-2</v>
      </c>
      <c r="G1082" s="6">
        <v>118.4</v>
      </c>
      <c r="H1082">
        <v>43</v>
      </c>
      <c r="I1082">
        <v>317</v>
      </c>
      <c r="J1082">
        <v>10</v>
      </c>
      <c r="K1082">
        <f>Fato_Producao[[#This Row],[embalagens_danificadas]]+Fato_Producao[[#This Row],[peso_errado]]+Fato_Producao[[#This Row],[impressao]]</f>
        <v>370</v>
      </c>
      <c r="L1082" s="1" t="d">
        <v>2025-06-29</v>
      </c>
      <c r="M1082">
        <v>29</v>
      </c>
      <c r="N1082" s="7">
        <v>16.579999999999998</v>
      </c>
      <c r="O1082" s="4" t="str">
        <f t="shared" si="48"/>
        <v>julho</v>
      </c>
      <c r="P1082" s="4">
        <f t="shared" si="49"/>
        <v>2025</v>
      </c>
      <c r="Q1082" s="4" t="str">
        <f t="shared" si="50"/>
        <v/>
      </c>
      <c r="R1082" t="s">
        <v>24</v>
      </c>
    </row>
    <row r="1083" spans="1:18" x14ac:dyDescent="0.3">
      <c r="A1083" s="1" t="d">
        <v>2025-07-29</v>
      </c>
      <c r="B1083">
        <v>45501</v>
      </c>
      <c r="C1083" t="str">
        <f>VLOOKUP(Fato_Producao[[#This Row],[referencia]], Dim_Produtos!A:B,2,FALSE)</f>
        <v>pescada posta cozer</v>
      </c>
      <c r="D1083">
        <v>3994</v>
      </c>
      <c r="E1083">
        <v>3700</v>
      </c>
      <c r="F1083" s="5">
        <v>7.3599999999999999E-2</v>
      </c>
      <c r="G1083" s="6">
        <v>94.08</v>
      </c>
      <c r="H1083">
        <v>13</v>
      </c>
      <c r="I1083">
        <v>277</v>
      </c>
      <c r="J1083">
        <v>4</v>
      </c>
      <c r="K1083">
        <f>Fato_Producao[[#This Row],[embalagens_danificadas]]+Fato_Producao[[#This Row],[peso_errado]]+Fato_Producao[[#This Row],[impressao]]</f>
        <v>294</v>
      </c>
      <c r="L1083" s="1" t="d">
        <v>2025-06-29</v>
      </c>
      <c r="M1083">
        <v>30</v>
      </c>
      <c r="N1083" s="7">
        <v>13.17</v>
      </c>
      <c r="O1083" s="4" t="str">
        <f t="shared" si="48"/>
        <v>julho</v>
      </c>
      <c r="P1083" s="4">
        <f t="shared" si="49"/>
        <v>2025</v>
      </c>
      <c r="Q1083" s="4" t="str">
        <f t="shared" si="50"/>
        <v/>
      </c>
      <c r="R1083" t="s">
        <v>24</v>
      </c>
    </row>
    <row r="1084" spans="1:18" x14ac:dyDescent="0.3">
      <c r="A1084" s="1" t="d">
        <v>2025-07-29</v>
      </c>
      <c r="B1084">
        <v>45503</v>
      </c>
      <c r="C1084" t="str">
        <f>VLOOKUP(Fato_Producao[[#This Row],[referencia]], Dim_Produtos!A:B,2,FALSE)</f>
        <v>sardinha pequena</v>
      </c>
      <c r="D1084">
        <v>3739</v>
      </c>
      <c r="E1084">
        <v>3497</v>
      </c>
      <c r="F1084" s="5">
        <v>6.4699999999999994E-2</v>
      </c>
      <c r="G1084" s="6">
        <v>62.92</v>
      </c>
      <c r="H1084">
        <v>17</v>
      </c>
      <c r="I1084">
        <v>221</v>
      </c>
      <c r="J1084">
        <v>4</v>
      </c>
      <c r="K1084">
        <f>Fato_Producao[[#This Row],[embalagens_danificadas]]+Fato_Producao[[#This Row],[peso_errado]]+Fato_Producao[[#This Row],[impressao]]</f>
        <v>242</v>
      </c>
      <c r="L1084" s="1" t="d">
        <v>2025-06-29</v>
      </c>
      <c r="M1084">
        <v>30</v>
      </c>
      <c r="N1084" s="7">
        <v>6.92</v>
      </c>
      <c r="O1084" s="4" t="str">
        <f t="shared" si="48"/>
        <v>julho</v>
      </c>
      <c r="P1084" s="4">
        <f t="shared" si="49"/>
        <v>2025</v>
      </c>
      <c r="Q1084" s="4" t="str">
        <f t="shared" si="50"/>
        <v/>
      </c>
      <c r="R1084" t="s">
        <v>24</v>
      </c>
    </row>
    <row r="1085" spans="1:18" x14ac:dyDescent="0.3">
      <c r="A1085" s="1" t="d">
        <v>2025-07-30</v>
      </c>
      <c r="B1085">
        <v>45500</v>
      </c>
      <c r="C1085" t="str">
        <f>VLOOKUP(Fato_Producao[[#This Row],[referencia]], Dim_Produtos!A:B,2,FALSE)</f>
        <v>filete pescada</v>
      </c>
      <c r="D1085">
        <v>4122</v>
      </c>
      <c r="E1085">
        <v>3961</v>
      </c>
      <c r="F1085" s="5">
        <v>3.9100000000000003E-2</v>
      </c>
      <c r="G1085" s="6">
        <v>45.08</v>
      </c>
      <c r="H1085">
        <v>11</v>
      </c>
      <c r="I1085">
        <v>147</v>
      </c>
      <c r="J1085">
        <v>3</v>
      </c>
      <c r="K1085">
        <f>Fato_Producao[[#This Row],[embalagens_danificadas]]+Fato_Producao[[#This Row],[peso_errado]]+Fato_Producao[[#This Row],[impressao]]</f>
        <v>161</v>
      </c>
      <c r="L1085" s="1" t="d">
        <v>2025-06-29</v>
      </c>
      <c r="M1085">
        <v>31</v>
      </c>
      <c r="N1085" s="7">
        <v>5.41</v>
      </c>
      <c r="O1085" s="4" t="str">
        <f t="shared" si="48"/>
        <v>julho</v>
      </c>
      <c r="P1085" s="4">
        <f t="shared" si="49"/>
        <v>2025</v>
      </c>
      <c r="Q1085" s="4" t="str">
        <f t="shared" si="50"/>
        <v/>
      </c>
      <c r="R1085" t="s">
        <v>24</v>
      </c>
    </row>
    <row r="1086" spans="1:18" x14ac:dyDescent="0.3">
      <c r="A1086" s="1" t="d">
        <v>2025-07-30</v>
      </c>
      <c r="B1086">
        <v>45510</v>
      </c>
      <c r="C1086" t="str">
        <f>VLOOKUP(Fato_Producao[[#This Row],[referencia]], Dim_Produtos!A:B,2,FALSE)</f>
        <v>tiras pota</v>
      </c>
      <c r="D1086">
        <v>2898</v>
      </c>
      <c r="E1086">
        <v>2653</v>
      </c>
      <c r="F1086" s="5">
        <v>8.4500000000000006E-2</v>
      </c>
      <c r="G1086" s="6">
        <v>78.400000000000006</v>
      </c>
      <c r="H1086">
        <v>36</v>
      </c>
      <c r="I1086">
        <v>206</v>
      </c>
      <c r="J1086">
        <v>3</v>
      </c>
      <c r="K1086">
        <f>Fato_Producao[[#This Row],[embalagens_danificadas]]+Fato_Producao[[#This Row],[peso_errado]]+Fato_Producao[[#This Row],[impressao]]</f>
        <v>245</v>
      </c>
      <c r="L1086" s="1" t="d">
        <v>2025-06-29</v>
      </c>
      <c r="M1086">
        <v>31</v>
      </c>
      <c r="N1086" s="7">
        <v>10.98</v>
      </c>
      <c r="O1086" s="4" t="str">
        <f t="shared" si="48"/>
        <v>julho</v>
      </c>
      <c r="P1086" s="4">
        <f t="shared" si="49"/>
        <v>2025</v>
      </c>
      <c r="Q1086" s="4" t="str">
        <f t="shared" si="50"/>
        <v/>
      </c>
      <c r="R1086" t="s">
        <v>24</v>
      </c>
    </row>
    <row r="1087" spans="1:18" x14ac:dyDescent="0.3">
      <c r="A1087" s="1" t="d">
        <v>2025-07-31</v>
      </c>
      <c r="B1087">
        <v>45506</v>
      </c>
      <c r="C1087" t="str">
        <f>VLOOKUP(Fato_Producao[[#This Row],[referencia]], Dim_Produtos!A:B,2,FALSE)</f>
        <v>perca posta</v>
      </c>
      <c r="D1087">
        <v>2870</v>
      </c>
      <c r="E1087">
        <v>2667</v>
      </c>
      <c r="F1087" s="5">
        <v>7.0699999999999999E-2</v>
      </c>
      <c r="G1087" s="6">
        <v>71.05</v>
      </c>
      <c r="H1087">
        <v>12</v>
      </c>
      <c r="I1087">
        <v>187</v>
      </c>
      <c r="J1087">
        <v>4</v>
      </c>
      <c r="K1087">
        <f>Fato_Producao[[#This Row],[embalagens_danificadas]]+Fato_Producao[[#This Row],[peso_errado]]+Fato_Producao[[#This Row],[impressao]]</f>
        <v>203</v>
      </c>
      <c r="L1087" s="1" t="d">
        <v>2025-06-29</v>
      </c>
      <c r="M1087">
        <v>32</v>
      </c>
      <c r="N1087" s="7">
        <v>10.66</v>
      </c>
      <c r="O1087" s="4" t="str">
        <f t="shared" si="48"/>
        <v>julho</v>
      </c>
      <c r="P1087" s="4">
        <f t="shared" si="49"/>
        <v>2025</v>
      </c>
      <c r="Q1087" s="4" t="str">
        <f t="shared" si="50"/>
        <v/>
      </c>
      <c r="R1087" t="s">
        <v>24</v>
      </c>
    </row>
    <row r="1088" spans="1:18" x14ac:dyDescent="0.3">
      <c r="A1088" s="1" t="d">
        <v>2025-07-31</v>
      </c>
      <c r="B1088">
        <v>45511</v>
      </c>
      <c r="C1088" t="str">
        <f>VLOOKUP(Fato_Producao[[#This Row],[referencia]], Dim_Produtos!A:B,2,FALSE)</f>
        <v>lula limpa</v>
      </c>
      <c r="D1088">
        <v>3412</v>
      </c>
      <c r="E1088">
        <v>3128</v>
      </c>
      <c r="F1088" s="5">
        <v>8.3199999999999996E-2</v>
      </c>
      <c r="G1088" s="6">
        <v>90.88</v>
      </c>
      <c r="H1088">
        <v>29</v>
      </c>
      <c r="I1088">
        <v>247</v>
      </c>
      <c r="J1088">
        <v>8</v>
      </c>
      <c r="K1088">
        <f>Fato_Producao[[#This Row],[embalagens_danificadas]]+Fato_Producao[[#This Row],[peso_errado]]+Fato_Producao[[#This Row],[impressao]]</f>
        <v>284</v>
      </c>
      <c r="L1088" s="1" t="d">
        <v>2025-06-29</v>
      </c>
      <c r="M1088">
        <v>32</v>
      </c>
      <c r="N1088" s="7">
        <v>12.72</v>
      </c>
      <c r="O1088" s="4" t="str">
        <f t="shared" si="48"/>
        <v>julho</v>
      </c>
      <c r="P1088" s="4">
        <f t="shared" si="49"/>
        <v>2025</v>
      </c>
      <c r="Q1088" s="4" t="str">
        <f t="shared" si="50"/>
        <v/>
      </c>
      <c r="R1088" t="s">
        <v>24</v>
      </c>
    </row>
    <row r="1089" spans="1:18" x14ac:dyDescent="0.3">
      <c r="A1089" s="1" t="d">
        <v>2025-08-01</v>
      </c>
      <c r="B1089">
        <v>45501</v>
      </c>
      <c r="C1089" t="str">
        <f>VLOOKUP(Fato_Producao[[#This Row],[referencia]], Dim_Produtos!A:B,2,FALSE)</f>
        <v>pescada posta cozer</v>
      </c>
      <c r="D1089">
        <v>3053</v>
      </c>
      <c r="E1089">
        <v>2816</v>
      </c>
      <c r="F1089" s="5">
        <v>7.7600000000000002E-2</v>
      </c>
      <c r="G1089" s="6">
        <v>75.84</v>
      </c>
      <c r="H1089">
        <v>8</v>
      </c>
      <c r="I1089">
        <v>225</v>
      </c>
      <c r="J1089">
        <v>4</v>
      </c>
      <c r="K1089">
        <f>Fato_Producao[[#This Row],[embalagens_danificadas]]+Fato_Producao[[#This Row],[peso_errado]]+Fato_Producao[[#This Row],[impressao]]</f>
        <v>237</v>
      </c>
      <c r="L1089" s="1" t="d">
        <v>2025-06-29</v>
      </c>
      <c r="M1089">
        <v>33</v>
      </c>
      <c r="N1089" s="7">
        <v>10.62</v>
      </c>
      <c r="O1089" s="4" t="str">
        <f t="shared" si="48"/>
        <v>agosto</v>
      </c>
      <c r="P1089" s="4">
        <f t="shared" si="49"/>
        <v>2025</v>
      </c>
      <c r="Q1089" s="4" t="str">
        <f t="shared" si="50"/>
        <v/>
      </c>
      <c r="R1089" t="s">
        <v>24</v>
      </c>
    </row>
    <row r="1090" spans="1:18" x14ac:dyDescent="0.3">
      <c r="A1090" s="1" t="d">
        <v>2025-08-01</v>
      </c>
      <c r="B1090">
        <v>45508</v>
      </c>
      <c r="C1090" t="str">
        <f>VLOOKUP(Fato_Producao[[#This Row],[referencia]], Dim_Produtos!A:B,2,FALSE)</f>
        <v>lula suja</v>
      </c>
      <c r="D1090">
        <v>3528</v>
      </c>
      <c r="E1090">
        <v>3189</v>
      </c>
      <c r="F1090" s="5">
        <v>9.6100000000000005E-2</v>
      </c>
      <c r="G1090" s="6">
        <v>108.48</v>
      </c>
      <c r="H1090">
        <v>49</v>
      </c>
      <c r="I1090">
        <v>280</v>
      </c>
      <c r="J1090">
        <v>10</v>
      </c>
      <c r="K1090">
        <f>Fato_Producao[[#This Row],[embalagens_danificadas]]+Fato_Producao[[#This Row],[peso_errado]]+Fato_Producao[[#This Row],[impressao]]</f>
        <v>339</v>
      </c>
      <c r="L1090" s="1" t="d">
        <v>2025-06-29</v>
      </c>
      <c r="M1090">
        <v>33</v>
      </c>
      <c r="N1090" s="7">
        <v>15.19</v>
      </c>
      <c r="O1090" s="4" t="str">
        <f t="shared" ref="O1090:O1153" si="51">TEXT(A1090, "mmmm")</f>
        <v>agosto</v>
      </c>
      <c r="P1090" s="4">
        <f t="shared" ref="P1090:P1153" si="52">YEAR(A1090)</f>
        <v>2025</v>
      </c>
      <c r="Q1090" s="4" t="str">
        <f t="shared" ref="Q1090:Q1153" si="53">IF(M1091 &gt;= M1090, "", M1090)</f>
        <v/>
      </c>
      <c r="R1090" t="s">
        <v>24</v>
      </c>
    </row>
    <row r="1091" spans="1:18" x14ac:dyDescent="0.3">
      <c r="A1091" s="1" t="d">
        <v>2025-08-02</v>
      </c>
      <c r="B1091">
        <v>45512</v>
      </c>
      <c r="C1091" t="str">
        <f>VLOOKUP(Fato_Producao[[#This Row],[referencia]], Dim_Produtos!A:B,2,FALSE)</f>
        <v>red-fish posta</v>
      </c>
      <c r="D1091">
        <v>2249</v>
      </c>
      <c r="E1091">
        <v>2114</v>
      </c>
      <c r="F1091" s="5">
        <v>0.06</v>
      </c>
      <c r="G1091" s="6">
        <v>45.9</v>
      </c>
      <c r="H1091">
        <v>6</v>
      </c>
      <c r="I1091">
        <v>126</v>
      </c>
      <c r="J1091">
        <v>3</v>
      </c>
      <c r="K1091">
        <f>Fato_Producao[[#This Row],[embalagens_danificadas]]+Fato_Producao[[#This Row],[peso_errado]]+Fato_Producao[[#This Row],[impressao]]</f>
        <v>135</v>
      </c>
      <c r="L1091" s="1" t="d">
        <v>2025-06-29</v>
      </c>
      <c r="M1091">
        <v>34</v>
      </c>
      <c r="N1091" s="7">
        <v>6.43</v>
      </c>
      <c r="O1091" s="4" t="str">
        <f t="shared" si="51"/>
        <v>agosto</v>
      </c>
      <c r="P1091" s="4">
        <f t="shared" si="52"/>
        <v>2025</v>
      </c>
      <c r="Q1091" s="4" t="str">
        <f t="shared" si="53"/>
        <v/>
      </c>
      <c r="R1091" t="s">
        <v>24</v>
      </c>
    </row>
    <row r="1092" spans="1:18" x14ac:dyDescent="0.3">
      <c r="A1092" s="1" t="d">
        <v>2025-08-03</v>
      </c>
      <c r="B1092">
        <v>45513</v>
      </c>
      <c r="C1092" t="str">
        <f>VLOOKUP(Fato_Producao[[#This Row],[referencia]], Dim_Produtos!A:B,2,FALSE)</f>
        <v>filete pescada</v>
      </c>
      <c r="D1092">
        <v>3649</v>
      </c>
      <c r="E1092">
        <v>3383</v>
      </c>
      <c r="F1092" s="5">
        <v>7.2900000000000006E-2</v>
      </c>
      <c r="G1092" s="6">
        <v>85.12</v>
      </c>
      <c r="H1092">
        <v>12</v>
      </c>
      <c r="I1092">
        <v>248</v>
      </c>
      <c r="J1092">
        <v>6</v>
      </c>
      <c r="K1092">
        <f>Fato_Producao[[#This Row],[embalagens_danificadas]]+Fato_Producao[[#This Row],[peso_errado]]+Fato_Producao[[#This Row],[impressao]]</f>
        <v>266</v>
      </c>
      <c r="L1092" s="1" t="d">
        <v>2025-06-29</v>
      </c>
      <c r="M1092">
        <v>35</v>
      </c>
      <c r="N1092" s="7">
        <v>11.07</v>
      </c>
      <c r="O1092" s="4" t="str">
        <f t="shared" si="51"/>
        <v>agosto</v>
      </c>
      <c r="P1092" s="4">
        <f t="shared" si="52"/>
        <v>2025</v>
      </c>
      <c r="Q1092" s="4" t="str">
        <f t="shared" si="53"/>
        <v/>
      </c>
      <c r="R1092" t="s">
        <v>24</v>
      </c>
    </row>
    <row r="1093" spans="1:18" x14ac:dyDescent="0.3">
      <c r="A1093" s="1" t="d">
        <v>2025-08-03</v>
      </c>
      <c r="B1093">
        <v>45507</v>
      </c>
      <c r="C1093" t="str">
        <f>VLOOKUP(Fato_Producao[[#This Row],[referencia]], Dim_Produtos!A:B,2,FALSE)</f>
        <v>salmao posta</v>
      </c>
      <c r="D1093">
        <v>2959</v>
      </c>
      <c r="E1093">
        <v>2755</v>
      </c>
      <c r="F1093" s="5">
        <v>6.8900000000000003E-2</v>
      </c>
      <c r="G1093" s="6">
        <v>71.400000000000006</v>
      </c>
      <c r="H1093">
        <v>14</v>
      </c>
      <c r="I1093">
        <v>188</v>
      </c>
      <c r="J1093">
        <v>2</v>
      </c>
      <c r="K1093">
        <f>Fato_Producao[[#This Row],[embalagens_danificadas]]+Fato_Producao[[#This Row],[peso_errado]]+Fato_Producao[[#This Row],[impressao]]</f>
        <v>204</v>
      </c>
      <c r="L1093" s="1" t="d">
        <v>2025-06-29</v>
      </c>
      <c r="M1093">
        <v>35</v>
      </c>
      <c r="N1093" s="7">
        <v>11.42</v>
      </c>
      <c r="O1093" s="4" t="str">
        <f t="shared" si="51"/>
        <v>agosto</v>
      </c>
      <c r="P1093" s="4">
        <f t="shared" si="52"/>
        <v>2025</v>
      </c>
      <c r="Q1093" s="4" t="str">
        <f t="shared" si="53"/>
        <v/>
      </c>
      <c r="R1093" t="s">
        <v>24</v>
      </c>
    </row>
    <row r="1094" spans="1:18" x14ac:dyDescent="0.3">
      <c r="A1094" s="1" t="d">
        <v>2025-08-04</v>
      </c>
      <c r="B1094">
        <v>45500</v>
      </c>
      <c r="C1094" t="str">
        <f>VLOOKUP(Fato_Producao[[#This Row],[referencia]], Dim_Produtos!A:B,2,FALSE)</f>
        <v>filete pescada</v>
      </c>
      <c r="D1094">
        <v>3477</v>
      </c>
      <c r="E1094">
        <v>3253</v>
      </c>
      <c r="F1094" s="5">
        <v>6.4399999999999999E-2</v>
      </c>
      <c r="G1094" s="6">
        <v>62.72</v>
      </c>
      <c r="H1094">
        <v>6</v>
      </c>
      <c r="I1094">
        <v>215</v>
      </c>
      <c r="J1094">
        <v>3</v>
      </c>
      <c r="K1094">
        <f>Fato_Producao[[#This Row],[embalagens_danificadas]]+Fato_Producao[[#This Row],[peso_errado]]+Fato_Producao[[#This Row],[impressao]]</f>
        <v>224</v>
      </c>
      <c r="L1094" s="1" t="d">
        <v>2025-06-29</v>
      </c>
      <c r="M1094">
        <v>36</v>
      </c>
      <c r="N1094" s="7">
        <v>7.53</v>
      </c>
      <c r="O1094" s="4" t="str">
        <f t="shared" si="51"/>
        <v>agosto</v>
      </c>
      <c r="P1094" s="4">
        <f t="shared" si="52"/>
        <v>2025</v>
      </c>
      <c r="Q1094" s="4" t="str">
        <f t="shared" si="53"/>
        <v/>
      </c>
      <c r="R1094" t="s">
        <v>24</v>
      </c>
    </row>
    <row r="1095" spans="1:18" x14ac:dyDescent="0.3">
      <c r="A1095" s="1" t="d">
        <v>2025-08-05</v>
      </c>
      <c r="B1095">
        <v>45514</v>
      </c>
      <c r="C1095" t="str">
        <f>VLOOKUP(Fato_Producao[[#This Row],[referencia]], Dim_Produtos!A:B,2,FALSE)</f>
        <v>sardinha pequena</v>
      </c>
      <c r="D1095">
        <v>2514</v>
      </c>
      <c r="E1095">
        <v>2256</v>
      </c>
      <c r="F1095" s="5">
        <v>0.1026</v>
      </c>
      <c r="G1095" s="6">
        <v>77.400000000000006</v>
      </c>
      <c r="H1095">
        <v>10</v>
      </c>
      <c r="I1095">
        <v>243</v>
      </c>
      <c r="J1095">
        <v>5</v>
      </c>
      <c r="K1095">
        <f>Fato_Producao[[#This Row],[embalagens_danificadas]]+Fato_Producao[[#This Row],[peso_errado]]+Fato_Producao[[#This Row],[impressao]]</f>
        <v>258</v>
      </c>
      <c r="L1095" s="1" t="d">
        <v>2025-06-29</v>
      </c>
      <c r="M1095">
        <v>37</v>
      </c>
      <c r="N1095" s="7">
        <v>9.2899999999999991</v>
      </c>
      <c r="O1095" s="4" t="str">
        <f t="shared" si="51"/>
        <v>agosto</v>
      </c>
      <c r="P1095" s="4">
        <f t="shared" si="52"/>
        <v>2025</v>
      </c>
      <c r="Q1095" s="4" t="str">
        <f t="shared" si="53"/>
        <v/>
      </c>
      <c r="R1095" t="s">
        <v>24</v>
      </c>
    </row>
    <row r="1096" spans="1:18" x14ac:dyDescent="0.3">
      <c r="A1096" s="1" t="d">
        <v>2025-08-06</v>
      </c>
      <c r="B1096">
        <v>45513</v>
      </c>
      <c r="C1096" t="str">
        <f>VLOOKUP(Fato_Producao[[#This Row],[referencia]], Dim_Produtos!A:B,2,FALSE)</f>
        <v>filete pescada</v>
      </c>
      <c r="D1096">
        <v>2359</v>
      </c>
      <c r="E1096">
        <v>2138</v>
      </c>
      <c r="F1096" s="5">
        <v>9.3700000000000006E-2</v>
      </c>
      <c r="G1096" s="6">
        <v>70.72</v>
      </c>
      <c r="H1096">
        <v>84</v>
      </c>
      <c r="I1096">
        <v>37</v>
      </c>
      <c r="J1096">
        <v>100</v>
      </c>
      <c r="K1096">
        <f>Fato_Producao[[#This Row],[embalagens_danificadas]]+Fato_Producao[[#This Row],[peso_errado]]+Fato_Producao[[#This Row],[impressao]]</f>
        <v>221</v>
      </c>
      <c r="L1096" s="1" t="d">
        <v>2025-06-29</v>
      </c>
      <c r="M1096">
        <v>38</v>
      </c>
      <c r="N1096" s="7">
        <v>9.19</v>
      </c>
      <c r="O1096" s="4" t="str">
        <f t="shared" si="51"/>
        <v>agosto</v>
      </c>
      <c r="P1096" s="4">
        <f t="shared" si="52"/>
        <v>2025</v>
      </c>
      <c r="Q1096" s="4" t="str">
        <f t="shared" si="53"/>
        <v/>
      </c>
      <c r="R1096" t="s">
        <v>50</v>
      </c>
    </row>
    <row r="1097" spans="1:18" x14ac:dyDescent="0.3">
      <c r="A1097" s="1" t="d">
        <v>2025-08-07</v>
      </c>
      <c r="B1097">
        <v>45509</v>
      </c>
      <c r="C1097" t="str">
        <f>VLOOKUP(Fato_Producao[[#This Row],[referencia]], Dim_Produtos!A:B,2,FALSE)</f>
        <v>lascas bacalhau</v>
      </c>
      <c r="D1097">
        <v>1905</v>
      </c>
      <c r="E1097">
        <v>1720</v>
      </c>
      <c r="F1097" s="5">
        <v>9.7100000000000006E-2</v>
      </c>
      <c r="G1097" s="6">
        <v>51.8</v>
      </c>
      <c r="H1097">
        <v>11</v>
      </c>
      <c r="I1097">
        <v>172</v>
      </c>
      <c r="J1097">
        <v>2</v>
      </c>
      <c r="K1097">
        <f>Fato_Producao[[#This Row],[embalagens_danificadas]]+Fato_Producao[[#This Row],[peso_errado]]+Fato_Producao[[#This Row],[impressao]]</f>
        <v>185</v>
      </c>
      <c r="L1097" s="1" t="d">
        <v>2025-06-29</v>
      </c>
      <c r="M1097">
        <v>39</v>
      </c>
      <c r="N1097" s="7">
        <v>6.73</v>
      </c>
      <c r="O1097" s="4" t="str">
        <f t="shared" si="51"/>
        <v>agosto</v>
      </c>
      <c r="P1097" s="4">
        <f t="shared" si="52"/>
        <v>2025</v>
      </c>
      <c r="Q1097" s="4" t="str">
        <f t="shared" si="53"/>
        <v/>
      </c>
      <c r="R1097" t="s">
        <v>24</v>
      </c>
    </row>
    <row r="1098" spans="1:18" x14ac:dyDescent="0.3">
      <c r="A1098" s="1" t="d">
        <v>2025-08-07</v>
      </c>
      <c r="B1098">
        <v>45502</v>
      </c>
      <c r="C1098" t="str">
        <f>VLOOKUP(Fato_Producao[[#This Row],[referencia]], Dim_Produtos!A:B,2,FALSE)</f>
        <v>carapau pelim</v>
      </c>
      <c r="D1098">
        <v>3265</v>
      </c>
      <c r="E1098">
        <v>3050</v>
      </c>
      <c r="F1098" s="5">
        <v>6.5799999999999997E-2</v>
      </c>
      <c r="G1098" s="6">
        <v>64.5</v>
      </c>
      <c r="H1098">
        <v>48</v>
      </c>
      <c r="I1098">
        <v>161</v>
      </c>
      <c r="J1098">
        <v>6</v>
      </c>
      <c r="K1098">
        <f>Fato_Producao[[#This Row],[embalagens_danificadas]]+Fato_Producao[[#This Row],[peso_errado]]+Fato_Producao[[#This Row],[impressao]]</f>
        <v>215</v>
      </c>
      <c r="L1098" s="1" t="d">
        <v>2025-06-29</v>
      </c>
      <c r="M1098">
        <v>39</v>
      </c>
      <c r="N1098" s="7">
        <v>8.3800000000000008</v>
      </c>
      <c r="O1098" s="4" t="str">
        <f t="shared" si="51"/>
        <v>agosto</v>
      </c>
      <c r="P1098" s="4">
        <f t="shared" si="52"/>
        <v>2025</v>
      </c>
      <c r="Q1098" s="4" t="str">
        <f t="shared" si="53"/>
        <v/>
      </c>
      <c r="R1098" t="s">
        <v>24</v>
      </c>
    </row>
    <row r="1099" spans="1:18" x14ac:dyDescent="0.3">
      <c r="A1099" s="1" t="d">
        <v>2025-08-08</v>
      </c>
      <c r="B1099">
        <v>45503</v>
      </c>
      <c r="C1099" t="str">
        <f>VLOOKUP(Fato_Producao[[#This Row],[referencia]], Dim_Produtos!A:B,2,FALSE)</f>
        <v>sardinha pequena</v>
      </c>
      <c r="D1099">
        <v>4199</v>
      </c>
      <c r="E1099">
        <v>3788</v>
      </c>
      <c r="F1099" s="5">
        <v>9.7900000000000001E-2</v>
      </c>
      <c r="G1099" s="6">
        <v>106.86</v>
      </c>
      <c r="H1099">
        <v>14</v>
      </c>
      <c r="I1099">
        <v>392</v>
      </c>
      <c r="J1099">
        <v>5</v>
      </c>
      <c r="K1099">
        <f>Fato_Producao[[#This Row],[embalagens_danificadas]]+Fato_Producao[[#This Row],[peso_errado]]+Fato_Producao[[#This Row],[impressao]]</f>
        <v>411</v>
      </c>
      <c r="L1099" s="1" t="d">
        <v>2025-06-29</v>
      </c>
      <c r="M1099">
        <v>40</v>
      </c>
      <c r="N1099" s="7">
        <v>11.75</v>
      </c>
      <c r="O1099" s="4" t="str">
        <f t="shared" si="51"/>
        <v>agosto</v>
      </c>
      <c r="P1099" s="4">
        <f t="shared" si="52"/>
        <v>2025</v>
      </c>
      <c r="Q1099" s="4" t="str">
        <f t="shared" si="53"/>
        <v/>
      </c>
      <c r="R1099" t="s">
        <v>24</v>
      </c>
    </row>
    <row r="1100" spans="1:18" x14ac:dyDescent="0.3">
      <c r="A1100" s="1" t="d">
        <v>2025-08-08</v>
      </c>
      <c r="B1100">
        <v>45513</v>
      </c>
      <c r="C1100" t="str">
        <f>VLOOKUP(Fato_Producao[[#This Row],[referencia]], Dim_Produtos!A:B,2,FALSE)</f>
        <v>filete pescada</v>
      </c>
      <c r="D1100">
        <v>2562</v>
      </c>
      <c r="E1100">
        <v>2361</v>
      </c>
      <c r="F1100" s="5">
        <v>7.85E-2</v>
      </c>
      <c r="G1100" s="6">
        <v>64.319999999999993</v>
      </c>
      <c r="H1100">
        <v>7</v>
      </c>
      <c r="I1100">
        <v>188</v>
      </c>
      <c r="J1100">
        <v>6</v>
      </c>
      <c r="K1100">
        <f>Fato_Producao[[#This Row],[embalagens_danificadas]]+Fato_Producao[[#This Row],[peso_errado]]+Fato_Producao[[#This Row],[impressao]]</f>
        <v>201</v>
      </c>
      <c r="L1100" s="1" t="d">
        <v>2025-06-29</v>
      </c>
      <c r="M1100">
        <v>40</v>
      </c>
      <c r="N1100" s="7">
        <v>8.36</v>
      </c>
      <c r="O1100" s="4" t="str">
        <f t="shared" si="51"/>
        <v>agosto</v>
      </c>
      <c r="P1100" s="4">
        <f t="shared" si="52"/>
        <v>2025</v>
      </c>
      <c r="Q1100" s="4" t="str">
        <f t="shared" si="53"/>
        <v/>
      </c>
      <c r="R1100" t="s">
        <v>24</v>
      </c>
    </row>
    <row r="1101" spans="1:18" x14ac:dyDescent="0.3">
      <c r="A1101" s="1" t="d">
        <v>2025-08-09</v>
      </c>
      <c r="B1101">
        <v>45510</v>
      </c>
      <c r="C1101" t="str">
        <f>VLOOKUP(Fato_Producao[[#This Row],[referencia]], Dim_Produtos!A:B,2,FALSE)</f>
        <v>tiras pota</v>
      </c>
      <c r="D1101">
        <v>2812</v>
      </c>
      <c r="E1101">
        <v>2539</v>
      </c>
      <c r="F1101" s="5">
        <v>9.7100000000000006E-2</v>
      </c>
      <c r="G1101" s="6">
        <v>87.36</v>
      </c>
      <c r="H1101">
        <v>29</v>
      </c>
      <c r="I1101">
        <v>238</v>
      </c>
      <c r="J1101">
        <v>6</v>
      </c>
      <c r="K1101">
        <f>Fato_Producao[[#This Row],[embalagens_danificadas]]+Fato_Producao[[#This Row],[peso_errado]]+Fato_Producao[[#This Row],[impressao]]</f>
        <v>273</v>
      </c>
      <c r="L1101" s="1" t="d">
        <v>2025-06-29</v>
      </c>
      <c r="M1101">
        <v>41</v>
      </c>
      <c r="N1101" s="7">
        <v>12.23</v>
      </c>
      <c r="O1101" s="4" t="str">
        <f t="shared" si="51"/>
        <v>agosto</v>
      </c>
      <c r="P1101" s="4">
        <f t="shared" si="52"/>
        <v>2025</v>
      </c>
      <c r="Q1101" s="4" t="str">
        <f t="shared" si="53"/>
        <v/>
      </c>
      <c r="R1101" t="s">
        <v>24</v>
      </c>
    </row>
    <row r="1102" spans="1:18" x14ac:dyDescent="0.3">
      <c r="A1102" s="1" t="d">
        <v>2025-08-09</v>
      </c>
      <c r="B1102">
        <v>45505</v>
      </c>
      <c r="C1102" t="str">
        <f>VLOOKUP(Fato_Producao[[#This Row],[referencia]], Dim_Produtos!A:B,2,FALSE)</f>
        <v>camarao</v>
      </c>
      <c r="D1102">
        <v>3112</v>
      </c>
      <c r="E1102">
        <v>2848</v>
      </c>
      <c r="F1102" s="5">
        <v>8.48E-2</v>
      </c>
      <c r="G1102" s="6">
        <v>79.2</v>
      </c>
      <c r="H1102">
        <v>81</v>
      </c>
      <c r="I1102">
        <v>174</v>
      </c>
      <c r="J1102">
        <v>9</v>
      </c>
      <c r="K1102">
        <f>Fato_Producao[[#This Row],[embalagens_danificadas]]+Fato_Producao[[#This Row],[peso_errado]]+Fato_Producao[[#This Row],[impressao]]</f>
        <v>264</v>
      </c>
      <c r="L1102" s="1" t="d">
        <v>2025-06-29</v>
      </c>
      <c r="M1102">
        <v>41</v>
      </c>
      <c r="N1102" s="7">
        <v>11.88</v>
      </c>
      <c r="O1102" s="4" t="str">
        <f t="shared" si="51"/>
        <v>agosto</v>
      </c>
      <c r="P1102" s="4">
        <f t="shared" si="52"/>
        <v>2025</v>
      </c>
      <c r="Q1102" s="4" t="str">
        <f t="shared" si="53"/>
        <v/>
      </c>
      <c r="R1102" t="s">
        <v>24</v>
      </c>
    </row>
    <row r="1103" spans="1:18" x14ac:dyDescent="0.3">
      <c r="A1103" s="1" t="d">
        <v>2025-08-10</v>
      </c>
      <c r="B1103">
        <v>45514</v>
      </c>
      <c r="C1103" t="str">
        <f>VLOOKUP(Fato_Producao[[#This Row],[referencia]], Dim_Produtos!A:B,2,FALSE)</f>
        <v>sardinha pequena</v>
      </c>
      <c r="D1103">
        <v>2545</v>
      </c>
      <c r="E1103">
        <v>2277</v>
      </c>
      <c r="F1103" s="5">
        <v>0.1053</v>
      </c>
      <c r="G1103" s="6">
        <v>80.400000000000006</v>
      </c>
      <c r="H1103">
        <v>18</v>
      </c>
      <c r="I1103">
        <v>245</v>
      </c>
      <c r="J1103">
        <v>5</v>
      </c>
      <c r="K1103">
        <f>Fato_Producao[[#This Row],[embalagens_danificadas]]+Fato_Producao[[#This Row],[peso_errado]]+Fato_Producao[[#This Row],[impressao]]</f>
        <v>268</v>
      </c>
      <c r="L1103" s="1" t="d">
        <v>2025-06-29</v>
      </c>
      <c r="M1103">
        <v>42</v>
      </c>
      <c r="N1103" s="7">
        <v>9.65</v>
      </c>
      <c r="O1103" s="4" t="str">
        <f t="shared" si="51"/>
        <v>agosto</v>
      </c>
      <c r="P1103" s="4">
        <f t="shared" si="52"/>
        <v>2025</v>
      </c>
      <c r="Q1103" s="4" t="str">
        <f t="shared" si="53"/>
        <v/>
      </c>
      <c r="R1103" t="s">
        <v>24</v>
      </c>
    </row>
    <row r="1104" spans="1:18" x14ac:dyDescent="0.3">
      <c r="A1104" s="1" t="d">
        <v>2025-08-10</v>
      </c>
      <c r="B1104">
        <v>45505</v>
      </c>
      <c r="C1104" t="str">
        <f>VLOOKUP(Fato_Producao[[#This Row],[referencia]], Dim_Produtos!A:B,2,FALSE)</f>
        <v>camarao</v>
      </c>
      <c r="D1104">
        <v>2739</v>
      </c>
      <c r="E1104">
        <v>2455</v>
      </c>
      <c r="F1104" s="5">
        <v>0.1037</v>
      </c>
      <c r="G1104" s="6">
        <v>85.2</v>
      </c>
      <c r="H1104">
        <v>82</v>
      </c>
      <c r="I1104">
        <v>199</v>
      </c>
      <c r="J1104">
        <v>3</v>
      </c>
      <c r="K1104">
        <f>Fato_Producao[[#This Row],[embalagens_danificadas]]+Fato_Producao[[#This Row],[peso_errado]]+Fato_Producao[[#This Row],[impressao]]</f>
        <v>284</v>
      </c>
      <c r="L1104" s="1" t="d">
        <v>2025-06-29</v>
      </c>
      <c r="M1104">
        <v>42</v>
      </c>
      <c r="N1104" s="7">
        <v>12.78</v>
      </c>
      <c r="O1104" s="4" t="str">
        <f t="shared" si="51"/>
        <v>agosto</v>
      </c>
      <c r="P1104" s="4">
        <f t="shared" si="52"/>
        <v>2025</v>
      </c>
      <c r="Q1104" s="4" t="str">
        <f t="shared" si="53"/>
        <v/>
      </c>
      <c r="R1104" t="s">
        <v>24</v>
      </c>
    </row>
    <row r="1105" spans="1:18" x14ac:dyDescent="0.3">
      <c r="A1105" s="1" t="d">
        <v>2025-08-11</v>
      </c>
      <c r="B1105">
        <v>45503</v>
      </c>
      <c r="C1105" t="str">
        <f>VLOOKUP(Fato_Producao[[#This Row],[referencia]], Dim_Produtos!A:B,2,FALSE)</f>
        <v>sardinha pequena</v>
      </c>
      <c r="D1105">
        <v>1832</v>
      </c>
      <c r="E1105">
        <v>1677</v>
      </c>
      <c r="F1105" s="5">
        <v>8.4599999999999995E-2</v>
      </c>
      <c r="G1105" s="6">
        <v>40.299999999999997</v>
      </c>
      <c r="H1105">
        <v>3</v>
      </c>
      <c r="I1105">
        <v>148</v>
      </c>
      <c r="J1105">
        <v>4</v>
      </c>
      <c r="K1105">
        <f>Fato_Producao[[#This Row],[embalagens_danificadas]]+Fato_Producao[[#This Row],[peso_errado]]+Fato_Producao[[#This Row],[impressao]]</f>
        <v>155</v>
      </c>
      <c r="L1105" s="1" t="d">
        <v>2025-06-29</v>
      </c>
      <c r="M1105">
        <v>43</v>
      </c>
      <c r="N1105" s="7">
        <v>4.43</v>
      </c>
      <c r="O1105" s="4" t="str">
        <f t="shared" si="51"/>
        <v>agosto</v>
      </c>
      <c r="P1105" s="4">
        <f t="shared" si="52"/>
        <v>2025</v>
      </c>
      <c r="Q1105" s="4" t="str">
        <f t="shared" si="53"/>
        <v/>
      </c>
      <c r="R1105" t="s">
        <v>24</v>
      </c>
    </row>
    <row r="1106" spans="1:18" x14ac:dyDescent="0.3">
      <c r="A1106" s="1" t="d">
        <v>2025-08-12</v>
      </c>
      <c r="B1106">
        <v>45506</v>
      </c>
      <c r="C1106" t="str">
        <f>VLOOKUP(Fato_Producao[[#This Row],[referencia]], Dim_Produtos!A:B,2,FALSE)</f>
        <v>perca posta</v>
      </c>
      <c r="D1106">
        <v>1860</v>
      </c>
      <c r="E1106">
        <v>1736</v>
      </c>
      <c r="F1106" s="5">
        <v>6.6699999999999995E-2</v>
      </c>
      <c r="G1106" s="6">
        <v>43.4</v>
      </c>
      <c r="H1106">
        <v>37</v>
      </c>
      <c r="I1106">
        <v>14</v>
      </c>
      <c r="J1106">
        <v>73</v>
      </c>
      <c r="K1106">
        <f>Fato_Producao[[#This Row],[embalagens_danificadas]]+Fato_Producao[[#This Row],[peso_errado]]+Fato_Producao[[#This Row],[impressao]]</f>
        <v>124</v>
      </c>
      <c r="L1106" s="1" t="d">
        <v>2025-06-29</v>
      </c>
      <c r="M1106">
        <v>44</v>
      </c>
      <c r="N1106" s="7">
        <v>6.51</v>
      </c>
      <c r="O1106" s="4" t="str">
        <f t="shared" si="51"/>
        <v>agosto</v>
      </c>
      <c r="P1106" s="4">
        <f t="shared" si="52"/>
        <v>2025</v>
      </c>
      <c r="Q1106" s="4" t="str">
        <f t="shared" si="53"/>
        <v/>
      </c>
      <c r="R1106" t="s">
        <v>50</v>
      </c>
    </row>
    <row r="1107" spans="1:18" x14ac:dyDescent="0.3">
      <c r="A1107" s="1" t="d">
        <v>2025-08-13</v>
      </c>
      <c r="B1107">
        <v>45505</v>
      </c>
      <c r="C1107" t="str">
        <f>VLOOKUP(Fato_Producao[[#This Row],[referencia]], Dim_Produtos!A:B,2,FALSE)</f>
        <v>camarao</v>
      </c>
      <c r="D1107">
        <v>2109</v>
      </c>
      <c r="E1107">
        <v>1920</v>
      </c>
      <c r="F1107" s="5">
        <v>8.9599999999999999E-2</v>
      </c>
      <c r="G1107" s="6">
        <v>56.7</v>
      </c>
      <c r="H1107">
        <v>49</v>
      </c>
      <c r="I1107">
        <v>134</v>
      </c>
      <c r="J1107">
        <v>6</v>
      </c>
      <c r="K1107">
        <f>Fato_Producao[[#This Row],[embalagens_danificadas]]+Fato_Producao[[#This Row],[peso_errado]]+Fato_Producao[[#This Row],[impressao]]</f>
        <v>189</v>
      </c>
      <c r="L1107" s="1" t="d">
        <v>2025-06-29</v>
      </c>
      <c r="M1107">
        <v>45</v>
      </c>
      <c r="N1107" s="7">
        <v>8.51</v>
      </c>
      <c r="O1107" s="4" t="str">
        <f t="shared" si="51"/>
        <v>agosto</v>
      </c>
      <c r="P1107" s="4">
        <f t="shared" si="52"/>
        <v>2025</v>
      </c>
      <c r="Q1107" s="4">
        <f t="shared" si="53"/>
        <v>45</v>
      </c>
      <c r="R1107" t="s">
        <v>24</v>
      </c>
    </row>
    <row r="1108" spans="1:18" x14ac:dyDescent="0.3">
      <c r="A1108" s="1" t="d">
        <v>2025-08-14</v>
      </c>
      <c r="B1108">
        <v>45500</v>
      </c>
      <c r="C1108" t="str">
        <f>VLOOKUP(Fato_Producao[[#This Row],[referencia]], Dim_Produtos!A:B,2,FALSE)</f>
        <v>filete pescada</v>
      </c>
      <c r="D1108">
        <v>3310</v>
      </c>
      <c r="E1108">
        <v>3208</v>
      </c>
      <c r="F1108" s="5">
        <v>3.0800000000000001E-2</v>
      </c>
      <c r="G1108" s="6">
        <v>28.56</v>
      </c>
      <c r="H1108">
        <v>2</v>
      </c>
      <c r="I1108">
        <v>97</v>
      </c>
      <c r="J1108">
        <v>3</v>
      </c>
      <c r="K1108">
        <f>Fato_Producao[[#This Row],[embalagens_danificadas]]+Fato_Producao[[#This Row],[peso_errado]]+Fato_Producao[[#This Row],[impressao]]</f>
        <v>102</v>
      </c>
      <c r="L1108" s="1" t="d">
        <v>2025-08-14</v>
      </c>
      <c r="M1108">
        <v>0</v>
      </c>
      <c r="N1108" s="7">
        <v>3.43</v>
      </c>
      <c r="O1108" s="4" t="str">
        <f t="shared" si="51"/>
        <v>agosto</v>
      </c>
      <c r="P1108" s="4">
        <f t="shared" si="52"/>
        <v>2025</v>
      </c>
      <c r="Q1108" s="4" t="str">
        <f t="shared" si="53"/>
        <v/>
      </c>
      <c r="R1108" t="s">
        <v>24</v>
      </c>
    </row>
    <row r="1109" spans="1:18" x14ac:dyDescent="0.3">
      <c r="A1109" s="1" t="d">
        <v>2025-08-14</v>
      </c>
      <c r="B1109">
        <v>45508</v>
      </c>
      <c r="C1109" t="str">
        <f>VLOOKUP(Fato_Producao[[#This Row],[referencia]], Dim_Produtos!A:B,2,FALSE)</f>
        <v>lula suja</v>
      </c>
      <c r="D1109">
        <v>2175</v>
      </c>
      <c r="E1109">
        <v>2009</v>
      </c>
      <c r="F1109" s="5">
        <v>7.6300000000000007E-2</v>
      </c>
      <c r="G1109" s="6">
        <v>53.12</v>
      </c>
      <c r="H1109">
        <v>19</v>
      </c>
      <c r="I1109">
        <v>145</v>
      </c>
      <c r="J1109">
        <v>2</v>
      </c>
      <c r="K1109">
        <f>Fato_Producao[[#This Row],[embalagens_danificadas]]+Fato_Producao[[#This Row],[peso_errado]]+Fato_Producao[[#This Row],[impressao]]</f>
        <v>166</v>
      </c>
      <c r="L1109" s="1" t="d">
        <v>2025-08-14</v>
      </c>
      <c r="M1109">
        <v>0</v>
      </c>
      <c r="N1109" s="7">
        <v>7.44</v>
      </c>
      <c r="O1109" s="4" t="str">
        <f t="shared" si="51"/>
        <v>agosto</v>
      </c>
      <c r="P1109" s="4">
        <f t="shared" si="52"/>
        <v>2025</v>
      </c>
      <c r="Q1109" s="4" t="str">
        <f t="shared" si="53"/>
        <v/>
      </c>
      <c r="R1109" t="s">
        <v>24</v>
      </c>
    </row>
    <row r="1110" spans="1:18" x14ac:dyDescent="0.3">
      <c r="A1110" s="1" t="d">
        <v>2025-08-15</v>
      </c>
      <c r="B1110">
        <v>45503</v>
      </c>
      <c r="C1110" t="str">
        <f>VLOOKUP(Fato_Producao[[#This Row],[referencia]], Dim_Produtos!A:B,2,FALSE)</f>
        <v>sardinha pequena</v>
      </c>
      <c r="D1110">
        <v>3756</v>
      </c>
      <c r="E1110">
        <v>3526</v>
      </c>
      <c r="F1110" s="5">
        <v>6.1199999999999997E-2</v>
      </c>
      <c r="G1110" s="6">
        <v>59.8</v>
      </c>
      <c r="H1110">
        <v>13</v>
      </c>
      <c r="I1110">
        <v>212</v>
      </c>
      <c r="J1110">
        <v>5</v>
      </c>
      <c r="K1110">
        <f>Fato_Producao[[#This Row],[embalagens_danificadas]]+Fato_Producao[[#This Row],[peso_errado]]+Fato_Producao[[#This Row],[impressao]]</f>
        <v>230</v>
      </c>
      <c r="L1110" s="1" t="d">
        <v>2025-08-14</v>
      </c>
      <c r="M1110">
        <v>1</v>
      </c>
      <c r="N1110" s="7">
        <v>6.58</v>
      </c>
      <c r="O1110" s="4" t="str">
        <f t="shared" si="51"/>
        <v>agosto</v>
      </c>
      <c r="P1110" s="4">
        <f t="shared" si="52"/>
        <v>2025</v>
      </c>
      <c r="Q1110" s="4" t="str">
        <f t="shared" si="53"/>
        <v/>
      </c>
      <c r="R1110" t="s">
        <v>24</v>
      </c>
    </row>
    <row r="1111" spans="1:18" x14ac:dyDescent="0.3">
      <c r="A1111" s="1" t="d">
        <v>2025-08-16</v>
      </c>
      <c r="B1111">
        <v>45508</v>
      </c>
      <c r="C1111" t="str">
        <f>VLOOKUP(Fato_Producao[[#This Row],[referencia]], Dim_Produtos!A:B,2,FALSE)</f>
        <v>lula suja</v>
      </c>
      <c r="D1111">
        <v>1812</v>
      </c>
      <c r="E1111">
        <v>1684</v>
      </c>
      <c r="F1111" s="5">
        <v>7.0599999999999996E-2</v>
      </c>
      <c r="G1111" s="6">
        <v>40.96</v>
      </c>
      <c r="H1111">
        <v>14</v>
      </c>
      <c r="I1111">
        <v>111</v>
      </c>
      <c r="J1111">
        <v>3</v>
      </c>
      <c r="K1111">
        <f>Fato_Producao[[#This Row],[embalagens_danificadas]]+Fato_Producao[[#This Row],[peso_errado]]+Fato_Producao[[#This Row],[impressao]]</f>
        <v>128</v>
      </c>
      <c r="L1111" s="1" t="d">
        <v>2025-08-14</v>
      </c>
      <c r="M1111">
        <v>2</v>
      </c>
      <c r="N1111" s="7">
        <v>5.73</v>
      </c>
      <c r="O1111" s="4" t="str">
        <f t="shared" si="51"/>
        <v>agosto</v>
      </c>
      <c r="P1111" s="4">
        <f t="shared" si="52"/>
        <v>2025</v>
      </c>
      <c r="Q1111" s="4" t="str">
        <f t="shared" si="53"/>
        <v/>
      </c>
      <c r="R1111" t="s">
        <v>24</v>
      </c>
    </row>
    <row r="1112" spans="1:18" x14ac:dyDescent="0.3">
      <c r="A1112" s="1" t="d">
        <v>2025-08-16</v>
      </c>
      <c r="B1112">
        <v>45505</v>
      </c>
      <c r="C1112" t="str">
        <f>VLOOKUP(Fato_Producao[[#This Row],[referencia]], Dim_Produtos!A:B,2,FALSE)</f>
        <v>camarao</v>
      </c>
      <c r="D1112">
        <v>3014</v>
      </c>
      <c r="E1112">
        <v>2836</v>
      </c>
      <c r="F1112" s="5">
        <v>5.91E-2</v>
      </c>
      <c r="G1112" s="6">
        <v>53.4</v>
      </c>
      <c r="H1112">
        <v>34</v>
      </c>
      <c r="I1112">
        <v>138</v>
      </c>
      <c r="J1112">
        <v>6</v>
      </c>
      <c r="K1112">
        <f>Fato_Producao[[#This Row],[embalagens_danificadas]]+Fato_Producao[[#This Row],[peso_errado]]+Fato_Producao[[#This Row],[impressao]]</f>
        <v>178</v>
      </c>
      <c r="L1112" s="1" t="d">
        <v>2025-08-14</v>
      </c>
      <c r="M1112">
        <v>2</v>
      </c>
      <c r="N1112" s="7">
        <v>8.01</v>
      </c>
      <c r="O1112" s="4" t="str">
        <f t="shared" si="51"/>
        <v>agosto</v>
      </c>
      <c r="P1112" s="4">
        <f t="shared" si="52"/>
        <v>2025</v>
      </c>
      <c r="Q1112" s="4" t="str">
        <f t="shared" si="53"/>
        <v/>
      </c>
      <c r="R1112" t="s">
        <v>24</v>
      </c>
    </row>
    <row r="1113" spans="1:18" x14ac:dyDescent="0.3">
      <c r="A1113" s="1" t="d">
        <v>2025-08-17</v>
      </c>
      <c r="B1113">
        <v>45507</v>
      </c>
      <c r="C1113" t="str">
        <f>VLOOKUP(Fato_Producao[[#This Row],[referencia]], Dim_Produtos!A:B,2,FALSE)</f>
        <v>salmao posta</v>
      </c>
      <c r="D1113">
        <v>3578</v>
      </c>
      <c r="E1113">
        <v>3391</v>
      </c>
      <c r="F1113" s="5">
        <v>5.2299999999999999E-2</v>
      </c>
      <c r="G1113" s="6">
        <v>65.45</v>
      </c>
      <c r="H1113">
        <v>10</v>
      </c>
      <c r="I1113">
        <v>173</v>
      </c>
      <c r="J1113">
        <v>4</v>
      </c>
      <c r="K1113">
        <f>Fato_Producao[[#This Row],[embalagens_danificadas]]+Fato_Producao[[#This Row],[peso_errado]]+Fato_Producao[[#This Row],[impressao]]</f>
        <v>187</v>
      </c>
      <c r="L1113" s="1" t="d">
        <v>2025-08-14</v>
      </c>
      <c r="M1113">
        <v>3</v>
      </c>
      <c r="N1113" s="7">
        <v>10.47</v>
      </c>
      <c r="O1113" s="4" t="str">
        <f t="shared" si="51"/>
        <v>agosto</v>
      </c>
      <c r="P1113" s="4">
        <f t="shared" si="52"/>
        <v>2025</v>
      </c>
      <c r="Q1113" s="4" t="str">
        <f t="shared" si="53"/>
        <v/>
      </c>
      <c r="R1113" t="s">
        <v>24</v>
      </c>
    </row>
    <row r="1114" spans="1:18" x14ac:dyDescent="0.3">
      <c r="A1114" s="1" t="d">
        <v>2025-08-17</v>
      </c>
      <c r="B1114">
        <v>45508</v>
      </c>
      <c r="C1114" t="str">
        <f>VLOOKUP(Fato_Producao[[#This Row],[referencia]], Dim_Produtos!A:B,2,FALSE)</f>
        <v>lula suja</v>
      </c>
      <c r="D1114">
        <v>3188</v>
      </c>
      <c r="E1114">
        <v>2902</v>
      </c>
      <c r="F1114" s="5">
        <v>8.9700000000000002E-2</v>
      </c>
      <c r="G1114" s="6">
        <v>91.52</v>
      </c>
      <c r="H1114">
        <v>32</v>
      </c>
      <c r="I1114">
        <v>248</v>
      </c>
      <c r="J1114">
        <v>6</v>
      </c>
      <c r="K1114">
        <f>Fato_Producao[[#This Row],[embalagens_danificadas]]+Fato_Producao[[#This Row],[peso_errado]]+Fato_Producao[[#This Row],[impressao]]</f>
        <v>286</v>
      </c>
      <c r="L1114" s="1" t="d">
        <v>2025-08-14</v>
      </c>
      <c r="M1114">
        <v>3</v>
      </c>
      <c r="N1114" s="7">
        <v>12.81</v>
      </c>
      <c r="O1114" s="4" t="str">
        <f t="shared" si="51"/>
        <v>agosto</v>
      </c>
      <c r="P1114" s="4">
        <f t="shared" si="52"/>
        <v>2025</v>
      </c>
      <c r="Q1114" s="4" t="str">
        <f t="shared" si="53"/>
        <v/>
      </c>
      <c r="R1114" t="s">
        <v>24</v>
      </c>
    </row>
    <row r="1115" spans="1:18" x14ac:dyDescent="0.3">
      <c r="A1115" s="1" t="d">
        <v>2025-08-18</v>
      </c>
      <c r="B1115">
        <v>45511</v>
      </c>
      <c r="C1115" t="str">
        <f>VLOOKUP(Fato_Producao[[#This Row],[referencia]], Dim_Produtos!A:B,2,FALSE)</f>
        <v>lula limpa</v>
      </c>
      <c r="D1115">
        <v>3228</v>
      </c>
      <c r="E1115">
        <v>3014</v>
      </c>
      <c r="F1115" s="5">
        <v>6.6299999999999998E-2</v>
      </c>
      <c r="G1115" s="6">
        <v>68.48</v>
      </c>
      <c r="H1115">
        <v>27</v>
      </c>
      <c r="I1115">
        <v>184</v>
      </c>
      <c r="J1115">
        <v>3</v>
      </c>
      <c r="K1115">
        <f>Fato_Producao[[#This Row],[embalagens_danificadas]]+Fato_Producao[[#This Row],[peso_errado]]+Fato_Producao[[#This Row],[impressao]]</f>
        <v>214</v>
      </c>
      <c r="L1115" s="1" t="d">
        <v>2025-08-14</v>
      </c>
      <c r="M1115">
        <v>4</v>
      </c>
      <c r="N1115" s="7">
        <v>9.59</v>
      </c>
      <c r="O1115" s="4" t="str">
        <f t="shared" si="51"/>
        <v>agosto</v>
      </c>
      <c r="P1115" s="4">
        <f t="shared" si="52"/>
        <v>2025</v>
      </c>
      <c r="Q1115" s="4" t="str">
        <f t="shared" si="53"/>
        <v/>
      </c>
      <c r="R1115" t="s">
        <v>24</v>
      </c>
    </row>
    <row r="1116" spans="1:18" x14ac:dyDescent="0.3">
      <c r="A1116" s="1" t="d">
        <v>2025-08-18</v>
      </c>
      <c r="B1116">
        <v>45513</v>
      </c>
      <c r="C1116" t="str">
        <f>VLOOKUP(Fato_Producao[[#This Row],[referencia]], Dim_Produtos!A:B,2,FALSE)</f>
        <v>filete pescada</v>
      </c>
      <c r="D1116">
        <v>2912</v>
      </c>
      <c r="E1116">
        <v>2750</v>
      </c>
      <c r="F1116" s="5">
        <v>5.5599999999999997E-2</v>
      </c>
      <c r="G1116" s="6">
        <v>51.84</v>
      </c>
      <c r="H1116">
        <v>10</v>
      </c>
      <c r="I1116">
        <v>149</v>
      </c>
      <c r="J1116">
        <v>3</v>
      </c>
      <c r="K1116">
        <f>Fato_Producao[[#This Row],[embalagens_danificadas]]+Fato_Producao[[#This Row],[peso_errado]]+Fato_Producao[[#This Row],[impressao]]</f>
        <v>162</v>
      </c>
      <c r="L1116" s="1" t="d">
        <v>2025-08-14</v>
      </c>
      <c r="M1116">
        <v>4</v>
      </c>
      <c r="N1116" s="7">
        <v>6.74</v>
      </c>
      <c r="O1116" s="4" t="str">
        <f t="shared" si="51"/>
        <v>agosto</v>
      </c>
      <c r="P1116" s="4">
        <f t="shared" si="52"/>
        <v>2025</v>
      </c>
      <c r="Q1116" s="4" t="str">
        <f t="shared" si="53"/>
        <v/>
      </c>
      <c r="R1116" t="s">
        <v>24</v>
      </c>
    </row>
    <row r="1117" spans="1:18" x14ac:dyDescent="0.3">
      <c r="A1117" s="1" t="d">
        <v>2025-08-19</v>
      </c>
      <c r="B1117">
        <v>45508</v>
      </c>
      <c r="C1117" t="str">
        <f>VLOOKUP(Fato_Producao[[#This Row],[referencia]], Dim_Produtos!A:B,2,FALSE)</f>
        <v>lula suja</v>
      </c>
      <c r="D1117">
        <v>1946</v>
      </c>
      <c r="E1117">
        <v>1779</v>
      </c>
      <c r="F1117" s="5">
        <v>8.5800000000000001E-2</v>
      </c>
      <c r="G1117" s="6">
        <v>53.44</v>
      </c>
      <c r="H1117">
        <v>19</v>
      </c>
      <c r="I1117">
        <v>146</v>
      </c>
      <c r="J1117">
        <v>2</v>
      </c>
      <c r="K1117">
        <f>Fato_Producao[[#This Row],[embalagens_danificadas]]+Fato_Producao[[#This Row],[peso_errado]]+Fato_Producao[[#This Row],[impressao]]</f>
        <v>167</v>
      </c>
      <c r="L1117" s="1" t="d">
        <v>2025-08-14</v>
      </c>
      <c r="M1117">
        <v>5</v>
      </c>
      <c r="N1117" s="7">
        <v>7.48</v>
      </c>
      <c r="O1117" s="4" t="str">
        <f t="shared" si="51"/>
        <v>agosto</v>
      </c>
      <c r="P1117" s="4">
        <f t="shared" si="52"/>
        <v>2025</v>
      </c>
      <c r="Q1117" s="4" t="str">
        <f t="shared" si="53"/>
        <v/>
      </c>
      <c r="R1117" t="s">
        <v>24</v>
      </c>
    </row>
    <row r="1118" spans="1:18" x14ac:dyDescent="0.3">
      <c r="A1118" s="1" t="d">
        <v>2025-08-19</v>
      </c>
      <c r="B1118">
        <v>45500</v>
      </c>
      <c r="C1118" t="str">
        <f>VLOOKUP(Fato_Producao[[#This Row],[referencia]], Dim_Produtos!A:B,2,FALSE)</f>
        <v>filete pescada</v>
      </c>
      <c r="D1118">
        <v>3209</v>
      </c>
      <c r="E1118">
        <v>3071</v>
      </c>
      <c r="F1118" s="5">
        <v>4.2999999999999997E-2</v>
      </c>
      <c r="G1118" s="6">
        <v>38.64</v>
      </c>
      <c r="H1118">
        <v>3</v>
      </c>
      <c r="I1118">
        <v>132</v>
      </c>
      <c r="J1118">
        <v>3</v>
      </c>
      <c r="K1118">
        <f>Fato_Producao[[#This Row],[embalagens_danificadas]]+Fato_Producao[[#This Row],[peso_errado]]+Fato_Producao[[#This Row],[impressao]]</f>
        <v>138</v>
      </c>
      <c r="L1118" s="1" t="d">
        <v>2025-08-14</v>
      </c>
      <c r="M1118">
        <v>5</v>
      </c>
      <c r="N1118" s="7">
        <v>4.6399999999999997</v>
      </c>
      <c r="O1118" s="4" t="str">
        <f t="shared" si="51"/>
        <v>agosto</v>
      </c>
      <c r="P1118" s="4">
        <f t="shared" si="52"/>
        <v>2025</v>
      </c>
      <c r="Q1118" s="4" t="str">
        <f t="shared" si="53"/>
        <v/>
      </c>
      <c r="R1118" t="s">
        <v>24</v>
      </c>
    </row>
    <row r="1119" spans="1:18" x14ac:dyDescent="0.3">
      <c r="A1119" s="1" t="d">
        <v>2025-08-20</v>
      </c>
      <c r="B1119">
        <v>45513</v>
      </c>
      <c r="C1119" t="str">
        <f>VLOOKUP(Fato_Producao[[#This Row],[referencia]], Dim_Produtos!A:B,2,FALSE)</f>
        <v>filete pescada</v>
      </c>
      <c r="D1119">
        <v>3044</v>
      </c>
      <c r="E1119">
        <v>2909</v>
      </c>
      <c r="F1119" s="5">
        <v>4.4299999999999999E-2</v>
      </c>
      <c r="G1119" s="6">
        <v>43.2</v>
      </c>
      <c r="H1119">
        <v>7</v>
      </c>
      <c r="I1119">
        <v>127</v>
      </c>
      <c r="J1119">
        <v>1</v>
      </c>
      <c r="K1119">
        <f>Fato_Producao[[#This Row],[embalagens_danificadas]]+Fato_Producao[[#This Row],[peso_errado]]+Fato_Producao[[#This Row],[impressao]]</f>
        <v>135</v>
      </c>
      <c r="L1119" s="1" t="d">
        <v>2025-08-14</v>
      </c>
      <c r="M1119">
        <v>6</v>
      </c>
      <c r="N1119" s="7">
        <v>5.62</v>
      </c>
      <c r="O1119" s="4" t="str">
        <f t="shared" si="51"/>
        <v>agosto</v>
      </c>
      <c r="P1119" s="4">
        <f t="shared" si="52"/>
        <v>2025</v>
      </c>
      <c r="Q1119" s="4" t="str">
        <f t="shared" si="53"/>
        <v/>
      </c>
      <c r="R1119" t="s">
        <v>24</v>
      </c>
    </row>
    <row r="1120" spans="1:18" x14ac:dyDescent="0.3">
      <c r="A1120" s="1" t="d">
        <v>2025-08-20</v>
      </c>
      <c r="B1120">
        <v>45501</v>
      </c>
      <c r="C1120" t="str">
        <f>VLOOKUP(Fato_Producao[[#This Row],[referencia]], Dim_Produtos!A:B,2,FALSE)</f>
        <v>pescada posta cozer</v>
      </c>
      <c r="D1120">
        <v>3106</v>
      </c>
      <c r="E1120">
        <v>2934</v>
      </c>
      <c r="F1120" s="5">
        <v>5.5399999999999998E-2</v>
      </c>
      <c r="G1120" s="6">
        <v>55.04</v>
      </c>
      <c r="H1120">
        <v>77</v>
      </c>
      <c r="I1120">
        <v>34</v>
      </c>
      <c r="J1120">
        <v>61</v>
      </c>
      <c r="K1120">
        <f>Fato_Producao[[#This Row],[embalagens_danificadas]]+Fato_Producao[[#This Row],[peso_errado]]+Fato_Producao[[#This Row],[impressao]]</f>
        <v>172</v>
      </c>
      <c r="L1120" s="1" t="d">
        <v>2025-08-14</v>
      </c>
      <c r="M1120">
        <v>6</v>
      </c>
      <c r="N1120" s="7">
        <v>7.71</v>
      </c>
      <c r="O1120" s="4" t="str">
        <f t="shared" si="51"/>
        <v>agosto</v>
      </c>
      <c r="P1120" s="4">
        <f t="shared" si="52"/>
        <v>2025</v>
      </c>
      <c r="Q1120" s="4" t="str">
        <f t="shared" si="53"/>
        <v/>
      </c>
      <c r="R1120" t="s">
        <v>50</v>
      </c>
    </row>
    <row r="1121" spans="1:18" x14ac:dyDescent="0.3">
      <c r="A1121" s="1" t="d">
        <v>2025-08-21</v>
      </c>
      <c r="B1121">
        <v>45512</v>
      </c>
      <c r="C1121" t="str">
        <f>VLOOKUP(Fato_Producao[[#This Row],[referencia]], Dim_Produtos!A:B,2,FALSE)</f>
        <v>red-fish posta</v>
      </c>
      <c r="D1121">
        <v>3144</v>
      </c>
      <c r="E1121">
        <v>2968</v>
      </c>
      <c r="F1121" s="5">
        <v>5.6000000000000001E-2</v>
      </c>
      <c r="G1121" s="6">
        <v>59.84</v>
      </c>
      <c r="H1121">
        <v>3</v>
      </c>
      <c r="I1121">
        <v>168</v>
      </c>
      <c r="J1121">
        <v>5</v>
      </c>
      <c r="K1121">
        <f>Fato_Producao[[#This Row],[embalagens_danificadas]]+Fato_Producao[[#This Row],[peso_errado]]+Fato_Producao[[#This Row],[impressao]]</f>
        <v>176</v>
      </c>
      <c r="L1121" s="1" t="d">
        <v>2025-08-14</v>
      </c>
      <c r="M1121">
        <v>7</v>
      </c>
      <c r="N1121" s="7">
        <v>8.3800000000000008</v>
      </c>
      <c r="O1121" s="4" t="str">
        <f t="shared" si="51"/>
        <v>agosto</v>
      </c>
      <c r="P1121" s="4">
        <f t="shared" si="52"/>
        <v>2025</v>
      </c>
      <c r="Q1121" s="4" t="str">
        <f t="shared" si="53"/>
        <v/>
      </c>
      <c r="R1121" t="s">
        <v>24</v>
      </c>
    </row>
    <row r="1122" spans="1:18" x14ac:dyDescent="0.3">
      <c r="A1122" s="1" t="d">
        <v>2025-08-22</v>
      </c>
      <c r="B1122">
        <v>45506</v>
      </c>
      <c r="C1122" t="str">
        <f>VLOOKUP(Fato_Producao[[#This Row],[referencia]], Dim_Produtos!A:B,2,FALSE)</f>
        <v>perca posta</v>
      </c>
      <c r="D1122">
        <v>3015</v>
      </c>
      <c r="E1122">
        <v>2880</v>
      </c>
      <c r="F1122" s="5">
        <v>4.48E-2</v>
      </c>
      <c r="G1122" s="6">
        <v>47.25</v>
      </c>
      <c r="H1122">
        <v>7</v>
      </c>
      <c r="I1122">
        <v>127</v>
      </c>
      <c r="J1122">
        <v>1</v>
      </c>
      <c r="K1122">
        <f>Fato_Producao[[#This Row],[embalagens_danificadas]]+Fato_Producao[[#This Row],[peso_errado]]+Fato_Producao[[#This Row],[impressao]]</f>
        <v>135</v>
      </c>
      <c r="L1122" s="1" t="d">
        <v>2025-08-14</v>
      </c>
      <c r="M1122">
        <v>8</v>
      </c>
      <c r="N1122" s="7">
        <v>7.09</v>
      </c>
      <c r="O1122" s="4" t="str">
        <f t="shared" si="51"/>
        <v>agosto</v>
      </c>
      <c r="P1122" s="4">
        <f t="shared" si="52"/>
        <v>2025</v>
      </c>
      <c r="Q1122" s="4" t="str">
        <f t="shared" si="53"/>
        <v/>
      </c>
      <c r="R1122" t="s">
        <v>24</v>
      </c>
    </row>
    <row r="1123" spans="1:18" x14ac:dyDescent="0.3">
      <c r="A1123" s="1" t="d">
        <v>2025-08-22</v>
      </c>
      <c r="B1123">
        <v>45507</v>
      </c>
      <c r="C1123" t="str">
        <f>VLOOKUP(Fato_Producao[[#This Row],[referencia]], Dim_Produtos!A:B,2,FALSE)</f>
        <v>salmao posta</v>
      </c>
      <c r="D1123">
        <v>1810</v>
      </c>
      <c r="E1123">
        <v>1695</v>
      </c>
      <c r="F1123" s="5">
        <v>6.3500000000000001E-2</v>
      </c>
      <c r="G1123" s="6">
        <v>40.25</v>
      </c>
      <c r="H1123">
        <v>8</v>
      </c>
      <c r="I1123">
        <v>106</v>
      </c>
      <c r="J1123">
        <v>1</v>
      </c>
      <c r="K1123">
        <f>Fato_Producao[[#This Row],[embalagens_danificadas]]+Fato_Producao[[#This Row],[peso_errado]]+Fato_Producao[[#This Row],[impressao]]</f>
        <v>115</v>
      </c>
      <c r="L1123" s="1" t="d">
        <v>2025-08-14</v>
      </c>
      <c r="M1123">
        <v>8</v>
      </c>
      <c r="N1123" s="7">
        <v>6.44</v>
      </c>
      <c r="O1123" s="4" t="str">
        <f t="shared" si="51"/>
        <v>agosto</v>
      </c>
      <c r="P1123" s="4">
        <f t="shared" si="52"/>
        <v>2025</v>
      </c>
      <c r="Q1123" s="4" t="str">
        <f t="shared" si="53"/>
        <v/>
      </c>
      <c r="R1123" t="s">
        <v>24</v>
      </c>
    </row>
    <row r="1124" spans="1:18" x14ac:dyDescent="0.3">
      <c r="A1124" s="1" t="d">
        <v>2025-08-23</v>
      </c>
      <c r="B1124">
        <v>45503</v>
      </c>
      <c r="C1124" t="str">
        <f>VLOOKUP(Fato_Producao[[#This Row],[referencia]], Dim_Produtos!A:B,2,FALSE)</f>
        <v>sardinha pequena</v>
      </c>
      <c r="D1124">
        <v>3174</v>
      </c>
      <c r="E1124">
        <v>2946</v>
      </c>
      <c r="F1124" s="5">
        <v>7.1800000000000003E-2</v>
      </c>
      <c r="G1124" s="6">
        <v>59.28</v>
      </c>
      <c r="H1124">
        <v>17</v>
      </c>
      <c r="I1124">
        <v>208</v>
      </c>
      <c r="J1124">
        <v>3</v>
      </c>
      <c r="K1124">
        <f>Fato_Producao[[#This Row],[embalagens_danificadas]]+Fato_Producao[[#This Row],[peso_errado]]+Fato_Producao[[#This Row],[impressao]]</f>
        <v>228</v>
      </c>
      <c r="L1124" s="1" t="d">
        <v>2025-08-14</v>
      </c>
      <c r="M1124">
        <v>9</v>
      </c>
      <c r="N1124" s="7">
        <v>6.52</v>
      </c>
      <c r="O1124" s="4" t="str">
        <f t="shared" si="51"/>
        <v>agosto</v>
      </c>
      <c r="P1124" s="4">
        <f t="shared" si="52"/>
        <v>2025</v>
      </c>
      <c r="Q1124" s="4" t="str">
        <f t="shared" si="53"/>
        <v/>
      </c>
      <c r="R1124" t="s">
        <v>24</v>
      </c>
    </row>
    <row r="1125" spans="1:18" x14ac:dyDescent="0.3">
      <c r="A1125" s="1" t="d">
        <v>2025-08-24</v>
      </c>
      <c r="B1125">
        <v>45507</v>
      </c>
      <c r="C1125" t="str">
        <f>VLOOKUP(Fato_Producao[[#This Row],[referencia]], Dim_Produtos!A:B,2,FALSE)</f>
        <v>salmao posta</v>
      </c>
      <c r="D1125">
        <v>2003</v>
      </c>
      <c r="E1125">
        <v>1937</v>
      </c>
      <c r="F1125" s="5">
        <v>3.3000000000000002E-2</v>
      </c>
      <c r="G1125" s="6">
        <v>23.1</v>
      </c>
      <c r="H1125">
        <v>2</v>
      </c>
      <c r="I1125">
        <v>63</v>
      </c>
      <c r="J1125">
        <v>1</v>
      </c>
      <c r="K1125">
        <f>Fato_Producao[[#This Row],[embalagens_danificadas]]+Fato_Producao[[#This Row],[peso_errado]]+Fato_Producao[[#This Row],[impressao]]</f>
        <v>66</v>
      </c>
      <c r="L1125" s="1" t="d">
        <v>2025-08-14</v>
      </c>
      <c r="M1125">
        <v>10</v>
      </c>
      <c r="N1125" s="7">
        <v>3.7</v>
      </c>
      <c r="O1125" s="4" t="str">
        <f t="shared" si="51"/>
        <v>agosto</v>
      </c>
      <c r="P1125" s="4">
        <f t="shared" si="52"/>
        <v>2025</v>
      </c>
      <c r="Q1125" s="4" t="str">
        <f t="shared" si="53"/>
        <v/>
      </c>
      <c r="R1125" t="s">
        <v>24</v>
      </c>
    </row>
    <row r="1126" spans="1:18" x14ac:dyDescent="0.3">
      <c r="A1126" s="1" t="d">
        <v>2025-08-24</v>
      </c>
      <c r="B1126">
        <v>45503</v>
      </c>
      <c r="C1126" t="str">
        <f>VLOOKUP(Fato_Producao[[#This Row],[referencia]], Dim_Produtos!A:B,2,FALSE)</f>
        <v>sardinha pequena</v>
      </c>
      <c r="D1126">
        <v>2854</v>
      </c>
      <c r="E1126">
        <v>2619</v>
      </c>
      <c r="F1126" s="5">
        <v>8.2299999999999998E-2</v>
      </c>
      <c r="G1126" s="6">
        <v>61.1</v>
      </c>
      <c r="H1126">
        <v>4</v>
      </c>
      <c r="I1126">
        <v>225</v>
      </c>
      <c r="J1126">
        <v>6</v>
      </c>
      <c r="K1126">
        <f>Fato_Producao[[#This Row],[embalagens_danificadas]]+Fato_Producao[[#This Row],[peso_errado]]+Fato_Producao[[#This Row],[impressao]]</f>
        <v>235</v>
      </c>
      <c r="L1126" s="1" t="d">
        <v>2025-08-14</v>
      </c>
      <c r="M1126">
        <v>10</v>
      </c>
      <c r="N1126" s="7">
        <v>6.72</v>
      </c>
      <c r="O1126" s="4" t="str">
        <f t="shared" si="51"/>
        <v>agosto</v>
      </c>
      <c r="P1126" s="4">
        <f t="shared" si="52"/>
        <v>2025</v>
      </c>
      <c r="Q1126" s="4" t="str">
        <f t="shared" si="53"/>
        <v/>
      </c>
      <c r="R1126" t="s">
        <v>24</v>
      </c>
    </row>
    <row r="1127" spans="1:18" x14ac:dyDescent="0.3">
      <c r="A1127" s="1" t="d">
        <v>2025-08-25</v>
      </c>
      <c r="B1127">
        <v>45502</v>
      </c>
      <c r="C1127" t="str">
        <f>VLOOKUP(Fato_Producao[[#This Row],[referencia]], Dim_Produtos!A:B,2,FALSE)</f>
        <v>carapau pelim</v>
      </c>
      <c r="D1127">
        <v>3577</v>
      </c>
      <c r="E1127">
        <v>3361</v>
      </c>
      <c r="F1127" s="5">
        <v>6.0400000000000002E-2</v>
      </c>
      <c r="G1127" s="6">
        <v>64.8</v>
      </c>
      <c r="H1127">
        <v>44</v>
      </c>
      <c r="I1127">
        <v>165</v>
      </c>
      <c r="J1127">
        <v>7</v>
      </c>
      <c r="K1127">
        <f>Fato_Producao[[#This Row],[embalagens_danificadas]]+Fato_Producao[[#This Row],[peso_errado]]+Fato_Producao[[#This Row],[impressao]]</f>
        <v>216</v>
      </c>
      <c r="L1127" s="1" t="d">
        <v>2025-08-14</v>
      </c>
      <c r="M1127">
        <v>11</v>
      </c>
      <c r="N1127" s="7">
        <v>8.42</v>
      </c>
      <c r="O1127" s="4" t="str">
        <f t="shared" si="51"/>
        <v>agosto</v>
      </c>
      <c r="P1127" s="4">
        <f t="shared" si="52"/>
        <v>2025</v>
      </c>
      <c r="Q1127" s="4" t="str">
        <f t="shared" si="53"/>
        <v/>
      </c>
      <c r="R1127" t="s">
        <v>24</v>
      </c>
    </row>
    <row r="1128" spans="1:18" x14ac:dyDescent="0.3">
      <c r="A1128" s="1" t="d">
        <v>2025-08-26</v>
      </c>
      <c r="B1128">
        <v>45514</v>
      </c>
      <c r="C1128" t="str">
        <f>VLOOKUP(Fato_Producao[[#This Row],[referencia]], Dim_Produtos!A:B,2,FALSE)</f>
        <v>sardinha pequena</v>
      </c>
      <c r="D1128">
        <v>2673</v>
      </c>
      <c r="E1128">
        <v>2503</v>
      </c>
      <c r="F1128" s="5">
        <v>6.3600000000000004E-2</v>
      </c>
      <c r="G1128" s="6">
        <v>51</v>
      </c>
      <c r="H1128">
        <v>7</v>
      </c>
      <c r="I1128">
        <v>159</v>
      </c>
      <c r="J1128">
        <v>4</v>
      </c>
      <c r="K1128">
        <f>Fato_Producao[[#This Row],[embalagens_danificadas]]+Fato_Producao[[#This Row],[peso_errado]]+Fato_Producao[[#This Row],[impressao]]</f>
        <v>170</v>
      </c>
      <c r="L1128" s="1" t="d">
        <v>2025-08-14</v>
      </c>
      <c r="M1128">
        <v>12</v>
      </c>
      <c r="N1128" s="7">
        <v>6.12</v>
      </c>
      <c r="O1128" s="4" t="str">
        <f t="shared" si="51"/>
        <v>agosto</v>
      </c>
      <c r="P1128" s="4">
        <f t="shared" si="52"/>
        <v>2025</v>
      </c>
      <c r="Q1128" s="4" t="str">
        <f t="shared" si="53"/>
        <v/>
      </c>
      <c r="R1128" t="s">
        <v>24</v>
      </c>
    </row>
    <row r="1129" spans="1:18" x14ac:dyDescent="0.3">
      <c r="A1129" s="1" t="d">
        <v>2025-08-27</v>
      </c>
      <c r="B1129">
        <v>45509</v>
      </c>
      <c r="C1129" t="str">
        <f>VLOOKUP(Fato_Producao[[#This Row],[referencia]], Dim_Produtos!A:B,2,FALSE)</f>
        <v>lascas bacalhau</v>
      </c>
      <c r="D1129">
        <v>3045</v>
      </c>
      <c r="E1129">
        <v>2840</v>
      </c>
      <c r="F1129" s="5">
        <v>6.7299999999999999E-2</v>
      </c>
      <c r="G1129" s="6">
        <v>57.4</v>
      </c>
      <c r="H1129">
        <v>14</v>
      </c>
      <c r="I1129">
        <v>187</v>
      </c>
      <c r="J1129">
        <v>4</v>
      </c>
      <c r="K1129">
        <f>Fato_Producao[[#This Row],[embalagens_danificadas]]+Fato_Producao[[#This Row],[peso_errado]]+Fato_Producao[[#This Row],[impressao]]</f>
        <v>205</v>
      </c>
      <c r="L1129" s="1" t="d">
        <v>2025-08-14</v>
      </c>
      <c r="M1129">
        <v>13</v>
      </c>
      <c r="N1129" s="7">
        <v>7.46</v>
      </c>
      <c r="O1129" s="4" t="str">
        <f t="shared" si="51"/>
        <v>agosto</v>
      </c>
      <c r="P1129" s="4">
        <f t="shared" si="52"/>
        <v>2025</v>
      </c>
      <c r="Q1129" s="4" t="str">
        <f t="shared" si="53"/>
        <v/>
      </c>
      <c r="R1129" t="s">
        <v>24</v>
      </c>
    </row>
    <row r="1130" spans="1:18" x14ac:dyDescent="0.3">
      <c r="A1130" s="1" t="d">
        <v>2025-08-27</v>
      </c>
      <c r="B1130">
        <v>45501</v>
      </c>
      <c r="C1130" t="str">
        <f>VLOOKUP(Fato_Producao[[#This Row],[referencia]], Dim_Produtos!A:B,2,FALSE)</f>
        <v>pescada posta cozer</v>
      </c>
      <c r="D1130">
        <v>2638</v>
      </c>
      <c r="E1130">
        <v>2475</v>
      </c>
      <c r="F1130" s="5">
        <v>6.1800000000000001E-2</v>
      </c>
      <c r="G1130" s="6">
        <v>52.16</v>
      </c>
      <c r="H1130">
        <v>6</v>
      </c>
      <c r="I1130">
        <v>155</v>
      </c>
      <c r="J1130">
        <v>2</v>
      </c>
      <c r="K1130">
        <f>Fato_Producao[[#This Row],[embalagens_danificadas]]+Fato_Producao[[#This Row],[peso_errado]]+Fato_Producao[[#This Row],[impressao]]</f>
        <v>163</v>
      </c>
      <c r="L1130" s="1" t="d">
        <v>2025-08-14</v>
      </c>
      <c r="M1130">
        <v>13</v>
      </c>
      <c r="N1130" s="7">
        <v>7.3</v>
      </c>
      <c r="O1130" s="4" t="str">
        <f t="shared" si="51"/>
        <v>agosto</v>
      </c>
      <c r="P1130" s="4">
        <f t="shared" si="52"/>
        <v>2025</v>
      </c>
      <c r="Q1130" s="4" t="str">
        <f t="shared" si="53"/>
        <v/>
      </c>
      <c r="R1130" t="s">
        <v>24</v>
      </c>
    </row>
    <row r="1131" spans="1:18" x14ac:dyDescent="0.3">
      <c r="A1131" s="1" t="d">
        <v>2025-08-28</v>
      </c>
      <c r="B1131">
        <v>45512</v>
      </c>
      <c r="C1131" t="str">
        <f>VLOOKUP(Fato_Producao[[#This Row],[referencia]], Dim_Produtos!A:B,2,FALSE)</f>
        <v>red-fish posta</v>
      </c>
      <c r="D1131">
        <v>3600</v>
      </c>
      <c r="E1131">
        <v>3376</v>
      </c>
      <c r="F1131" s="5">
        <v>6.2199999999999998E-2</v>
      </c>
      <c r="G1131" s="6">
        <v>76.16</v>
      </c>
      <c r="H1131">
        <v>6</v>
      </c>
      <c r="I1131">
        <v>212</v>
      </c>
      <c r="J1131">
        <v>6</v>
      </c>
      <c r="K1131">
        <f>Fato_Producao[[#This Row],[embalagens_danificadas]]+Fato_Producao[[#This Row],[peso_errado]]+Fato_Producao[[#This Row],[impressao]]</f>
        <v>224</v>
      </c>
      <c r="L1131" s="1" t="d">
        <v>2025-08-14</v>
      </c>
      <c r="M1131">
        <v>14</v>
      </c>
      <c r="N1131" s="7">
        <v>10.66</v>
      </c>
      <c r="O1131" s="4" t="str">
        <f t="shared" si="51"/>
        <v>agosto</v>
      </c>
      <c r="P1131" s="4">
        <f t="shared" si="52"/>
        <v>2025</v>
      </c>
      <c r="Q1131" s="4" t="str">
        <f t="shared" si="53"/>
        <v/>
      </c>
      <c r="R1131" t="s">
        <v>24</v>
      </c>
    </row>
    <row r="1132" spans="1:18" x14ac:dyDescent="0.3">
      <c r="A1132" s="1" t="d">
        <v>2025-08-28</v>
      </c>
      <c r="B1132">
        <v>45502</v>
      </c>
      <c r="C1132" t="str">
        <f>VLOOKUP(Fato_Producao[[#This Row],[referencia]], Dim_Produtos!A:B,2,FALSE)</f>
        <v>carapau pelim</v>
      </c>
      <c r="D1132">
        <v>3655</v>
      </c>
      <c r="E1132">
        <v>3440</v>
      </c>
      <c r="F1132" s="5">
        <v>5.8799999999999998E-2</v>
      </c>
      <c r="G1132" s="6">
        <v>64.5</v>
      </c>
      <c r="H1132">
        <v>57</v>
      </c>
      <c r="I1132">
        <v>150</v>
      </c>
      <c r="J1132">
        <v>8</v>
      </c>
      <c r="K1132">
        <f>Fato_Producao[[#This Row],[embalagens_danificadas]]+Fato_Producao[[#This Row],[peso_errado]]+Fato_Producao[[#This Row],[impressao]]</f>
        <v>215</v>
      </c>
      <c r="L1132" s="1" t="d">
        <v>2025-08-14</v>
      </c>
      <c r="M1132">
        <v>14</v>
      </c>
      <c r="N1132" s="7">
        <v>8.3800000000000008</v>
      </c>
      <c r="O1132" s="4" t="str">
        <f t="shared" si="51"/>
        <v>agosto</v>
      </c>
      <c r="P1132" s="4">
        <f t="shared" si="52"/>
        <v>2025</v>
      </c>
      <c r="Q1132" s="4" t="str">
        <f t="shared" si="53"/>
        <v/>
      </c>
      <c r="R1132" t="s">
        <v>24</v>
      </c>
    </row>
    <row r="1133" spans="1:18" x14ac:dyDescent="0.3">
      <c r="A1133" s="1" t="d">
        <v>2025-08-29</v>
      </c>
      <c r="B1133">
        <v>45504</v>
      </c>
      <c r="C1133" t="str">
        <f>VLOOKUP(Fato_Producao[[#This Row],[referencia]], Dim_Produtos!A:B,2,FALSE)</f>
        <v>pescada posta fritar</v>
      </c>
      <c r="D1133">
        <v>2152</v>
      </c>
      <c r="E1133">
        <v>2016</v>
      </c>
      <c r="F1133" s="5">
        <v>6.3200000000000006E-2</v>
      </c>
      <c r="G1133" s="6">
        <v>43.52</v>
      </c>
      <c r="H1133">
        <v>6</v>
      </c>
      <c r="I1133">
        <v>128</v>
      </c>
      <c r="J1133">
        <v>2</v>
      </c>
      <c r="K1133">
        <f>Fato_Producao[[#This Row],[embalagens_danificadas]]+Fato_Producao[[#This Row],[peso_errado]]+Fato_Producao[[#This Row],[impressao]]</f>
        <v>136</v>
      </c>
      <c r="L1133" s="1" t="d">
        <v>2025-08-14</v>
      </c>
      <c r="M1133">
        <v>15</v>
      </c>
      <c r="N1133" s="7">
        <v>6.09</v>
      </c>
      <c r="O1133" s="4" t="str">
        <f t="shared" si="51"/>
        <v>agosto</v>
      </c>
      <c r="P1133" s="4">
        <f t="shared" si="52"/>
        <v>2025</v>
      </c>
      <c r="Q1133" s="4" t="str">
        <f t="shared" si="53"/>
        <v/>
      </c>
      <c r="R1133" t="s">
        <v>24</v>
      </c>
    </row>
    <row r="1134" spans="1:18" x14ac:dyDescent="0.3">
      <c r="A1134" s="1" t="d">
        <v>2025-08-29</v>
      </c>
      <c r="B1134">
        <v>45504</v>
      </c>
      <c r="C1134" t="str">
        <f>VLOOKUP(Fato_Producao[[#This Row],[referencia]], Dim_Produtos!A:B,2,FALSE)</f>
        <v>pescada posta fritar</v>
      </c>
      <c r="D1134">
        <v>1917</v>
      </c>
      <c r="E1134">
        <v>1791</v>
      </c>
      <c r="F1134" s="5">
        <v>6.5699999999999995E-2</v>
      </c>
      <c r="G1134" s="6">
        <v>40.32</v>
      </c>
      <c r="H1134">
        <v>6</v>
      </c>
      <c r="I1134">
        <v>117</v>
      </c>
      <c r="J1134">
        <v>3</v>
      </c>
      <c r="K1134">
        <f>Fato_Producao[[#This Row],[embalagens_danificadas]]+Fato_Producao[[#This Row],[peso_errado]]+Fato_Producao[[#This Row],[impressao]]</f>
        <v>126</v>
      </c>
      <c r="L1134" s="1" t="d">
        <v>2025-08-14</v>
      </c>
      <c r="M1134">
        <v>15</v>
      </c>
      <c r="N1134" s="7">
        <v>5.64</v>
      </c>
      <c r="O1134" s="4" t="str">
        <f t="shared" si="51"/>
        <v>agosto</v>
      </c>
      <c r="P1134" s="4">
        <f t="shared" si="52"/>
        <v>2025</v>
      </c>
      <c r="Q1134" s="4" t="str">
        <f t="shared" si="53"/>
        <v/>
      </c>
      <c r="R1134" t="s">
        <v>24</v>
      </c>
    </row>
    <row r="1135" spans="1:18" x14ac:dyDescent="0.3">
      <c r="A1135" s="1" t="d">
        <v>2025-08-30</v>
      </c>
      <c r="B1135">
        <v>45503</v>
      </c>
      <c r="C1135" t="str">
        <f>VLOOKUP(Fato_Producao[[#This Row],[referencia]], Dim_Produtos!A:B,2,FALSE)</f>
        <v>sardinha pequena</v>
      </c>
      <c r="D1135">
        <v>2665</v>
      </c>
      <c r="E1135">
        <v>2455</v>
      </c>
      <c r="F1135" s="5">
        <v>7.8799999999999995E-2</v>
      </c>
      <c r="G1135" s="6">
        <v>54.6</v>
      </c>
      <c r="H1135">
        <v>6</v>
      </c>
      <c r="I1135">
        <v>200</v>
      </c>
      <c r="J1135">
        <v>4</v>
      </c>
      <c r="K1135">
        <f>Fato_Producao[[#This Row],[embalagens_danificadas]]+Fato_Producao[[#This Row],[peso_errado]]+Fato_Producao[[#This Row],[impressao]]</f>
        <v>210</v>
      </c>
      <c r="L1135" s="1" t="d">
        <v>2025-08-14</v>
      </c>
      <c r="M1135">
        <v>16</v>
      </c>
      <c r="N1135" s="7">
        <v>6.01</v>
      </c>
      <c r="O1135" s="4" t="str">
        <f t="shared" si="51"/>
        <v>agosto</v>
      </c>
      <c r="P1135" s="4">
        <f t="shared" si="52"/>
        <v>2025</v>
      </c>
      <c r="Q1135" s="4" t="str">
        <f t="shared" si="53"/>
        <v/>
      </c>
      <c r="R1135" t="s">
        <v>24</v>
      </c>
    </row>
    <row r="1136" spans="1:18" x14ac:dyDescent="0.3">
      <c r="A1136" s="1" t="d">
        <v>2025-08-31</v>
      </c>
      <c r="B1136">
        <v>45510</v>
      </c>
      <c r="C1136" t="str">
        <f>VLOOKUP(Fato_Producao[[#This Row],[referencia]], Dim_Produtos!A:B,2,FALSE)</f>
        <v>tiras pota</v>
      </c>
      <c r="D1136">
        <v>3533</v>
      </c>
      <c r="E1136">
        <v>3282</v>
      </c>
      <c r="F1136" s="5">
        <v>7.0999999999999994E-2</v>
      </c>
      <c r="G1136" s="6">
        <v>80.319999999999993</v>
      </c>
      <c r="H1136">
        <v>35</v>
      </c>
      <c r="I1136">
        <v>212</v>
      </c>
      <c r="J1136">
        <v>4</v>
      </c>
      <c r="K1136">
        <f>Fato_Producao[[#This Row],[embalagens_danificadas]]+Fato_Producao[[#This Row],[peso_errado]]+Fato_Producao[[#This Row],[impressao]]</f>
        <v>251</v>
      </c>
      <c r="L1136" s="1" t="d">
        <v>2025-08-14</v>
      </c>
      <c r="M1136">
        <v>17</v>
      </c>
      <c r="N1136" s="7">
        <v>11.24</v>
      </c>
      <c r="O1136" s="4" t="str">
        <f t="shared" si="51"/>
        <v>agosto</v>
      </c>
      <c r="P1136" s="4">
        <f t="shared" si="52"/>
        <v>2025</v>
      </c>
      <c r="Q1136" s="4" t="str">
        <f t="shared" si="53"/>
        <v/>
      </c>
      <c r="R1136" t="s">
        <v>24</v>
      </c>
    </row>
    <row r="1137" spans="1:18" x14ac:dyDescent="0.3">
      <c r="A1137" s="1" t="d">
        <v>2025-08-31</v>
      </c>
      <c r="B1137">
        <v>45504</v>
      </c>
      <c r="C1137" t="str">
        <f>VLOOKUP(Fato_Producao[[#This Row],[referencia]], Dim_Produtos!A:B,2,FALSE)</f>
        <v>pescada posta fritar</v>
      </c>
      <c r="D1137">
        <v>3554</v>
      </c>
      <c r="E1137">
        <v>3293</v>
      </c>
      <c r="F1137" s="5">
        <v>7.3400000000000007E-2</v>
      </c>
      <c r="G1137" s="6">
        <v>83.52</v>
      </c>
      <c r="H1137">
        <v>14</v>
      </c>
      <c r="I1137">
        <v>239</v>
      </c>
      <c r="J1137">
        <v>8</v>
      </c>
      <c r="K1137">
        <f>Fato_Producao[[#This Row],[embalagens_danificadas]]+Fato_Producao[[#This Row],[peso_errado]]+Fato_Producao[[#This Row],[impressao]]</f>
        <v>261</v>
      </c>
      <c r="L1137" s="1" t="d">
        <v>2025-08-14</v>
      </c>
      <c r="M1137">
        <v>17</v>
      </c>
      <c r="N1137" s="7">
        <v>11.69</v>
      </c>
      <c r="O1137" s="4" t="str">
        <f t="shared" si="51"/>
        <v>agosto</v>
      </c>
      <c r="P1137" s="4">
        <f t="shared" si="52"/>
        <v>2025</v>
      </c>
      <c r="Q1137" s="4" t="str">
        <f t="shared" si="53"/>
        <v/>
      </c>
      <c r="R1137" t="s">
        <v>24</v>
      </c>
    </row>
    <row r="1138" spans="1:18" x14ac:dyDescent="0.3">
      <c r="A1138" s="1" t="d">
        <v>2025-09-01</v>
      </c>
      <c r="B1138">
        <v>45501</v>
      </c>
      <c r="C1138" t="str">
        <f>VLOOKUP(Fato_Producao[[#This Row],[referencia]], Dim_Produtos!A:B,2,FALSE)</f>
        <v>pescada posta cozer</v>
      </c>
      <c r="D1138">
        <v>2291</v>
      </c>
      <c r="E1138">
        <v>2180</v>
      </c>
      <c r="F1138" s="5">
        <v>4.8500000000000001E-2</v>
      </c>
      <c r="G1138" s="6">
        <v>35.520000000000003</v>
      </c>
      <c r="H1138">
        <v>7</v>
      </c>
      <c r="I1138">
        <v>102</v>
      </c>
      <c r="J1138">
        <v>2</v>
      </c>
      <c r="K1138">
        <f>Fato_Producao[[#This Row],[embalagens_danificadas]]+Fato_Producao[[#This Row],[peso_errado]]+Fato_Producao[[#This Row],[impressao]]</f>
        <v>111</v>
      </c>
      <c r="L1138" s="1" t="d">
        <v>2025-08-14</v>
      </c>
      <c r="M1138">
        <v>18</v>
      </c>
      <c r="N1138" s="7">
        <v>4.97</v>
      </c>
      <c r="O1138" s="4" t="str">
        <f t="shared" si="51"/>
        <v>setembro</v>
      </c>
      <c r="P1138" s="4">
        <f t="shared" si="52"/>
        <v>2025</v>
      </c>
      <c r="Q1138" s="4" t="str">
        <f t="shared" si="53"/>
        <v/>
      </c>
      <c r="R1138" t="s">
        <v>24</v>
      </c>
    </row>
    <row r="1139" spans="1:18" x14ac:dyDescent="0.3">
      <c r="A1139" s="1" t="d">
        <v>2025-09-01</v>
      </c>
      <c r="B1139">
        <v>45503</v>
      </c>
      <c r="C1139" t="str">
        <f>VLOOKUP(Fato_Producao[[#This Row],[referencia]], Dim_Produtos!A:B,2,FALSE)</f>
        <v>sardinha pequena</v>
      </c>
      <c r="D1139">
        <v>4177</v>
      </c>
      <c r="E1139">
        <v>3933</v>
      </c>
      <c r="F1139" s="5">
        <v>5.8400000000000001E-2</v>
      </c>
      <c r="G1139" s="6">
        <v>63.44</v>
      </c>
      <c r="H1139">
        <v>13</v>
      </c>
      <c r="I1139">
        <v>228</v>
      </c>
      <c r="J1139">
        <v>3</v>
      </c>
      <c r="K1139">
        <f>Fato_Producao[[#This Row],[embalagens_danificadas]]+Fato_Producao[[#This Row],[peso_errado]]+Fato_Producao[[#This Row],[impressao]]</f>
        <v>244</v>
      </c>
      <c r="L1139" s="1" t="d">
        <v>2025-08-14</v>
      </c>
      <c r="M1139">
        <v>18</v>
      </c>
      <c r="N1139" s="7">
        <v>6.98</v>
      </c>
      <c r="O1139" s="4" t="str">
        <f t="shared" si="51"/>
        <v>setembro</v>
      </c>
      <c r="P1139" s="4">
        <f t="shared" si="52"/>
        <v>2025</v>
      </c>
      <c r="Q1139" s="4" t="str">
        <f t="shared" si="53"/>
        <v/>
      </c>
      <c r="R1139" t="s">
        <v>24</v>
      </c>
    </row>
    <row r="1140" spans="1:18" x14ac:dyDescent="0.3">
      <c r="A1140" s="1" t="d">
        <v>2025-09-02</v>
      </c>
      <c r="B1140">
        <v>45505</v>
      </c>
      <c r="C1140" t="str">
        <f>VLOOKUP(Fato_Producao[[#This Row],[referencia]], Dim_Produtos!A:B,2,FALSE)</f>
        <v>camarao</v>
      </c>
      <c r="D1140">
        <v>2593</v>
      </c>
      <c r="E1140">
        <v>2394</v>
      </c>
      <c r="F1140" s="5">
        <v>7.6700000000000004E-2</v>
      </c>
      <c r="G1140" s="6">
        <v>59.7</v>
      </c>
      <c r="H1140">
        <v>60</v>
      </c>
      <c r="I1140">
        <v>135</v>
      </c>
      <c r="J1140">
        <v>4</v>
      </c>
      <c r="K1140">
        <f>Fato_Producao[[#This Row],[embalagens_danificadas]]+Fato_Producao[[#This Row],[peso_errado]]+Fato_Producao[[#This Row],[impressao]]</f>
        <v>199</v>
      </c>
      <c r="L1140" s="1" t="d">
        <v>2025-08-14</v>
      </c>
      <c r="M1140">
        <v>19</v>
      </c>
      <c r="N1140" s="7">
        <v>8.9600000000000009</v>
      </c>
      <c r="O1140" s="4" t="str">
        <f t="shared" si="51"/>
        <v>setembro</v>
      </c>
      <c r="P1140" s="4">
        <f t="shared" si="52"/>
        <v>2025</v>
      </c>
      <c r="Q1140" s="4" t="str">
        <f t="shared" si="53"/>
        <v/>
      </c>
      <c r="R1140" t="s">
        <v>24</v>
      </c>
    </row>
    <row r="1141" spans="1:18" x14ac:dyDescent="0.3">
      <c r="A1141" s="1" t="d">
        <v>2025-09-03</v>
      </c>
      <c r="B1141">
        <v>45514</v>
      </c>
      <c r="C1141" t="str">
        <f>VLOOKUP(Fato_Producao[[#This Row],[referencia]], Dim_Produtos!A:B,2,FALSE)</f>
        <v>sardinha pequena</v>
      </c>
      <c r="D1141">
        <v>3343</v>
      </c>
      <c r="E1141">
        <v>3060</v>
      </c>
      <c r="F1141" s="5">
        <v>8.4699999999999998E-2</v>
      </c>
      <c r="G1141" s="6">
        <v>84.9</v>
      </c>
      <c r="H1141">
        <v>9</v>
      </c>
      <c r="I1141">
        <v>268</v>
      </c>
      <c r="J1141">
        <v>6</v>
      </c>
      <c r="K1141">
        <f>Fato_Producao[[#This Row],[embalagens_danificadas]]+Fato_Producao[[#This Row],[peso_errado]]+Fato_Producao[[#This Row],[impressao]]</f>
        <v>283</v>
      </c>
      <c r="L1141" s="1" t="d">
        <v>2025-08-14</v>
      </c>
      <c r="M1141">
        <v>20</v>
      </c>
      <c r="N1141" s="7">
        <v>10.19</v>
      </c>
      <c r="O1141" s="4" t="str">
        <f t="shared" si="51"/>
        <v>setembro</v>
      </c>
      <c r="P1141" s="4">
        <f t="shared" si="52"/>
        <v>2025</v>
      </c>
      <c r="Q1141" s="4" t="str">
        <f t="shared" si="53"/>
        <v/>
      </c>
      <c r="R1141" t="s">
        <v>24</v>
      </c>
    </row>
    <row r="1142" spans="1:18" x14ac:dyDescent="0.3">
      <c r="A1142" s="1" t="d">
        <v>2025-09-04</v>
      </c>
      <c r="B1142">
        <v>45505</v>
      </c>
      <c r="C1142" t="str">
        <f>VLOOKUP(Fato_Producao[[#This Row],[referencia]], Dim_Produtos!A:B,2,FALSE)</f>
        <v>camarao</v>
      </c>
      <c r="D1142">
        <v>3157</v>
      </c>
      <c r="E1142">
        <v>2942</v>
      </c>
      <c r="F1142" s="5">
        <v>6.8099999999999994E-2</v>
      </c>
      <c r="G1142" s="6">
        <v>64.5</v>
      </c>
      <c r="H1142">
        <v>52</v>
      </c>
      <c r="I1142">
        <v>156</v>
      </c>
      <c r="J1142">
        <v>7</v>
      </c>
      <c r="K1142">
        <f>Fato_Producao[[#This Row],[embalagens_danificadas]]+Fato_Producao[[#This Row],[peso_errado]]+Fato_Producao[[#This Row],[impressao]]</f>
        <v>215</v>
      </c>
      <c r="L1142" s="1" t="d">
        <v>2025-08-14</v>
      </c>
      <c r="M1142">
        <v>21</v>
      </c>
      <c r="N1142" s="7">
        <v>9.67</v>
      </c>
      <c r="O1142" s="4" t="str">
        <f t="shared" si="51"/>
        <v>setembro</v>
      </c>
      <c r="P1142" s="4">
        <f t="shared" si="52"/>
        <v>2025</v>
      </c>
      <c r="Q1142" s="4" t="str">
        <f t="shared" si="53"/>
        <v/>
      </c>
      <c r="R1142" t="s">
        <v>24</v>
      </c>
    </row>
    <row r="1143" spans="1:18" x14ac:dyDescent="0.3">
      <c r="A1143" s="1" t="d">
        <v>2025-09-04</v>
      </c>
      <c r="B1143">
        <v>45503</v>
      </c>
      <c r="C1143" t="str">
        <f>VLOOKUP(Fato_Producao[[#This Row],[referencia]], Dim_Produtos!A:B,2,FALSE)</f>
        <v>sardinha pequena</v>
      </c>
      <c r="D1143">
        <v>3585</v>
      </c>
      <c r="E1143">
        <v>3315</v>
      </c>
      <c r="F1143" s="5">
        <v>7.5300000000000006E-2</v>
      </c>
      <c r="G1143" s="6">
        <v>70.2</v>
      </c>
      <c r="H1143">
        <v>5</v>
      </c>
      <c r="I1143">
        <v>258</v>
      </c>
      <c r="J1143">
        <v>7</v>
      </c>
      <c r="K1143">
        <f>Fato_Producao[[#This Row],[embalagens_danificadas]]+Fato_Producao[[#This Row],[peso_errado]]+Fato_Producao[[#This Row],[impressao]]</f>
        <v>270</v>
      </c>
      <c r="L1143" s="1" t="d">
        <v>2025-08-14</v>
      </c>
      <c r="M1143">
        <v>21</v>
      </c>
      <c r="N1143" s="7">
        <v>7.72</v>
      </c>
      <c r="O1143" s="4" t="str">
        <f t="shared" si="51"/>
        <v>setembro</v>
      </c>
      <c r="P1143" s="4">
        <f t="shared" si="52"/>
        <v>2025</v>
      </c>
      <c r="Q1143" s="4" t="str">
        <f t="shared" si="53"/>
        <v/>
      </c>
      <c r="R1143" t="s">
        <v>24</v>
      </c>
    </row>
    <row r="1144" spans="1:18" x14ac:dyDescent="0.3">
      <c r="A1144" s="1" t="d">
        <v>2025-09-05</v>
      </c>
      <c r="B1144">
        <v>45505</v>
      </c>
      <c r="C1144" t="str">
        <f>VLOOKUP(Fato_Producao[[#This Row],[referencia]], Dim_Produtos!A:B,2,FALSE)</f>
        <v>camarao</v>
      </c>
      <c r="D1144">
        <v>2480</v>
      </c>
      <c r="E1144">
        <v>2274</v>
      </c>
      <c r="F1144" s="5">
        <v>8.3099999999999993E-2</v>
      </c>
      <c r="G1144" s="6">
        <v>61.8</v>
      </c>
      <c r="H1144">
        <v>64</v>
      </c>
      <c r="I1144">
        <v>134</v>
      </c>
      <c r="J1144">
        <v>8</v>
      </c>
      <c r="K1144">
        <f>Fato_Producao[[#This Row],[embalagens_danificadas]]+Fato_Producao[[#This Row],[peso_errado]]+Fato_Producao[[#This Row],[impressao]]</f>
        <v>206</v>
      </c>
      <c r="L1144" s="1" t="d">
        <v>2025-08-14</v>
      </c>
      <c r="M1144">
        <v>22</v>
      </c>
      <c r="N1144" s="7">
        <v>9.27</v>
      </c>
      <c r="O1144" s="4" t="str">
        <f t="shared" si="51"/>
        <v>setembro</v>
      </c>
      <c r="P1144" s="4">
        <f t="shared" si="52"/>
        <v>2025</v>
      </c>
      <c r="Q1144" s="4" t="str">
        <f t="shared" si="53"/>
        <v/>
      </c>
      <c r="R1144" t="s">
        <v>24</v>
      </c>
    </row>
    <row r="1145" spans="1:18" x14ac:dyDescent="0.3">
      <c r="A1145" s="1" t="d">
        <v>2025-09-06</v>
      </c>
      <c r="B1145">
        <v>45513</v>
      </c>
      <c r="C1145" t="str">
        <f>VLOOKUP(Fato_Producao[[#This Row],[referencia]], Dim_Produtos!A:B,2,FALSE)</f>
        <v>filete pescada</v>
      </c>
      <c r="D1145">
        <v>2836</v>
      </c>
      <c r="E1145">
        <v>2606</v>
      </c>
      <c r="F1145" s="5">
        <v>8.1100000000000005E-2</v>
      </c>
      <c r="G1145" s="6">
        <v>73.599999999999994</v>
      </c>
      <c r="H1145">
        <v>11</v>
      </c>
      <c r="I1145">
        <v>213</v>
      </c>
      <c r="J1145">
        <v>6</v>
      </c>
      <c r="K1145">
        <f>Fato_Producao[[#This Row],[embalagens_danificadas]]+Fato_Producao[[#This Row],[peso_errado]]+Fato_Producao[[#This Row],[impressao]]</f>
        <v>230</v>
      </c>
      <c r="L1145" s="1" t="d">
        <v>2025-08-14</v>
      </c>
      <c r="M1145">
        <v>23</v>
      </c>
      <c r="N1145" s="7">
        <v>9.57</v>
      </c>
      <c r="O1145" s="4" t="str">
        <f t="shared" si="51"/>
        <v>setembro</v>
      </c>
      <c r="P1145" s="4">
        <f t="shared" si="52"/>
        <v>2025</v>
      </c>
      <c r="Q1145" s="4" t="str">
        <f t="shared" si="53"/>
        <v/>
      </c>
      <c r="R1145" t="s">
        <v>24</v>
      </c>
    </row>
    <row r="1146" spans="1:18" x14ac:dyDescent="0.3">
      <c r="A1146" s="1" t="d">
        <v>2025-09-06</v>
      </c>
      <c r="B1146">
        <v>45507</v>
      </c>
      <c r="C1146" t="str">
        <f>VLOOKUP(Fato_Producao[[#This Row],[referencia]], Dim_Produtos!A:B,2,FALSE)</f>
        <v>salmao posta</v>
      </c>
      <c r="D1146">
        <v>3044</v>
      </c>
      <c r="E1146">
        <v>2861</v>
      </c>
      <c r="F1146" s="5">
        <v>6.0100000000000001E-2</v>
      </c>
      <c r="G1146" s="6">
        <v>64.05</v>
      </c>
      <c r="H1146">
        <v>48</v>
      </c>
      <c r="I1146">
        <v>51</v>
      </c>
      <c r="J1146">
        <v>84</v>
      </c>
      <c r="K1146">
        <f>Fato_Producao[[#This Row],[embalagens_danificadas]]+Fato_Producao[[#This Row],[peso_errado]]+Fato_Producao[[#This Row],[impressao]]</f>
        <v>183</v>
      </c>
      <c r="L1146" s="1" t="d">
        <v>2025-08-14</v>
      </c>
      <c r="M1146">
        <v>23</v>
      </c>
      <c r="N1146" s="7">
        <v>10.25</v>
      </c>
      <c r="O1146" s="4" t="str">
        <f t="shared" si="51"/>
        <v>setembro</v>
      </c>
      <c r="P1146" s="4">
        <f t="shared" si="52"/>
        <v>2025</v>
      </c>
      <c r="Q1146" s="4" t="str">
        <f t="shared" si="53"/>
        <v/>
      </c>
      <c r="R1146" t="s">
        <v>50</v>
      </c>
    </row>
    <row r="1147" spans="1:18" x14ac:dyDescent="0.3">
      <c r="A1147" s="1" t="d">
        <v>2025-09-07</v>
      </c>
      <c r="B1147">
        <v>45514</v>
      </c>
      <c r="C1147" t="str">
        <f>VLOOKUP(Fato_Producao[[#This Row],[referencia]], Dim_Produtos!A:B,2,FALSE)</f>
        <v>sardinha pequena</v>
      </c>
      <c r="D1147">
        <v>3491</v>
      </c>
      <c r="E1147">
        <v>3190</v>
      </c>
      <c r="F1147" s="5">
        <v>8.6199999999999999E-2</v>
      </c>
      <c r="G1147" s="6">
        <v>90.3</v>
      </c>
      <c r="H1147">
        <v>10</v>
      </c>
      <c r="I1147">
        <v>283</v>
      </c>
      <c r="J1147">
        <v>8</v>
      </c>
      <c r="K1147">
        <f>Fato_Producao[[#This Row],[embalagens_danificadas]]+Fato_Producao[[#This Row],[peso_errado]]+Fato_Producao[[#This Row],[impressao]]</f>
        <v>301</v>
      </c>
      <c r="L1147" s="1" t="d">
        <v>2025-08-14</v>
      </c>
      <c r="M1147">
        <v>24</v>
      </c>
      <c r="N1147" s="7">
        <v>10.84</v>
      </c>
      <c r="O1147" s="4" t="str">
        <f t="shared" si="51"/>
        <v>setembro</v>
      </c>
      <c r="P1147" s="4">
        <f t="shared" si="52"/>
        <v>2025</v>
      </c>
      <c r="Q1147" s="4" t="str">
        <f t="shared" si="53"/>
        <v/>
      </c>
      <c r="R1147" t="s">
        <v>24</v>
      </c>
    </row>
    <row r="1148" spans="1:18" x14ac:dyDescent="0.3">
      <c r="A1148" s="1" t="d">
        <v>2025-09-07</v>
      </c>
      <c r="B1148">
        <v>45509</v>
      </c>
      <c r="C1148" t="str">
        <f>VLOOKUP(Fato_Producao[[#This Row],[referencia]], Dim_Produtos!A:B,2,FALSE)</f>
        <v>lascas bacalhau</v>
      </c>
      <c r="D1148">
        <v>3040</v>
      </c>
      <c r="E1148">
        <v>2779</v>
      </c>
      <c r="F1148" s="5">
        <v>8.5900000000000004E-2</v>
      </c>
      <c r="G1148" s="6">
        <v>73.08</v>
      </c>
      <c r="H1148">
        <v>17</v>
      </c>
      <c r="I1148">
        <v>239</v>
      </c>
      <c r="J1148">
        <v>5</v>
      </c>
      <c r="K1148">
        <f>Fato_Producao[[#This Row],[embalagens_danificadas]]+Fato_Producao[[#This Row],[peso_errado]]+Fato_Producao[[#This Row],[impressao]]</f>
        <v>261</v>
      </c>
      <c r="L1148" s="1" t="d">
        <v>2025-08-14</v>
      </c>
      <c r="M1148">
        <v>24</v>
      </c>
      <c r="N1148" s="7">
        <v>9.5</v>
      </c>
      <c r="O1148" s="4" t="str">
        <f t="shared" si="51"/>
        <v>setembro</v>
      </c>
      <c r="P1148" s="4">
        <f t="shared" si="52"/>
        <v>2025</v>
      </c>
      <c r="Q1148" s="4" t="str">
        <f t="shared" si="53"/>
        <v/>
      </c>
      <c r="R1148" t="s">
        <v>24</v>
      </c>
    </row>
    <row r="1149" spans="1:18" x14ac:dyDescent="0.3">
      <c r="A1149" s="1" t="d">
        <v>2025-09-08</v>
      </c>
      <c r="B1149">
        <v>45505</v>
      </c>
      <c r="C1149" t="str">
        <f>VLOOKUP(Fato_Producao[[#This Row],[referencia]], Dim_Produtos!A:B,2,FALSE)</f>
        <v>camarao</v>
      </c>
      <c r="D1149">
        <v>1890</v>
      </c>
      <c r="E1149">
        <v>1755</v>
      </c>
      <c r="F1149" s="5">
        <v>7.1400000000000005E-2</v>
      </c>
      <c r="G1149" s="6">
        <v>40.5</v>
      </c>
      <c r="H1149">
        <v>34</v>
      </c>
      <c r="I1149">
        <v>99</v>
      </c>
      <c r="J1149">
        <v>2</v>
      </c>
      <c r="K1149">
        <f>Fato_Producao[[#This Row],[embalagens_danificadas]]+Fato_Producao[[#This Row],[peso_errado]]+Fato_Producao[[#This Row],[impressao]]</f>
        <v>135</v>
      </c>
      <c r="L1149" s="1" t="d">
        <v>2025-08-14</v>
      </c>
      <c r="M1149">
        <v>25</v>
      </c>
      <c r="N1149" s="7">
        <v>6.08</v>
      </c>
      <c r="O1149" s="4" t="str">
        <f t="shared" si="51"/>
        <v>setembro</v>
      </c>
      <c r="P1149" s="4">
        <f t="shared" si="52"/>
        <v>2025</v>
      </c>
      <c r="Q1149" s="4" t="str">
        <f t="shared" si="53"/>
        <v/>
      </c>
      <c r="R1149" t="s">
        <v>24</v>
      </c>
    </row>
    <row r="1150" spans="1:18" x14ac:dyDescent="0.3">
      <c r="A1150" s="1" t="d">
        <v>2025-09-09</v>
      </c>
      <c r="B1150">
        <v>45508</v>
      </c>
      <c r="C1150" t="str">
        <f>VLOOKUP(Fato_Producao[[#This Row],[referencia]], Dim_Produtos!A:B,2,FALSE)</f>
        <v>lula suja</v>
      </c>
      <c r="D1150">
        <v>3592</v>
      </c>
      <c r="E1150">
        <v>3293</v>
      </c>
      <c r="F1150" s="5">
        <v>8.3199999999999996E-2</v>
      </c>
      <c r="G1150" s="6">
        <v>95.68</v>
      </c>
      <c r="H1150">
        <v>44</v>
      </c>
      <c r="I1150">
        <v>246</v>
      </c>
      <c r="J1150">
        <v>9</v>
      </c>
      <c r="K1150">
        <f>Fato_Producao[[#This Row],[embalagens_danificadas]]+Fato_Producao[[#This Row],[peso_errado]]+Fato_Producao[[#This Row],[impressao]]</f>
        <v>299</v>
      </c>
      <c r="L1150" s="1" t="d">
        <v>2025-08-14</v>
      </c>
      <c r="M1150">
        <v>26</v>
      </c>
      <c r="N1150" s="7">
        <v>13.4</v>
      </c>
      <c r="O1150" s="4" t="str">
        <f t="shared" si="51"/>
        <v>setembro</v>
      </c>
      <c r="P1150" s="4">
        <f t="shared" si="52"/>
        <v>2025</v>
      </c>
      <c r="Q1150" s="4" t="str">
        <f t="shared" si="53"/>
        <v/>
      </c>
      <c r="R1150" t="s">
        <v>24</v>
      </c>
    </row>
    <row r="1151" spans="1:18" x14ac:dyDescent="0.3">
      <c r="A1151" s="1" t="d">
        <v>2025-09-10</v>
      </c>
      <c r="B1151">
        <v>45508</v>
      </c>
      <c r="C1151" t="str">
        <f>VLOOKUP(Fato_Producao[[#This Row],[referencia]], Dim_Produtos!A:B,2,FALSE)</f>
        <v>lula suja</v>
      </c>
      <c r="D1151">
        <v>1938</v>
      </c>
      <c r="E1151">
        <v>1718</v>
      </c>
      <c r="F1151" s="5">
        <v>0.1135</v>
      </c>
      <c r="G1151" s="6">
        <v>70.400000000000006</v>
      </c>
      <c r="H1151">
        <v>30</v>
      </c>
      <c r="I1151">
        <v>186</v>
      </c>
      <c r="J1151">
        <v>4</v>
      </c>
      <c r="K1151">
        <f>Fato_Producao[[#This Row],[embalagens_danificadas]]+Fato_Producao[[#This Row],[peso_errado]]+Fato_Producao[[#This Row],[impressao]]</f>
        <v>220</v>
      </c>
      <c r="L1151" s="1" t="d">
        <v>2025-08-14</v>
      </c>
      <c r="M1151">
        <v>27</v>
      </c>
      <c r="N1151" s="7">
        <v>9.86</v>
      </c>
      <c r="O1151" s="4" t="str">
        <f t="shared" si="51"/>
        <v>setembro</v>
      </c>
      <c r="P1151" s="4">
        <f t="shared" si="52"/>
        <v>2025</v>
      </c>
      <c r="Q1151" s="4" t="str">
        <f t="shared" si="53"/>
        <v/>
      </c>
      <c r="R1151" t="s">
        <v>24</v>
      </c>
    </row>
    <row r="1152" spans="1:18" x14ac:dyDescent="0.3">
      <c r="A1152" s="1" t="d">
        <v>2025-09-10</v>
      </c>
      <c r="B1152">
        <v>45505</v>
      </c>
      <c r="C1152" t="str">
        <f>VLOOKUP(Fato_Producao[[#This Row],[referencia]], Dim_Produtos!A:B,2,FALSE)</f>
        <v>camarao</v>
      </c>
      <c r="D1152">
        <v>2367</v>
      </c>
      <c r="E1152">
        <v>2195</v>
      </c>
      <c r="F1152" s="5">
        <v>7.2700000000000001E-2</v>
      </c>
      <c r="G1152" s="6">
        <v>51.6</v>
      </c>
      <c r="H1152">
        <v>42</v>
      </c>
      <c r="I1152">
        <v>126</v>
      </c>
      <c r="J1152">
        <v>4</v>
      </c>
      <c r="K1152">
        <f>Fato_Producao[[#This Row],[embalagens_danificadas]]+Fato_Producao[[#This Row],[peso_errado]]+Fato_Producao[[#This Row],[impressao]]</f>
        <v>172</v>
      </c>
      <c r="L1152" s="1" t="d">
        <v>2025-08-14</v>
      </c>
      <c r="M1152">
        <v>27</v>
      </c>
      <c r="N1152" s="7">
        <v>7.74</v>
      </c>
      <c r="O1152" s="4" t="str">
        <f t="shared" si="51"/>
        <v>setembro</v>
      </c>
      <c r="P1152" s="4">
        <f t="shared" si="52"/>
        <v>2025</v>
      </c>
      <c r="Q1152" s="4" t="str">
        <f t="shared" si="53"/>
        <v/>
      </c>
      <c r="R1152" t="s">
        <v>24</v>
      </c>
    </row>
    <row r="1153" spans="1:18" x14ac:dyDescent="0.3">
      <c r="A1153" s="1" t="d">
        <v>2025-09-11</v>
      </c>
      <c r="B1153">
        <v>45509</v>
      </c>
      <c r="C1153" t="str">
        <f>VLOOKUP(Fato_Producao[[#This Row],[referencia]], Dim_Produtos!A:B,2,FALSE)</f>
        <v>lascas bacalhau</v>
      </c>
      <c r="D1153">
        <v>2603</v>
      </c>
      <c r="E1153">
        <v>2400</v>
      </c>
      <c r="F1153" s="5">
        <v>7.8E-2</v>
      </c>
      <c r="G1153" s="6">
        <v>56.84</v>
      </c>
      <c r="H1153">
        <v>15</v>
      </c>
      <c r="I1153">
        <v>186</v>
      </c>
      <c r="J1153">
        <v>2</v>
      </c>
      <c r="K1153">
        <f>Fato_Producao[[#This Row],[embalagens_danificadas]]+Fato_Producao[[#This Row],[peso_errado]]+Fato_Producao[[#This Row],[impressao]]</f>
        <v>203</v>
      </c>
      <c r="L1153" s="1" t="d">
        <v>2025-08-14</v>
      </c>
      <c r="M1153">
        <v>28</v>
      </c>
      <c r="N1153" s="7">
        <v>7.39</v>
      </c>
      <c r="O1153" s="4" t="str">
        <f t="shared" si="51"/>
        <v>setembro</v>
      </c>
      <c r="P1153" s="4">
        <f t="shared" si="52"/>
        <v>2025</v>
      </c>
      <c r="Q1153" s="4" t="str">
        <f t="shared" si="53"/>
        <v/>
      </c>
      <c r="R1153" t="s">
        <v>24</v>
      </c>
    </row>
    <row r="1154" spans="1:18" x14ac:dyDescent="0.3">
      <c r="A1154" s="1" t="d">
        <v>2025-09-11</v>
      </c>
      <c r="B1154">
        <v>45509</v>
      </c>
      <c r="C1154" t="str">
        <f>VLOOKUP(Fato_Producao[[#This Row],[referencia]], Dim_Produtos!A:B,2,FALSE)</f>
        <v>lascas bacalhau</v>
      </c>
      <c r="D1154">
        <v>2297</v>
      </c>
      <c r="E1154">
        <v>2140</v>
      </c>
      <c r="F1154" s="5">
        <v>6.8400000000000002E-2</v>
      </c>
      <c r="G1154" s="6">
        <v>43.96</v>
      </c>
      <c r="H1154">
        <v>2</v>
      </c>
      <c r="I1154">
        <v>151</v>
      </c>
      <c r="J1154">
        <v>4</v>
      </c>
      <c r="K1154">
        <f>Fato_Producao[[#This Row],[embalagens_danificadas]]+Fato_Producao[[#This Row],[peso_errado]]+Fato_Producao[[#This Row],[impressao]]</f>
        <v>157</v>
      </c>
      <c r="L1154" s="1" t="d">
        <v>2025-08-14</v>
      </c>
      <c r="M1154">
        <v>28</v>
      </c>
      <c r="N1154" s="7">
        <v>5.71</v>
      </c>
      <c r="O1154" s="4" t="str">
        <f t="shared" ref="O1154:O1217" si="54">TEXT(A1154, "mmmm")</f>
        <v>setembro</v>
      </c>
      <c r="P1154" s="4">
        <f t="shared" ref="P1154:P1217" si="55">YEAR(A1154)</f>
        <v>2025</v>
      </c>
      <c r="Q1154" s="4" t="str">
        <f t="shared" ref="Q1154:Q1217" si="56">IF(M1155 &gt;= M1154, "", M1154)</f>
        <v/>
      </c>
      <c r="R1154" t="s">
        <v>24</v>
      </c>
    </row>
    <row r="1155" spans="1:18" x14ac:dyDescent="0.3">
      <c r="A1155" s="1" t="d">
        <v>2025-09-12</v>
      </c>
      <c r="B1155">
        <v>45512</v>
      </c>
      <c r="C1155" t="str">
        <f>VLOOKUP(Fato_Producao[[#This Row],[referencia]], Dim_Produtos!A:B,2,FALSE)</f>
        <v>red-fish posta</v>
      </c>
      <c r="D1155">
        <v>3240</v>
      </c>
      <c r="E1155">
        <v>2964</v>
      </c>
      <c r="F1155" s="5">
        <v>8.5199999999999998E-2</v>
      </c>
      <c r="G1155" s="6">
        <v>93.84</v>
      </c>
      <c r="H1155">
        <v>6</v>
      </c>
      <c r="I1155">
        <v>263</v>
      </c>
      <c r="J1155">
        <v>7</v>
      </c>
      <c r="K1155">
        <f>Fato_Producao[[#This Row],[embalagens_danificadas]]+Fato_Producao[[#This Row],[peso_errado]]+Fato_Producao[[#This Row],[impressao]]</f>
        <v>276</v>
      </c>
      <c r="L1155" s="1" t="d">
        <v>2025-08-14</v>
      </c>
      <c r="M1155">
        <v>29</v>
      </c>
      <c r="N1155" s="7">
        <v>13.14</v>
      </c>
      <c r="O1155" s="4" t="str">
        <f t="shared" si="54"/>
        <v>setembro</v>
      </c>
      <c r="P1155" s="4">
        <f t="shared" si="55"/>
        <v>2025</v>
      </c>
      <c r="Q1155" s="4" t="str">
        <f t="shared" si="56"/>
        <v/>
      </c>
      <c r="R1155" t="s">
        <v>24</v>
      </c>
    </row>
    <row r="1156" spans="1:18" x14ac:dyDescent="0.3">
      <c r="A1156" s="1" t="d">
        <v>2025-09-13</v>
      </c>
      <c r="B1156">
        <v>45500</v>
      </c>
      <c r="C1156" t="str">
        <f>VLOOKUP(Fato_Producao[[#This Row],[referencia]], Dim_Produtos!A:B,2,FALSE)</f>
        <v>filete pescada</v>
      </c>
      <c r="D1156">
        <v>1855</v>
      </c>
      <c r="E1156">
        <v>1735</v>
      </c>
      <c r="F1156" s="5">
        <v>6.4699999999999994E-2</v>
      </c>
      <c r="G1156" s="6">
        <v>33.6</v>
      </c>
      <c r="H1156">
        <v>8</v>
      </c>
      <c r="I1156">
        <v>110</v>
      </c>
      <c r="J1156">
        <v>2</v>
      </c>
      <c r="K1156">
        <f>Fato_Producao[[#This Row],[embalagens_danificadas]]+Fato_Producao[[#This Row],[peso_errado]]+Fato_Producao[[#This Row],[impressao]]</f>
        <v>120</v>
      </c>
      <c r="L1156" s="1" t="d">
        <v>2025-08-14</v>
      </c>
      <c r="M1156">
        <v>30</v>
      </c>
      <c r="N1156" s="7">
        <v>4.03</v>
      </c>
      <c r="O1156" s="4" t="str">
        <f t="shared" si="54"/>
        <v>setembro</v>
      </c>
      <c r="P1156" s="4">
        <f t="shared" si="55"/>
        <v>2025</v>
      </c>
      <c r="Q1156" s="4" t="str">
        <f t="shared" si="56"/>
        <v/>
      </c>
      <c r="R1156" t="s">
        <v>24</v>
      </c>
    </row>
    <row r="1157" spans="1:18" x14ac:dyDescent="0.3">
      <c r="A1157" s="1" t="d">
        <v>2025-09-13</v>
      </c>
      <c r="B1157">
        <v>45509</v>
      </c>
      <c r="C1157" t="str">
        <f>VLOOKUP(Fato_Producao[[#This Row],[referencia]], Dim_Produtos!A:B,2,FALSE)</f>
        <v>lascas bacalhau</v>
      </c>
      <c r="D1157">
        <v>3896</v>
      </c>
      <c r="E1157">
        <v>3563</v>
      </c>
      <c r="F1157" s="5">
        <v>8.5500000000000007E-2</v>
      </c>
      <c r="G1157" s="6">
        <v>93.24</v>
      </c>
      <c r="H1157">
        <v>14</v>
      </c>
      <c r="I1157">
        <v>309</v>
      </c>
      <c r="J1157">
        <v>10</v>
      </c>
      <c r="K1157">
        <f>Fato_Producao[[#This Row],[embalagens_danificadas]]+Fato_Producao[[#This Row],[peso_errado]]+Fato_Producao[[#This Row],[impressao]]</f>
        <v>333</v>
      </c>
      <c r="L1157" s="1" t="d">
        <v>2025-08-14</v>
      </c>
      <c r="M1157">
        <v>30</v>
      </c>
      <c r="N1157" s="7">
        <v>12.12</v>
      </c>
      <c r="O1157" s="4" t="str">
        <f t="shared" si="54"/>
        <v>setembro</v>
      </c>
      <c r="P1157" s="4">
        <f t="shared" si="55"/>
        <v>2025</v>
      </c>
      <c r="Q1157" s="4" t="str">
        <f t="shared" si="56"/>
        <v/>
      </c>
      <c r="R1157" t="s">
        <v>24</v>
      </c>
    </row>
    <row r="1158" spans="1:18" x14ac:dyDescent="0.3">
      <c r="A1158" s="1" t="d">
        <v>2025-09-14</v>
      </c>
      <c r="B1158">
        <v>45500</v>
      </c>
      <c r="C1158" t="str">
        <f>VLOOKUP(Fato_Producao[[#This Row],[referencia]], Dim_Produtos!A:B,2,FALSE)</f>
        <v>filete pescada</v>
      </c>
      <c r="D1158">
        <v>3779</v>
      </c>
      <c r="E1158">
        <v>3583</v>
      </c>
      <c r="F1158" s="5">
        <v>5.1900000000000002E-2</v>
      </c>
      <c r="G1158" s="6">
        <v>54.88</v>
      </c>
      <c r="H1158">
        <v>14</v>
      </c>
      <c r="I1158">
        <v>179</v>
      </c>
      <c r="J1158">
        <v>3</v>
      </c>
      <c r="K1158">
        <f>Fato_Producao[[#This Row],[embalagens_danificadas]]+Fato_Producao[[#This Row],[peso_errado]]+Fato_Producao[[#This Row],[impressao]]</f>
        <v>196</v>
      </c>
      <c r="L1158" s="1" t="d">
        <v>2025-08-14</v>
      </c>
      <c r="M1158">
        <v>31</v>
      </c>
      <c r="N1158" s="7">
        <v>6.59</v>
      </c>
      <c r="O1158" s="4" t="str">
        <f t="shared" si="54"/>
        <v>setembro</v>
      </c>
      <c r="P1158" s="4">
        <f t="shared" si="55"/>
        <v>2025</v>
      </c>
      <c r="Q1158" s="4" t="str">
        <f t="shared" si="56"/>
        <v/>
      </c>
      <c r="R1158" t="s">
        <v>24</v>
      </c>
    </row>
    <row r="1159" spans="1:18" x14ac:dyDescent="0.3">
      <c r="A1159" s="1" t="d">
        <v>2025-09-14</v>
      </c>
      <c r="B1159">
        <v>45510</v>
      </c>
      <c r="C1159" t="str">
        <f>VLOOKUP(Fato_Producao[[#This Row],[referencia]], Dim_Produtos!A:B,2,FALSE)</f>
        <v>tiras pota</v>
      </c>
      <c r="D1159">
        <v>3904</v>
      </c>
      <c r="E1159">
        <v>3606</v>
      </c>
      <c r="F1159" s="5">
        <v>7.6300000000000007E-2</v>
      </c>
      <c r="G1159" s="6">
        <v>95.36</v>
      </c>
      <c r="H1159">
        <v>32</v>
      </c>
      <c r="I1159">
        <v>262</v>
      </c>
      <c r="J1159">
        <v>4</v>
      </c>
      <c r="K1159">
        <f>Fato_Producao[[#This Row],[embalagens_danificadas]]+Fato_Producao[[#This Row],[peso_errado]]+Fato_Producao[[#This Row],[impressao]]</f>
        <v>298</v>
      </c>
      <c r="L1159" s="1" t="d">
        <v>2025-08-14</v>
      </c>
      <c r="M1159">
        <v>31</v>
      </c>
      <c r="N1159" s="7">
        <v>13.35</v>
      </c>
      <c r="O1159" s="4" t="str">
        <f t="shared" si="54"/>
        <v>setembro</v>
      </c>
      <c r="P1159" s="4">
        <f t="shared" si="55"/>
        <v>2025</v>
      </c>
      <c r="Q1159" s="4" t="str">
        <f t="shared" si="56"/>
        <v/>
      </c>
      <c r="R1159" t="s">
        <v>24</v>
      </c>
    </row>
    <row r="1160" spans="1:18" x14ac:dyDescent="0.3">
      <c r="A1160" s="1" t="d">
        <v>2025-09-15</v>
      </c>
      <c r="B1160">
        <v>45500</v>
      </c>
      <c r="C1160" t="str">
        <f>VLOOKUP(Fato_Producao[[#This Row],[referencia]], Dim_Produtos!A:B,2,FALSE)</f>
        <v>filete pescada</v>
      </c>
      <c r="D1160">
        <v>2647</v>
      </c>
      <c r="E1160">
        <v>2509</v>
      </c>
      <c r="F1160" s="5">
        <v>5.21E-2</v>
      </c>
      <c r="G1160" s="6">
        <v>38.64</v>
      </c>
      <c r="H1160">
        <v>4</v>
      </c>
      <c r="I1160">
        <v>132</v>
      </c>
      <c r="J1160">
        <v>2</v>
      </c>
      <c r="K1160">
        <f>Fato_Producao[[#This Row],[embalagens_danificadas]]+Fato_Producao[[#This Row],[peso_errado]]+Fato_Producao[[#This Row],[impressao]]</f>
        <v>138</v>
      </c>
      <c r="L1160" s="1" t="d">
        <v>2025-08-14</v>
      </c>
      <c r="M1160">
        <v>32</v>
      </c>
      <c r="N1160" s="7">
        <v>4.6399999999999997</v>
      </c>
      <c r="O1160" s="4" t="str">
        <f t="shared" si="54"/>
        <v>setembro</v>
      </c>
      <c r="P1160" s="4">
        <f t="shared" si="55"/>
        <v>2025</v>
      </c>
      <c r="Q1160" s="4" t="str">
        <f t="shared" si="56"/>
        <v/>
      </c>
      <c r="R1160" t="s">
        <v>24</v>
      </c>
    </row>
    <row r="1161" spans="1:18" x14ac:dyDescent="0.3">
      <c r="A1161" s="1" t="d">
        <v>2025-09-15</v>
      </c>
      <c r="B1161">
        <v>45513</v>
      </c>
      <c r="C1161" t="str">
        <f>VLOOKUP(Fato_Producao[[#This Row],[referencia]], Dim_Produtos!A:B,2,FALSE)</f>
        <v>filete pescada</v>
      </c>
      <c r="D1161">
        <v>2400</v>
      </c>
      <c r="E1161">
        <v>2229</v>
      </c>
      <c r="F1161" s="5">
        <v>7.1199999999999999E-2</v>
      </c>
      <c r="G1161" s="6">
        <v>54.72</v>
      </c>
      <c r="H1161">
        <v>10</v>
      </c>
      <c r="I1161">
        <v>157</v>
      </c>
      <c r="J1161">
        <v>4</v>
      </c>
      <c r="K1161">
        <f>Fato_Producao[[#This Row],[embalagens_danificadas]]+Fato_Producao[[#This Row],[peso_errado]]+Fato_Producao[[#This Row],[impressao]]</f>
        <v>171</v>
      </c>
      <c r="L1161" s="1" t="d">
        <v>2025-08-14</v>
      </c>
      <c r="M1161">
        <v>32</v>
      </c>
      <c r="N1161" s="7">
        <v>7.11</v>
      </c>
      <c r="O1161" s="4" t="str">
        <f t="shared" si="54"/>
        <v>setembro</v>
      </c>
      <c r="P1161" s="4">
        <f t="shared" si="55"/>
        <v>2025</v>
      </c>
      <c r="Q1161" s="4" t="str">
        <f t="shared" si="56"/>
        <v/>
      </c>
      <c r="R1161" t="s">
        <v>24</v>
      </c>
    </row>
    <row r="1162" spans="1:18" x14ac:dyDescent="0.3">
      <c r="A1162" s="1" t="d">
        <v>2025-09-16</v>
      </c>
      <c r="B1162">
        <v>45512</v>
      </c>
      <c r="C1162" t="str">
        <f>VLOOKUP(Fato_Producao[[#This Row],[referencia]], Dim_Produtos!A:B,2,FALSE)</f>
        <v>red-fish posta</v>
      </c>
      <c r="D1162">
        <v>2497</v>
      </c>
      <c r="E1162">
        <v>2332</v>
      </c>
      <c r="F1162" s="5">
        <v>6.6100000000000006E-2</v>
      </c>
      <c r="G1162" s="6">
        <v>56.1</v>
      </c>
      <c r="H1162">
        <v>8</v>
      </c>
      <c r="I1162">
        <v>155</v>
      </c>
      <c r="J1162">
        <v>2</v>
      </c>
      <c r="K1162">
        <f>Fato_Producao[[#This Row],[embalagens_danificadas]]+Fato_Producao[[#This Row],[peso_errado]]+Fato_Producao[[#This Row],[impressao]]</f>
        <v>165</v>
      </c>
      <c r="L1162" s="1" t="d">
        <v>2025-08-14</v>
      </c>
      <c r="M1162">
        <v>33</v>
      </c>
      <c r="N1162" s="7">
        <v>7.85</v>
      </c>
      <c r="O1162" s="4" t="str">
        <f t="shared" si="54"/>
        <v>setembro</v>
      </c>
      <c r="P1162" s="4">
        <f t="shared" si="55"/>
        <v>2025</v>
      </c>
      <c r="Q1162" s="4" t="str">
        <f t="shared" si="56"/>
        <v/>
      </c>
      <c r="R1162" t="s">
        <v>24</v>
      </c>
    </row>
    <row r="1163" spans="1:18" x14ac:dyDescent="0.3">
      <c r="A1163" s="1" t="d">
        <v>2025-09-16</v>
      </c>
      <c r="B1163">
        <v>45502</v>
      </c>
      <c r="C1163" t="str">
        <f>VLOOKUP(Fato_Producao[[#This Row],[referencia]], Dim_Produtos!A:B,2,FALSE)</f>
        <v>carapau pelim</v>
      </c>
      <c r="D1163">
        <v>3004</v>
      </c>
      <c r="E1163">
        <v>2769</v>
      </c>
      <c r="F1163" s="5">
        <v>7.8200000000000006E-2</v>
      </c>
      <c r="G1163" s="6">
        <v>70.5</v>
      </c>
      <c r="H1163">
        <v>75</v>
      </c>
      <c r="I1163">
        <v>152</v>
      </c>
      <c r="J1163">
        <v>8</v>
      </c>
      <c r="K1163">
        <f>Fato_Producao[[#This Row],[embalagens_danificadas]]+Fato_Producao[[#This Row],[peso_errado]]+Fato_Producao[[#This Row],[impressao]]</f>
        <v>235</v>
      </c>
      <c r="L1163" s="1" t="d">
        <v>2025-08-14</v>
      </c>
      <c r="M1163">
        <v>33</v>
      </c>
      <c r="N1163" s="7">
        <v>9.17</v>
      </c>
      <c r="O1163" s="4" t="str">
        <f t="shared" si="54"/>
        <v>setembro</v>
      </c>
      <c r="P1163" s="4">
        <f t="shared" si="55"/>
        <v>2025</v>
      </c>
      <c r="Q1163" s="4" t="str">
        <f t="shared" si="56"/>
        <v/>
      </c>
      <c r="R1163" t="s">
        <v>24</v>
      </c>
    </row>
    <row r="1164" spans="1:18" x14ac:dyDescent="0.3">
      <c r="A1164" s="1" t="d">
        <v>2025-09-17</v>
      </c>
      <c r="B1164">
        <v>45503</v>
      </c>
      <c r="C1164" t="str">
        <f>VLOOKUP(Fato_Producao[[#This Row],[referencia]], Dim_Produtos!A:B,2,FALSE)</f>
        <v>sardinha pequena</v>
      </c>
      <c r="D1164">
        <v>2272</v>
      </c>
      <c r="E1164">
        <v>2072</v>
      </c>
      <c r="F1164" s="5">
        <v>8.7999999999999995E-2</v>
      </c>
      <c r="G1164" s="6">
        <v>52</v>
      </c>
      <c r="H1164">
        <v>7</v>
      </c>
      <c r="I1164">
        <v>189</v>
      </c>
      <c r="J1164">
        <v>4</v>
      </c>
      <c r="K1164">
        <f>Fato_Producao[[#This Row],[embalagens_danificadas]]+Fato_Producao[[#This Row],[peso_errado]]+Fato_Producao[[#This Row],[impressao]]</f>
        <v>200</v>
      </c>
      <c r="L1164" s="1" t="d">
        <v>2025-08-14</v>
      </c>
      <c r="M1164">
        <v>34</v>
      </c>
      <c r="N1164" s="7">
        <v>5.72</v>
      </c>
      <c r="O1164" s="4" t="str">
        <f t="shared" si="54"/>
        <v>setembro</v>
      </c>
      <c r="P1164" s="4">
        <f t="shared" si="55"/>
        <v>2025</v>
      </c>
      <c r="Q1164" s="4" t="str">
        <f t="shared" si="56"/>
        <v/>
      </c>
      <c r="R1164" t="s">
        <v>24</v>
      </c>
    </row>
    <row r="1165" spans="1:18" x14ac:dyDescent="0.3">
      <c r="A1165" s="1" t="d">
        <v>2025-09-17</v>
      </c>
      <c r="B1165">
        <v>45512</v>
      </c>
      <c r="C1165" t="str">
        <f>VLOOKUP(Fato_Producao[[#This Row],[referencia]], Dim_Produtos!A:B,2,FALSE)</f>
        <v>red-fish posta</v>
      </c>
      <c r="D1165">
        <v>3696</v>
      </c>
      <c r="E1165">
        <v>3434</v>
      </c>
      <c r="F1165" s="5">
        <v>7.0900000000000005E-2</v>
      </c>
      <c r="G1165" s="6">
        <v>89.08</v>
      </c>
      <c r="H1165">
        <v>8</v>
      </c>
      <c r="I1165">
        <v>247</v>
      </c>
      <c r="J1165">
        <v>7</v>
      </c>
      <c r="K1165">
        <f>Fato_Producao[[#This Row],[embalagens_danificadas]]+Fato_Producao[[#This Row],[peso_errado]]+Fato_Producao[[#This Row],[impressao]]</f>
        <v>262</v>
      </c>
      <c r="L1165" s="1" t="d">
        <v>2025-08-14</v>
      </c>
      <c r="M1165">
        <v>34</v>
      </c>
      <c r="N1165" s="7">
        <v>12.47</v>
      </c>
      <c r="O1165" s="4" t="str">
        <f t="shared" si="54"/>
        <v>setembro</v>
      </c>
      <c r="P1165" s="4">
        <f t="shared" si="55"/>
        <v>2025</v>
      </c>
      <c r="Q1165" s="4" t="str">
        <f t="shared" si="56"/>
        <v/>
      </c>
      <c r="R1165" t="s">
        <v>24</v>
      </c>
    </row>
    <row r="1166" spans="1:18" x14ac:dyDescent="0.3">
      <c r="A1166" s="1" t="d">
        <v>2025-09-18</v>
      </c>
      <c r="B1166">
        <v>45513</v>
      </c>
      <c r="C1166" t="str">
        <f>VLOOKUP(Fato_Producao[[#This Row],[referencia]], Dim_Produtos!A:B,2,FALSE)</f>
        <v>filete pescada</v>
      </c>
      <c r="D1166">
        <v>3448</v>
      </c>
      <c r="E1166">
        <v>3236</v>
      </c>
      <c r="F1166" s="5">
        <v>6.1499999999999999E-2</v>
      </c>
      <c r="G1166" s="6">
        <v>67.84</v>
      </c>
      <c r="H1166">
        <v>9</v>
      </c>
      <c r="I1166">
        <v>200</v>
      </c>
      <c r="J1166">
        <v>3</v>
      </c>
      <c r="K1166">
        <f>Fato_Producao[[#This Row],[embalagens_danificadas]]+Fato_Producao[[#This Row],[peso_errado]]+Fato_Producao[[#This Row],[impressao]]</f>
        <v>212</v>
      </c>
      <c r="L1166" s="1" t="d">
        <v>2025-08-14</v>
      </c>
      <c r="M1166">
        <v>35</v>
      </c>
      <c r="N1166" s="7">
        <v>8.82</v>
      </c>
      <c r="O1166" s="4" t="str">
        <f t="shared" si="54"/>
        <v>setembro</v>
      </c>
      <c r="P1166" s="4">
        <f t="shared" si="55"/>
        <v>2025</v>
      </c>
      <c r="Q1166" s="4" t="str">
        <f t="shared" si="56"/>
        <v/>
      </c>
      <c r="R1166" t="s">
        <v>24</v>
      </c>
    </row>
    <row r="1167" spans="1:18" x14ac:dyDescent="0.3">
      <c r="A1167" s="1" t="d">
        <v>2025-09-18</v>
      </c>
      <c r="B1167">
        <v>45511</v>
      </c>
      <c r="C1167" t="str">
        <f>VLOOKUP(Fato_Producao[[#This Row],[referencia]], Dim_Produtos!A:B,2,FALSE)</f>
        <v>lula limpa</v>
      </c>
      <c r="D1167">
        <v>3244</v>
      </c>
      <c r="E1167">
        <v>2921</v>
      </c>
      <c r="F1167" s="5">
        <v>9.9599999999999994E-2</v>
      </c>
      <c r="G1167" s="6">
        <v>103.36</v>
      </c>
      <c r="H1167">
        <v>43</v>
      </c>
      <c r="I1167">
        <v>276</v>
      </c>
      <c r="J1167">
        <v>4</v>
      </c>
      <c r="K1167">
        <f>Fato_Producao[[#This Row],[embalagens_danificadas]]+Fato_Producao[[#This Row],[peso_errado]]+Fato_Producao[[#This Row],[impressao]]</f>
        <v>323</v>
      </c>
      <c r="L1167" s="1" t="d">
        <v>2025-08-14</v>
      </c>
      <c r="M1167">
        <v>35</v>
      </c>
      <c r="N1167" s="7">
        <v>14.47</v>
      </c>
      <c r="O1167" s="4" t="str">
        <f t="shared" si="54"/>
        <v>setembro</v>
      </c>
      <c r="P1167" s="4">
        <f t="shared" si="55"/>
        <v>2025</v>
      </c>
      <c r="Q1167" s="4" t="str">
        <f t="shared" si="56"/>
        <v/>
      </c>
      <c r="R1167" t="s">
        <v>24</v>
      </c>
    </row>
    <row r="1168" spans="1:18" x14ac:dyDescent="0.3">
      <c r="A1168" s="1" t="d">
        <v>2025-09-19</v>
      </c>
      <c r="B1168">
        <v>45510</v>
      </c>
      <c r="C1168" t="str">
        <f>VLOOKUP(Fato_Producao[[#This Row],[referencia]], Dim_Produtos!A:B,2,FALSE)</f>
        <v>tiras pota</v>
      </c>
      <c r="D1168">
        <v>3012</v>
      </c>
      <c r="E1168">
        <v>2716</v>
      </c>
      <c r="F1168" s="5">
        <v>9.8299999999999998E-2</v>
      </c>
      <c r="G1168" s="6">
        <v>94.72</v>
      </c>
      <c r="H1168">
        <v>30</v>
      </c>
      <c r="I1168">
        <v>261</v>
      </c>
      <c r="J1168">
        <v>5</v>
      </c>
      <c r="K1168">
        <f>Fato_Producao[[#This Row],[embalagens_danificadas]]+Fato_Producao[[#This Row],[peso_errado]]+Fato_Producao[[#This Row],[impressao]]</f>
        <v>296</v>
      </c>
      <c r="L1168" s="1" t="d">
        <v>2025-08-14</v>
      </c>
      <c r="M1168">
        <v>36</v>
      </c>
      <c r="N1168" s="7">
        <v>13.26</v>
      </c>
      <c r="O1168" s="4" t="str">
        <f t="shared" si="54"/>
        <v>setembro</v>
      </c>
      <c r="P1168" s="4">
        <f t="shared" si="55"/>
        <v>2025</v>
      </c>
      <c r="Q1168" s="4" t="str">
        <f t="shared" si="56"/>
        <v/>
      </c>
      <c r="R1168" t="s">
        <v>24</v>
      </c>
    </row>
    <row r="1169" spans="1:18" x14ac:dyDescent="0.3">
      <c r="A1169" s="1" t="d">
        <v>2025-09-19</v>
      </c>
      <c r="B1169">
        <v>45512</v>
      </c>
      <c r="C1169" t="str">
        <f>VLOOKUP(Fato_Producao[[#This Row],[referencia]], Dim_Produtos!A:B,2,FALSE)</f>
        <v>red-fish posta</v>
      </c>
      <c r="D1169">
        <v>3648</v>
      </c>
      <c r="E1169">
        <v>3409</v>
      </c>
      <c r="F1169" s="5">
        <v>6.5500000000000003E-2</v>
      </c>
      <c r="G1169" s="6">
        <v>81.260000000000005</v>
      </c>
      <c r="H1169">
        <v>16</v>
      </c>
      <c r="I1169">
        <v>219</v>
      </c>
      <c r="J1169">
        <v>4</v>
      </c>
      <c r="K1169">
        <f>Fato_Producao[[#This Row],[embalagens_danificadas]]+Fato_Producao[[#This Row],[peso_errado]]+Fato_Producao[[#This Row],[impressao]]</f>
        <v>239</v>
      </c>
      <c r="L1169" s="1" t="d">
        <v>2025-08-14</v>
      </c>
      <c r="M1169">
        <v>36</v>
      </c>
      <c r="N1169" s="7">
        <v>11.38</v>
      </c>
      <c r="O1169" s="4" t="str">
        <f t="shared" si="54"/>
        <v>setembro</v>
      </c>
      <c r="P1169" s="4">
        <f t="shared" si="55"/>
        <v>2025</v>
      </c>
      <c r="Q1169" s="4" t="str">
        <f t="shared" si="56"/>
        <v/>
      </c>
      <c r="R1169" t="s">
        <v>24</v>
      </c>
    </row>
    <row r="1170" spans="1:18" x14ac:dyDescent="0.3">
      <c r="A1170" s="1" t="d">
        <v>2025-09-20</v>
      </c>
      <c r="B1170">
        <v>45506</v>
      </c>
      <c r="C1170" t="str">
        <f>VLOOKUP(Fato_Producao[[#This Row],[referencia]], Dim_Produtos!A:B,2,FALSE)</f>
        <v>perca posta</v>
      </c>
      <c r="D1170">
        <v>2704</v>
      </c>
      <c r="E1170">
        <v>2507</v>
      </c>
      <c r="F1170" s="5">
        <v>7.2900000000000006E-2</v>
      </c>
      <c r="G1170" s="6">
        <v>68.95</v>
      </c>
      <c r="H1170">
        <v>5</v>
      </c>
      <c r="I1170">
        <v>188</v>
      </c>
      <c r="J1170">
        <v>4</v>
      </c>
      <c r="K1170">
        <f>Fato_Producao[[#This Row],[embalagens_danificadas]]+Fato_Producao[[#This Row],[peso_errado]]+Fato_Producao[[#This Row],[impressao]]</f>
        <v>197</v>
      </c>
      <c r="L1170" s="1" t="d">
        <v>2025-08-14</v>
      </c>
      <c r="M1170">
        <v>37</v>
      </c>
      <c r="N1170" s="7">
        <v>10.34</v>
      </c>
      <c r="O1170" s="4" t="str">
        <f t="shared" si="54"/>
        <v>setembro</v>
      </c>
      <c r="P1170" s="4">
        <f t="shared" si="55"/>
        <v>2025</v>
      </c>
      <c r="Q1170" s="4" t="str">
        <f t="shared" si="56"/>
        <v/>
      </c>
      <c r="R1170" t="s">
        <v>24</v>
      </c>
    </row>
    <row r="1171" spans="1:18" x14ac:dyDescent="0.3">
      <c r="A1171" s="1" t="d">
        <v>2025-09-21</v>
      </c>
      <c r="B1171">
        <v>45514</v>
      </c>
      <c r="C1171" t="str">
        <f>VLOOKUP(Fato_Producao[[#This Row],[referencia]], Dim_Produtos!A:B,2,FALSE)</f>
        <v>sardinha pequena</v>
      </c>
      <c r="D1171">
        <v>3285</v>
      </c>
      <c r="E1171">
        <v>2918</v>
      </c>
      <c r="F1171" s="5">
        <v>0.11169999999999999</v>
      </c>
      <c r="G1171" s="6">
        <v>110.1</v>
      </c>
      <c r="H1171">
        <v>21</v>
      </c>
      <c r="I1171">
        <v>339</v>
      </c>
      <c r="J1171">
        <v>7</v>
      </c>
      <c r="K1171">
        <f>Fato_Producao[[#This Row],[embalagens_danificadas]]+Fato_Producao[[#This Row],[peso_errado]]+Fato_Producao[[#This Row],[impressao]]</f>
        <v>367</v>
      </c>
      <c r="L1171" s="1" t="d">
        <v>2025-08-14</v>
      </c>
      <c r="M1171">
        <v>38</v>
      </c>
      <c r="N1171" s="7">
        <v>13.21</v>
      </c>
      <c r="O1171" s="4" t="str">
        <f t="shared" si="54"/>
        <v>setembro</v>
      </c>
      <c r="P1171" s="4">
        <f t="shared" si="55"/>
        <v>2025</v>
      </c>
      <c r="Q1171" s="4" t="str">
        <f t="shared" si="56"/>
        <v/>
      </c>
      <c r="R1171" t="s">
        <v>24</v>
      </c>
    </row>
    <row r="1172" spans="1:18" x14ac:dyDescent="0.3">
      <c r="A1172" s="1" t="d">
        <v>2025-09-21</v>
      </c>
      <c r="B1172">
        <v>45514</v>
      </c>
      <c r="C1172" t="str">
        <f>VLOOKUP(Fato_Producao[[#This Row],[referencia]], Dim_Produtos!A:B,2,FALSE)</f>
        <v>sardinha pequena</v>
      </c>
      <c r="D1172">
        <v>2487</v>
      </c>
      <c r="E1172">
        <v>2255</v>
      </c>
      <c r="F1172" s="5">
        <v>9.3299999999999994E-2</v>
      </c>
      <c r="G1172" s="6">
        <v>69.599999999999994</v>
      </c>
      <c r="H1172">
        <v>17</v>
      </c>
      <c r="I1172">
        <v>212</v>
      </c>
      <c r="J1172">
        <v>3</v>
      </c>
      <c r="K1172">
        <f>Fato_Producao[[#This Row],[embalagens_danificadas]]+Fato_Producao[[#This Row],[peso_errado]]+Fato_Producao[[#This Row],[impressao]]</f>
        <v>232</v>
      </c>
      <c r="L1172" s="1" t="d">
        <v>2025-08-14</v>
      </c>
      <c r="M1172">
        <v>38</v>
      </c>
      <c r="N1172" s="7">
        <v>8.35</v>
      </c>
      <c r="O1172" s="4" t="str">
        <f t="shared" si="54"/>
        <v>setembro</v>
      </c>
      <c r="P1172" s="4">
        <f t="shared" si="55"/>
        <v>2025</v>
      </c>
      <c r="Q1172" s="4" t="str">
        <f t="shared" si="56"/>
        <v/>
      </c>
      <c r="R1172" t="s">
        <v>24</v>
      </c>
    </row>
    <row r="1173" spans="1:18" x14ac:dyDescent="0.3">
      <c r="A1173" s="1" t="d">
        <v>2025-09-22</v>
      </c>
      <c r="B1173">
        <v>45505</v>
      </c>
      <c r="C1173" t="str">
        <f>VLOOKUP(Fato_Producao[[#This Row],[referencia]], Dim_Produtos!A:B,2,FALSE)</f>
        <v>camarao</v>
      </c>
      <c r="D1173">
        <v>3442</v>
      </c>
      <c r="E1173">
        <v>3101</v>
      </c>
      <c r="F1173" s="5">
        <v>9.9099999999999994E-2</v>
      </c>
      <c r="G1173" s="6">
        <v>102.3</v>
      </c>
      <c r="H1173">
        <v>65</v>
      </c>
      <c r="I1173">
        <v>266</v>
      </c>
      <c r="J1173">
        <v>10</v>
      </c>
      <c r="K1173">
        <f>Fato_Producao[[#This Row],[embalagens_danificadas]]+Fato_Producao[[#This Row],[peso_errado]]+Fato_Producao[[#This Row],[impressao]]</f>
        <v>341</v>
      </c>
      <c r="L1173" s="1" t="d">
        <v>2025-08-14</v>
      </c>
      <c r="M1173">
        <v>39</v>
      </c>
      <c r="N1173" s="7">
        <v>15.34</v>
      </c>
      <c r="O1173" s="4" t="str">
        <f t="shared" si="54"/>
        <v>setembro</v>
      </c>
      <c r="P1173" s="4">
        <f t="shared" si="55"/>
        <v>2025</v>
      </c>
      <c r="Q1173" s="4" t="str">
        <f t="shared" si="56"/>
        <v/>
      </c>
      <c r="R1173" t="s">
        <v>24</v>
      </c>
    </row>
    <row r="1174" spans="1:18" x14ac:dyDescent="0.3">
      <c r="A1174" s="1" t="d">
        <v>2025-09-22</v>
      </c>
      <c r="B1174">
        <v>45506</v>
      </c>
      <c r="C1174" t="str">
        <f>VLOOKUP(Fato_Producao[[#This Row],[referencia]], Dim_Produtos!A:B,2,FALSE)</f>
        <v>perca posta</v>
      </c>
      <c r="D1174">
        <v>2365</v>
      </c>
      <c r="E1174">
        <v>2229</v>
      </c>
      <c r="F1174" s="5">
        <v>5.7500000000000002E-2</v>
      </c>
      <c r="G1174" s="6">
        <v>47.6</v>
      </c>
      <c r="H1174">
        <v>4</v>
      </c>
      <c r="I1174">
        <v>128</v>
      </c>
      <c r="J1174">
        <v>4</v>
      </c>
      <c r="K1174">
        <f>Fato_Producao[[#This Row],[embalagens_danificadas]]+Fato_Producao[[#This Row],[peso_errado]]+Fato_Producao[[#This Row],[impressao]]</f>
        <v>136</v>
      </c>
      <c r="L1174" s="1" t="d">
        <v>2025-08-14</v>
      </c>
      <c r="M1174">
        <v>39</v>
      </c>
      <c r="N1174" s="7">
        <v>7.14</v>
      </c>
      <c r="O1174" s="4" t="str">
        <f t="shared" si="54"/>
        <v>setembro</v>
      </c>
      <c r="P1174" s="4">
        <f t="shared" si="55"/>
        <v>2025</v>
      </c>
      <c r="Q1174" s="4" t="str">
        <f t="shared" si="56"/>
        <v/>
      </c>
      <c r="R1174" t="s">
        <v>24</v>
      </c>
    </row>
    <row r="1175" spans="1:18" x14ac:dyDescent="0.3">
      <c r="A1175" s="1" t="d">
        <v>2025-09-23</v>
      </c>
      <c r="B1175">
        <v>45500</v>
      </c>
      <c r="C1175" t="str">
        <f>VLOOKUP(Fato_Producao[[#This Row],[referencia]], Dim_Produtos!A:B,2,FALSE)</f>
        <v>filete pescada</v>
      </c>
      <c r="D1175">
        <v>2913</v>
      </c>
      <c r="E1175">
        <v>2749</v>
      </c>
      <c r="F1175" s="5">
        <v>5.6300000000000003E-2</v>
      </c>
      <c r="G1175" s="6">
        <v>45.92</v>
      </c>
      <c r="H1175">
        <v>9</v>
      </c>
      <c r="I1175">
        <v>152</v>
      </c>
      <c r="J1175">
        <v>3</v>
      </c>
      <c r="K1175">
        <f>Fato_Producao[[#This Row],[embalagens_danificadas]]+Fato_Producao[[#This Row],[peso_errado]]+Fato_Producao[[#This Row],[impressao]]</f>
        <v>164</v>
      </c>
      <c r="L1175" s="1" t="d">
        <v>2025-08-14</v>
      </c>
      <c r="M1175">
        <v>40</v>
      </c>
      <c r="N1175" s="7">
        <v>5.51</v>
      </c>
      <c r="O1175" s="4" t="str">
        <f t="shared" si="54"/>
        <v>setembro</v>
      </c>
      <c r="P1175" s="4">
        <f t="shared" si="55"/>
        <v>2025</v>
      </c>
      <c r="Q1175" s="4" t="str">
        <f t="shared" si="56"/>
        <v/>
      </c>
      <c r="R1175" t="s">
        <v>24</v>
      </c>
    </row>
    <row r="1176" spans="1:18" x14ac:dyDescent="0.3">
      <c r="A1176" s="1" t="d">
        <v>2025-09-24</v>
      </c>
      <c r="B1176">
        <v>45503</v>
      </c>
      <c r="C1176" t="str">
        <f>VLOOKUP(Fato_Producao[[#This Row],[referencia]], Dim_Produtos!A:B,2,FALSE)</f>
        <v>sardinha pequena</v>
      </c>
      <c r="D1176">
        <v>3161</v>
      </c>
      <c r="E1176">
        <v>2899</v>
      </c>
      <c r="F1176" s="5">
        <v>8.2900000000000001E-2</v>
      </c>
      <c r="G1176" s="6">
        <v>68.12</v>
      </c>
      <c r="H1176">
        <v>16</v>
      </c>
      <c r="I1176">
        <v>240</v>
      </c>
      <c r="J1176">
        <v>6</v>
      </c>
      <c r="K1176">
        <f>Fato_Producao[[#This Row],[embalagens_danificadas]]+Fato_Producao[[#This Row],[peso_errado]]+Fato_Producao[[#This Row],[impressao]]</f>
        <v>262</v>
      </c>
      <c r="L1176" s="1" t="d">
        <v>2025-08-14</v>
      </c>
      <c r="M1176">
        <v>41</v>
      </c>
      <c r="N1176" s="7">
        <v>7.49</v>
      </c>
      <c r="O1176" s="4" t="str">
        <f t="shared" si="54"/>
        <v>setembro</v>
      </c>
      <c r="P1176" s="4">
        <f t="shared" si="55"/>
        <v>2025</v>
      </c>
      <c r="Q1176" s="4" t="str">
        <f t="shared" si="56"/>
        <v/>
      </c>
      <c r="R1176" t="s">
        <v>24</v>
      </c>
    </row>
    <row r="1177" spans="1:18" x14ac:dyDescent="0.3">
      <c r="A1177" s="1" t="d">
        <v>2025-09-25</v>
      </c>
      <c r="B1177">
        <v>45503</v>
      </c>
      <c r="C1177" t="str">
        <f>VLOOKUP(Fato_Producao[[#This Row],[referencia]], Dim_Produtos!A:B,2,FALSE)</f>
        <v>sardinha pequena</v>
      </c>
      <c r="D1177">
        <v>3329</v>
      </c>
      <c r="E1177">
        <v>3011</v>
      </c>
      <c r="F1177" s="5">
        <v>9.5500000000000002E-2</v>
      </c>
      <c r="G1177" s="6">
        <v>82.68</v>
      </c>
      <c r="H1177">
        <v>19</v>
      </c>
      <c r="I1177">
        <v>292</v>
      </c>
      <c r="J1177">
        <v>7</v>
      </c>
      <c r="K1177">
        <f>Fato_Producao[[#This Row],[embalagens_danificadas]]+Fato_Producao[[#This Row],[peso_errado]]+Fato_Producao[[#This Row],[impressao]]</f>
        <v>318</v>
      </c>
      <c r="L1177" s="1" t="d">
        <v>2025-08-14</v>
      </c>
      <c r="M1177">
        <v>42</v>
      </c>
      <c r="N1177" s="7">
        <v>9.09</v>
      </c>
      <c r="O1177" s="4" t="str">
        <f t="shared" si="54"/>
        <v>setembro</v>
      </c>
      <c r="P1177" s="4">
        <f t="shared" si="55"/>
        <v>2025</v>
      </c>
      <c r="Q1177" s="4" t="str">
        <f t="shared" si="56"/>
        <v/>
      </c>
      <c r="R1177" t="s">
        <v>24</v>
      </c>
    </row>
    <row r="1178" spans="1:18" x14ac:dyDescent="0.3">
      <c r="A1178" s="1" t="d">
        <v>2025-09-25</v>
      </c>
      <c r="B1178">
        <v>45514</v>
      </c>
      <c r="C1178" t="str">
        <f>VLOOKUP(Fato_Producao[[#This Row],[referencia]], Dim_Produtos!A:B,2,FALSE)</f>
        <v>sardinha pequena</v>
      </c>
      <c r="D1178">
        <v>3786</v>
      </c>
      <c r="E1178">
        <v>3463</v>
      </c>
      <c r="F1178" s="5">
        <v>8.5300000000000001E-2</v>
      </c>
      <c r="G1178" s="6">
        <v>96.9</v>
      </c>
      <c r="H1178">
        <v>13</v>
      </c>
      <c r="I1178">
        <v>301</v>
      </c>
      <c r="J1178">
        <v>9</v>
      </c>
      <c r="K1178">
        <f>Fato_Producao[[#This Row],[embalagens_danificadas]]+Fato_Producao[[#This Row],[peso_errado]]+Fato_Producao[[#This Row],[impressao]]</f>
        <v>323</v>
      </c>
      <c r="L1178" s="1" t="d">
        <v>2025-08-14</v>
      </c>
      <c r="M1178">
        <v>42</v>
      </c>
      <c r="N1178" s="7">
        <v>11.63</v>
      </c>
      <c r="O1178" s="4" t="str">
        <f t="shared" si="54"/>
        <v>setembro</v>
      </c>
      <c r="P1178" s="4">
        <f t="shared" si="55"/>
        <v>2025</v>
      </c>
      <c r="Q1178" s="4" t="str">
        <f t="shared" si="56"/>
        <v/>
      </c>
      <c r="R1178" t="s">
        <v>24</v>
      </c>
    </row>
    <row r="1179" spans="1:18" x14ac:dyDescent="0.3">
      <c r="A1179" s="1" t="d">
        <v>2025-09-26</v>
      </c>
      <c r="B1179">
        <v>45502</v>
      </c>
      <c r="C1179" t="str">
        <f>VLOOKUP(Fato_Producao[[#This Row],[referencia]], Dim_Produtos!A:B,2,FALSE)</f>
        <v>carapau pelim</v>
      </c>
      <c r="D1179">
        <v>4132</v>
      </c>
      <c r="E1179">
        <v>3736</v>
      </c>
      <c r="F1179" s="5">
        <v>9.5799999999999996E-2</v>
      </c>
      <c r="G1179" s="6">
        <v>118.8</v>
      </c>
      <c r="H1179">
        <v>171</v>
      </c>
      <c r="I1179">
        <v>83</v>
      </c>
      <c r="J1179">
        <v>142</v>
      </c>
      <c r="K1179">
        <f>Fato_Producao[[#This Row],[embalagens_danificadas]]+Fato_Producao[[#This Row],[peso_errado]]+Fato_Producao[[#This Row],[impressao]]</f>
        <v>396</v>
      </c>
      <c r="L1179" s="1" t="d">
        <v>2025-08-14</v>
      </c>
      <c r="M1179">
        <v>43</v>
      </c>
      <c r="N1179" s="7">
        <v>15.44</v>
      </c>
      <c r="O1179" s="4" t="str">
        <f t="shared" si="54"/>
        <v>setembro</v>
      </c>
      <c r="P1179" s="4">
        <f t="shared" si="55"/>
        <v>2025</v>
      </c>
      <c r="Q1179" s="4" t="str">
        <f t="shared" si="56"/>
        <v/>
      </c>
      <c r="R1179" t="s">
        <v>50</v>
      </c>
    </row>
    <row r="1180" spans="1:18" x14ac:dyDescent="0.3">
      <c r="A1180" s="1" t="d">
        <v>2025-09-26</v>
      </c>
      <c r="B1180">
        <v>45509</v>
      </c>
      <c r="C1180" t="str">
        <f>VLOOKUP(Fato_Producao[[#This Row],[referencia]], Dim_Produtos!A:B,2,FALSE)</f>
        <v>lascas bacalhau</v>
      </c>
      <c r="D1180">
        <v>2187</v>
      </c>
      <c r="E1180">
        <v>1958</v>
      </c>
      <c r="F1180" s="5">
        <v>0.1047</v>
      </c>
      <c r="G1180" s="6">
        <v>64.12</v>
      </c>
      <c r="H1180">
        <v>6</v>
      </c>
      <c r="I1180">
        <v>217</v>
      </c>
      <c r="J1180">
        <v>6</v>
      </c>
      <c r="K1180">
        <f>Fato_Producao[[#This Row],[embalagens_danificadas]]+Fato_Producao[[#This Row],[peso_errado]]+Fato_Producao[[#This Row],[impressao]]</f>
        <v>229</v>
      </c>
      <c r="L1180" s="1" t="d">
        <v>2025-08-14</v>
      </c>
      <c r="M1180">
        <v>43</v>
      </c>
      <c r="N1180" s="7">
        <v>8.34</v>
      </c>
      <c r="O1180" s="4" t="str">
        <f t="shared" si="54"/>
        <v>setembro</v>
      </c>
      <c r="P1180" s="4">
        <f t="shared" si="55"/>
        <v>2025</v>
      </c>
      <c r="Q1180" s="4" t="str">
        <f t="shared" si="56"/>
        <v/>
      </c>
      <c r="R1180" t="s">
        <v>24</v>
      </c>
    </row>
    <row r="1181" spans="1:18" x14ac:dyDescent="0.3">
      <c r="A1181" s="1" t="d">
        <v>2025-09-27</v>
      </c>
      <c r="B1181">
        <v>45503</v>
      </c>
      <c r="C1181" t="str">
        <f>VLOOKUP(Fato_Producao[[#This Row],[referencia]], Dim_Produtos!A:B,2,FALSE)</f>
        <v>sardinha pequena</v>
      </c>
      <c r="D1181">
        <v>4124</v>
      </c>
      <c r="E1181">
        <v>3767</v>
      </c>
      <c r="F1181" s="5">
        <v>8.6599999999999996E-2</v>
      </c>
      <c r="G1181" s="6">
        <v>92.82</v>
      </c>
      <c r="H1181">
        <v>19</v>
      </c>
      <c r="I1181">
        <v>328</v>
      </c>
      <c r="J1181">
        <v>10</v>
      </c>
      <c r="K1181">
        <f>Fato_Producao[[#This Row],[embalagens_danificadas]]+Fato_Producao[[#This Row],[peso_errado]]+Fato_Producao[[#This Row],[impressao]]</f>
        <v>357</v>
      </c>
      <c r="L1181" s="1" t="d">
        <v>2025-08-14</v>
      </c>
      <c r="M1181">
        <v>44</v>
      </c>
      <c r="N1181" s="7">
        <v>10.210000000000001</v>
      </c>
      <c r="O1181" s="4" t="str">
        <f t="shared" si="54"/>
        <v>setembro</v>
      </c>
      <c r="P1181" s="4">
        <f t="shared" si="55"/>
        <v>2025</v>
      </c>
      <c r="Q1181" s="4" t="str">
        <f t="shared" si="56"/>
        <v/>
      </c>
      <c r="R1181" t="s">
        <v>24</v>
      </c>
    </row>
    <row r="1182" spans="1:18" x14ac:dyDescent="0.3">
      <c r="A1182" s="1" t="d">
        <v>2025-09-27</v>
      </c>
      <c r="B1182">
        <v>45509</v>
      </c>
      <c r="C1182" t="str">
        <f>VLOOKUP(Fato_Producao[[#This Row],[referencia]], Dim_Produtos!A:B,2,FALSE)</f>
        <v>lascas bacalhau</v>
      </c>
      <c r="D1182">
        <v>4141</v>
      </c>
      <c r="E1182">
        <v>3729</v>
      </c>
      <c r="F1182" s="5">
        <v>9.9500000000000005E-2</v>
      </c>
      <c r="G1182" s="6">
        <v>115.36</v>
      </c>
      <c r="H1182">
        <v>18</v>
      </c>
      <c r="I1182">
        <v>387</v>
      </c>
      <c r="J1182">
        <v>7</v>
      </c>
      <c r="K1182">
        <f>Fato_Producao[[#This Row],[embalagens_danificadas]]+Fato_Producao[[#This Row],[peso_errado]]+Fato_Producao[[#This Row],[impressao]]</f>
        <v>412</v>
      </c>
      <c r="L1182" s="1" t="d">
        <v>2025-08-14</v>
      </c>
      <c r="M1182">
        <v>44</v>
      </c>
      <c r="N1182" s="7">
        <v>15</v>
      </c>
      <c r="O1182" s="4" t="str">
        <f t="shared" si="54"/>
        <v>setembro</v>
      </c>
      <c r="P1182" s="4">
        <f t="shared" si="55"/>
        <v>2025</v>
      </c>
      <c r="Q1182" s="4" t="str">
        <f t="shared" si="56"/>
        <v/>
      </c>
      <c r="R1182" t="s">
        <v>24</v>
      </c>
    </row>
    <row r="1183" spans="1:18" x14ac:dyDescent="0.3">
      <c r="A1183" s="1" t="d">
        <v>2025-09-28</v>
      </c>
      <c r="B1183">
        <v>45502</v>
      </c>
      <c r="C1183" t="str">
        <f>VLOOKUP(Fato_Producao[[#This Row],[referencia]], Dim_Produtos!A:B,2,FALSE)</f>
        <v>carapau pelim</v>
      </c>
      <c r="D1183">
        <v>4181</v>
      </c>
      <c r="E1183">
        <v>3791</v>
      </c>
      <c r="F1183" s="5">
        <v>9.3299999999999994E-2</v>
      </c>
      <c r="G1183" s="6">
        <v>117</v>
      </c>
      <c r="H1183">
        <v>73</v>
      </c>
      <c r="I1183">
        <v>303</v>
      </c>
      <c r="J1183">
        <v>14</v>
      </c>
      <c r="K1183">
        <f>Fato_Producao[[#This Row],[embalagens_danificadas]]+Fato_Producao[[#This Row],[peso_errado]]+Fato_Producao[[#This Row],[impressao]]</f>
        <v>390</v>
      </c>
      <c r="L1183" s="1" t="d">
        <v>2025-08-14</v>
      </c>
      <c r="M1183">
        <v>45</v>
      </c>
      <c r="N1183" s="7">
        <v>15.21</v>
      </c>
      <c r="O1183" s="4" t="str">
        <f t="shared" si="54"/>
        <v>setembro</v>
      </c>
      <c r="P1183" s="4">
        <f t="shared" si="55"/>
        <v>2025</v>
      </c>
      <c r="Q1183" s="4" t="str">
        <f t="shared" si="56"/>
        <v/>
      </c>
      <c r="R1183" t="s">
        <v>24</v>
      </c>
    </row>
    <row r="1184" spans="1:18" x14ac:dyDescent="0.3">
      <c r="A1184" s="1" t="d">
        <v>2025-09-29</v>
      </c>
      <c r="B1184">
        <v>45505</v>
      </c>
      <c r="C1184" t="str">
        <f>VLOOKUP(Fato_Producao[[#This Row],[referencia]], Dim_Produtos!A:B,2,FALSE)</f>
        <v>camarao</v>
      </c>
      <c r="D1184">
        <v>3219</v>
      </c>
      <c r="E1184">
        <v>2887</v>
      </c>
      <c r="F1184" s="5">
        <v>0.1031</v>
      </c>
      <c r="G1184" s="6">
        <v>99.6</v>
      </c>
      <c r="H1184">
        <v>97</v>
      </c>
      <c r="I1184">
        <v>231</v>
      </c>
      <c r="J1184">
        <v>4</v>
      </c>
      <c r="K1184">
        <f>Fato_Producao[[#This Row],[embalagens_danificadas]]+Fato_Producao[[#This Row],[peso_errado]]+Fato_Producao[[#This Row],[impressao]]</f>
        <v>332</v>
      </c>
      <c r="L1184" s="1" t="d">
        <v>2025-08-14</v>
      </c>
      <c r="M1184">
        <v>46</v>
      </c>
      <c r="N1184" s="7">
        <v>14.94</v>
      </c>
      <c r="O1184" s="4" t="str">
        <f t="shared" si="54"/>
        <v>setembro</v>
      </c>
      <c r="P1184" s="4">
        <f t="shared" si="55"/>
        <v>2025</v>
      </c>
      <c r="Q1184" s="4" t="str">
        <f t="shared" si="56"/>
        <v/>
      </c>
      <c r="R1184" t="s">
        <v>24</v>
      </c>
    </row>
    <row r="1185" spans="1:18" x14ac:dyDescent="0.3">
      <c r="A1185" s="1" t="d">
        <v>2025-09-29</v>
      </c>
      <c r="B1185">
        <v>45514</v>
      </c>
      <c r="C1185" t="str">
        <f>VLOOKUP(Fato_Producao[[#This Row],[referencia]], Dim_Produtos!A:B,2,FALSE)</f>
        <v>sardinha pequena</v>
      </c>
      <c r="D1185">
        <v>2784</v>
      </c>
      <c r="E1185">
        <v>2466</v>
      </c>
      <c r="F1185" s="5">
        <v>0.1142</v>
      </c>
      <c r="G1185" s="6">
        <v>95.4</v>
      </c>
      <c r="H1185">
        <v>9</v>
      </c>
      <c r="I1185">
        <v>300</v>
      </c>
      <c r="J1185">
        <v>9</v>
      </c>
      <c r="K1185">
        <f>Fato_Producao[[#This Row],[embalagens_danificadas]]+Fato_Producao[[#This Row],[peso_errado]]+Fato_Producao[[#This Row],[impressao]]</f>
        <v>318</v>
      </c>
      <c r="L1185" s="1" t="d">
        <v>2025-08-14</v>
      </c>
      <c r="M1185">
        <v>46</v>
      </c>
      <c r="N1185" s="7">
        <v>11.45</v>
      </c>
      <c r="O1185" s="4" t="str">
        <f t="shared" si="54"/>
        <v>setembro</v>
      </c>
      <c r="P1185" s="4">
        <f t="shared" si="55"/>
        <v>2025</v>
      </c>
      <c r="Q1185" s="4" t="str">
        <f t="shared" si="56"/>
        <v/>
      </c>
      <c r="R1185" t="s">
        <v>24</v>
      </c>
    </row>
    <row r="1186" spans="1:18" x14ac:dyDescent="0.3">
      <c r="A1186" s="1" t="d">
        <v>2025-09-30</v>
      </c>
      <c r="B1186">
        <v>45508</v>
      </c>
      <c r="C1186" t="str">
        <f>VLOOKUP(Fato_Producao[[#This Row],[referencia]], Dim_Produtos!A:B,2,FALSE)</f>
        <v>lula suja</v>
      </c>
      <c r="D1186">
        <v>3302</v>
      </c>
      <c r="E1186">
        <v>2924</v>
      </c>
      <c r="F1186" s="5">
        <v>0.1145</v>
      </c>
      <c r="G1186" s="6">
        <v>120.96</v>
      </c>
      <c r="H1186">
        <v>49</v>
      </c>
      <c r="I1186">
        <v>323</v>
      </c>
      <c r="J1186">
        <v>6</v>
      </c>
      <c r="K1186">
        <f>Fato_Producao[[#This Row],[embalagens_danificadas]]+Fato_Producao[[#This Row],[peso_errado]]+Fato_Producao[[#This Row],[impressao]]</f>
        <v>378</v>
      </c>
      <c r="L1186" s="1" t="d">
        <v>2025-08-14</v>
      </c>
      <c r="M1186">
        <v>47</v>
      </c>
      <c r="N1186" s="7">
        <v>16.93</v>
      </c>
      <c r="O1186" s="4" t="str">
        <f t="shared" si="54"/>
        <v>setembro</v>
      </c>
      <c r="P1186" s="4">
        <f t="shared" si="55"/>
        <v>2025</v>
      </c>
      <c r="Q1186" s="4" t="str">
        <f t="shared" si="56"/>
        <v/>
      </c>
      <c r="R1186" t="s">
        <v>24</v>
      </c>
    </row>
    <row r="1187" spans="1:18" x14ac:dyDescent="0.3">
      <c r="A1187" s="1" t="d">
        <v>2025-10-01</v>
      </c>
      <c r="B1187">
        <v>45507</v>
      </c>
      <c r="C1187" t="str">
        <f>VLOOKUP(Fato_Producao[[#This Row],[referencia]], Dim_Produtos!A:B,2,FALSE)</f>
        <v>salmao posta</v>
      </c>
      <c r="D1187">
        <v>3404</v>
      </c>
      <c r="E1187">
        <v>3127</v>
      </c>
      <c r="F1187" s="5">
        <v>8.14E-2</v>
      </c>
      <c r="G1187" s="6">
        <v>96.95</v>
      </c>
      <c r="H1187">
        <v>5</v>
      </c>
      <c r="I1187">
        <v>264</v>
      </c>
      <c r="J1187">
        <v>8</v>
      </c>
      <c r="K1187">
        <f>Fato_Producao[[#This Row],[embalagens_danificadas]]+Fato_Producao[[#This Row],[peso_errado]]+Fato_Producao[[#This Row],[impressao]]</f>
        <v>277</v>
      </c>
      <c r="L1187" s="1" t="d">
        <v>2025-08-14</v>
      </c>
      <c r="M1187">
        <v>48</v>
      </c>
      <c r="N1187" s="7">
        <v>15.51</v>
      </c>
      <c r="O1187" s="4" t="str">
        <f t="shared" si="54"/>
        <v>outubro</v>
      </c>
      <c r="P1187" s="4">
        <f t="shared" si="55"/>
        <v>2025</v>
      </c>
      <c r="Q1187" s="4" t="str">
        <f t="shared" si="56"/>
        <v/>
      </c>
      <c r="R1187" t="s">
        <v>24</v>
      </c>
    </row>
    <row r="1188" spans="1:18" x14ac:dyDescent="0.3">
      <c r="A1188" s="1" t="d">
        <v>2025-10-01</v>
      </c>
      <c r="B1188">
        <v>45514</v>
      </c>
      <c r="C1188" t="str">
        <f>VLOOKUP(Fato_Producao[[#This Row],[referencia]], Dim_Produtos!A:B,2,FALSE)</f>
        <v>sardinha pequena</v>
      </c>
      <c r="D1188">
        <v>2269</v>
      </c>
      <c r="E1188">
        <v>2062</v>
      </c>
      <c r="F1188" s="5">
        <v>9.1200000000000003E-2</v>
      </c>
      <c r="G1188" s="6">
        <v>62.1</v>
      </c>
      <c r="H1188">
        <v>11</v>
      </c>
      <c r="I1188">
        <v>191</v>
      </c>
      <c r="J1188">
        <v>5</v>
      </c>
      <c r="K1188">
        <f>Fato_Producao[[#This Row],[embalagens_danificadas]]+Fato_Producao[[#This Row],[peso_errado]]+Fato_Producao[[#This Row],[impressao]]</f>
        <v>207</v>
      </c>
      <c r="L1188" s="1" t="d">
        <v>2025-08-14</v>
      </c>
      <c r="M1188">
        <v>48</v>
      </c>
      <c r="N1188" s="7">
        <v>7.45</v>
      </c>
      <c r="O1188" s="4" t="str">
        <f t="shared" si="54"/>
        <v>outubro</v>
      </c>
      <c r="P1188" s="4">
        <f t="shared" si="55"/>
        <v>2025</v>
      </c>
      <c r="Q1188" s="4" t="str">
        <f t="shared" si="56"/>
        <v/>
      </c>
      <c r="R1188" t="s">
        <v>24</v>
      </c>
    </row>
    <row r="1189" spans="1:18" x14ac:dyDescent="0.3">
      <c r="A1189" s="1" t="d">
        <v>2025-10-02</v>
      </c>
      <c r="B1189">
        <v>45500</v>
      </c>
      <c r="C1189" t="str">
        <f>VLOOKUP(Fato_Producao[[#This Row],[referencia]], Dim_Produtos!A:B,2,FALSE)</f>
        <v>filete pescada</v>
      </c>
      <c r="D1189">
        <v>3811</v>
      </c>
      <c r="E1189">
        <v>3502</v>
      </c>
      <c r="F1189" s="5">
        <v>8.1100000000000005E-2</v>
      </c>
      <c r="G1189" s="6">
        <v>86.52</v>
      </c>
      <c r="H1189">
        <v>16</v>
      </c>
      <c r="I1189">
        <v>287</v>
      </c>
      <c r="J1189">
        <v>6</v>
      </c>
      <c r="K1189">
        <f>Fato_Producao[[#This Row],[embalagens_danificadas]]+Fato_Producao[[#This Row],[peso_errado]]+Fato_Producao[[#This Row],[impressao]]</f>
        <v>309</v>
      </c>
      <c r="L1189" s="1" t="d">
        <v>2025-08-14</v>
      </c>
      <c r="M1189">
        <v>49</v>
      </c>
      <c r="N1189" s="7">
        <v>10.38</v>
      </c>
      <c r="O1189" s="4" t="str">
        <f t="shared" si="54"/>
        <v>outubro</v>
      </c>
      <c r="P1189" s="4">
        <f t="shared" si="55"/>
        <v>2025</v>
      </c>
      <c r="Q1189" s="4" t="str">
        <f t="shared" si="56"/>
        <v/>
      </c>
      <c r="R1189" t="s">
        <v>24</v>
      </c>
    </row>
    <row r="1190" spans="1:18" x14ac:dyDescent="0.3">
      <c r="A1190" s="1" t="d">
        <v>2025-10-02</v>
      </c>
      <c r="B1190">
        <v>45504</v>
      </c>
      <c r="C1190" t="str">
        <f>VLOOKUP(Fato_Producao[[#This Row],[referencia]], Dim_Produtos!A:B,2,FALSE)</f>
        <v>pescada posta fritar</v>
      </c>
      <c r="D1190">
        <v>2728</v>
      </c>
      <c r="E1190">
        <v>2456</v>
      </c>
      <c r="F1190" s="5">
        <v>9.9699999999999997E-2</v>
      </c>
      <c r="G1190" s="6">
        <v>87.04</v>
      </c>
      <c r="H1190">
        <v>11</v>
      </c>
      <c r="I1190">
        <v>257</v>
      </c>
      <c r="J1190">
        <v>4</v>
      </c>
      <c r="K1190">
        <f>Fato_Producao[[#This Row],[embalagens_danificadas]]+Fato_Producao[[#This Row],[peso_errado]]+Fato_Producao[[#This Row],[impressao]]</f>
        <v>272</v>
      </c>
      <c r="L1190" s="1" t="d">
        <v>2025-08-14</v>
      </c>
      <c r="M1190">
        <v>49</v>
      </c>
      <c r="N1190" s="7">
        <v>12.19</v>
      </c>
      <c r="O1190" s="4" t="str">
        <f t="shared" si="54"/>
        <v>outubro</v>
      </c>
      <c r="P1190" s="4">
        <f t="shared" si="55"/>
        <v>2025</v>
      </c>
      <c r="Q1190" s="4" t="str">
        <f t="shared" si="56"/>
        <v/>
      </c>
      <c r="R1190" t="s">
        <v>24</v>
      </c>
    </row>
    <row r="1191" spans="1:18" x14ac:dyDescent="0.3">
      <c r="A1191" s="1" t="d">
        <v>2025-10-03</v>
      </c>
      <c r="B1191">
        <v>45500</v>
      </c>
      <c r="C1191" t="str">
        <f>VLOOKUP(Fato_Producao[[#This Row],[referencia]], Dim_Produtos!A:B,2,FALSE)</f>
        <v>filete pescada</v>
      </c>
      <c r="D1191">
        <v>2088</v>
      </c>
      <c r="E1191">
        <v>1942</v>
      </c>
      <c r="F1191" s="5">
        <v>6.9900000000000004E-2</v>
      </c>
      <c r="G1191" s="6">
        <v>40.880000000000003</v>
      </c>
      <c r="H1191">
        <v>9</v>
      </c>
      <c r="I1191">
        <v>134</v>
      </c>
      <c r="J1191">
        <v>3</v>
      </c>
      <c r="K1191">
        <f>Fato_Producao[[#This Row],[embalagens_danificadas]]+Fato_Producao[[#This Row],[peso_errado]]+Fato_Producao[[#This Row],[impressao]]</f>
        <v>146</v>
      </c>
      <c r="L1191" s="1" t="d">
        <v>2025-08-14</v>
      </c>
      <c r="M1191">
        <v>50</v>
      </c>
      <c r="N1191" s="7">
        <v>4.91</v>
      </c>
      <c r="O1191" s="4" t="str">
        <f t="shared" si="54"/>
        <v>outubro</v>
      </c>
      <c r="P1191" s="4">
        <f t="shared" si="55"/>
        <v>2025</v>
      </c>
      <c r="Q1191" s="4" t="str">
        <f t="shared" si="56"/>
        <v/>
      </c>
      <c r="R1191" t="s">
        <v>24</v>
      </c>
    </row>
    <row r="1192" spans="1:18" x14ac:dyDescent="0.3">
      <c r="A1192" s="1" t="d">
        <v>2025-10-03</v>
      </c>
      <c r="B1192">
        <v>45507</v>
      </c>
      <c r="C1192" t="str">
        <f>VLOOKUP(Fato_Producao[[#This Row],[referencia]], Dim_Produtos!A:B,2,FALSE)</f>
        <v>salmao posta</v>
      </c>
      <c r="D1192">
        <v>3206</v>
      </c>
      <c r="E1192">
        <v>2940</v>
      </c>
      <c r="F1192" s="5">
        <v>8.3000000000000004E-2</v>
      </c>
      <c r="G1192" s="6">
        <v>93.1</v>
      </c>
      <c r="H1192">
        <v>10</v>
      </c>
      <c r="I1192">
        <v>249</v>
      </c>
      <c r="J1192">
        <v>7</v>
      </c>
      <c r="K1192">
        <f>Fato_Producao[[#This Row],[embalagens_danificadas]]+Fato_Producao[[#This Row],[peso_errado]]+Fato_Producao[[#This Row],[impressao]]</f>
        <v>266</v>
      </c>
      <c r="L1192" s="1" t="d">
        <v>2025-08-14</v>
      </c>
      <c r="M1192">
        <v>50</v>
      </c>
      <c r="N1192" s="7">
        <v>14.9</v>
      </c>
      <c r="O1192" s="4" t="str">
        <f t="shared" si="54"/>
        <v>outubro</v>
      </c>
      <c r="P1192" s="4">
        <f t="shared" si="55"/>
        <v>2025</v>
      </c>
      <c r="Q1192" s="4" t="str">
        <f t="shared" si="56"/>
        <v/>
      </c>
      <c r="R1192" t="s">
        <v>24</v>
      </c>
    </row>
    <row r="1193" spans="1:18" x14ac:dyDescent="0.3">
      <c r="A1193" s="1" t="d">
        <v>2025-10-04</v>
      </c>
      <c r="B1193">
        <v>45511</v>
      </c>
      <c r="C1193" t="str">
        <f>VLOOKUP(Fato_Producao[[#This Row],[referencia]], Dim_Produtos!A:B,2,FALSE)</f>
        <v>lula limpa</v>
      </c>
      <c r="D1193">
        <v>3041</v>
      </c>
      <c r="E1193">
        <v>2666</v>
      </c>
      <c r="F1193" s="5">
        <v>0.12330000000000001</v>
      </c>
      <c r="G1193" s="6">
        <v>120</v>
      </c>
      <c r="H1193">
        <v>45</v>
      </c>
      <c r="I1193">
        <v>321</v>
      </c>
      <c r="J1193">
        <v>9</v>
      </c>
      <c r="K1193">
        <f>Fato_Producao[[#This Row],[embalagens_danificadas]]+Fato_Producao[[#This Row],[peso_errado]]+Fato_Producao[[#This Row],[impressao]]</f>
        <v>375</v>
      </c>
      <c r="L1193" s="1" t="d">
        <v>2025-08-14</v>
      </c>
      <c r="M1193">
        <v>51</v>
      </c>
      <c r="N1193" s="7">
        <v>16.8</v>
      </c>
      <c r="O1193" s="4" t="str">
        <f t="shared" si="54"/>
        <v>outubro</v>
      </c>
      <c r="P1193" s="4">
        <f t="shared" si="55"/>
        <v>2025</v>
      </c>
      <c r="Q1193" s="4" t="str">
        <f t="shared" si="56"/>
        <v/>
      </c>
      <c r="R1193" t="s">
        <v>24</v>
      </c>
    </row>
    <row r="1194" spans="1:18" x14ac:dyDescent="0.3">
      <c r="A1194" s="1" t="d">
        <v>2025-10-04</v>
      </c>
      <c r="B1194">
        <v>45513</v>
      </c>
      <c r="C1194" t="str">
        <f>VLOOKUP(Fato_Producao[[#This Row],[referencia]], Dim_Produtos!A:B,2,FALSE)</f>
        <v>filete pescada</v>
      </c>
      <c r="D1194">
        <v>2692</v>
      </c>
      <c r="E1194">
        <v>2428</v>
      </c>
      <c r="F1194" s="5">
        <v>9.8100000000000007E-2</v>
      </c>
      <c r="G1194" s="6">
        <v>84.48</v>
      </c>
      <c r="H1194">
        <v>11</v>
      </c>
      <c r="I1194">
        <v>249</v>
      </c>
      <c r="J1194">
        <v>4</v>
      </c>
      <c r="K1194">
        <f>Fato_Producao[[#This Row],[embalagens_danificadas]]+Fato_Producao[[#This Row],[peso_errado]]+Fato_Producao[[#This Row],[impressao]]</f>
        <v>264</v>
      </c>
      <c r="L1194" s="1" t="d">
        <v>2025-08-14</v>
      </c>
      <c r="M1194">
        <v>51</v>
      </c>
      <c r="N1194" s="7">
        <v>10.98</v>
      </c>
      <c r="O1194" s="4" t="str">
        <f t="shared" si="54"/>
        <v>outubro</v>
      </c>
      <c r="P1194" s="4">
        <f t="shared" si="55"/>
        <v>2025</v>
      </c>
      <c r="Q1194" s="4" t="str">
        <f t="shared" si="56"/>
        <v/>
      </c>
      <c r="R1194" t="s">
        <v>24</v>
      </c>
    </row>
    <row r="1195" spans="1:18" x14ac:dyDescent="0.3">
      <c r="A1195" s="1" t="d">
        <v>2025-10-05</v>
      </c>
      <c r="B1195">
        <v>45502</v>
      </c>
      <c r="C1195" t="str">
        <f>VLOOKUP(Fato_Producao[[#This Row],[referencia]], Dim_Produtos!A:B,2,FALSE)</f>
        <v>carapau pelim</v>
      </c>
      <c r="D1195">
        <v>2717</v>
      </c>
      <c r="E1195">
        <v>2407</v>
      </c>
      <c r="F1195" s="5">
        <v>0.11409999999999999</v>
      </c>
      <c r="G1195" s="6">
        <v>93</v>
      </c>
      <c r="H1195">
        <v>92</v>
      </c>
      <c r="I1195">
        <v>208</v>
      </c>
      <c r="J1195">
        <v>10</v>
      </c>
      <c r="K1195">
        <f>Fato_Producao[[#This Row],[embalagens_danificadas]]+Fato_Producao[[#This Row],[peso_errado]]+Fato_Producao[[#This Row],[impressao]]</f>
        <v>310</v>
      </c>
      <c r="L1195" s="1" t="d">
        <v>2025-08-14</v>
      </c>
      <c r="M1195">
        <v>52</v>
      </c>
      <c r="N1195" s="7">
        <v>12.09</v>
      </c>
      <c r="O1195" s="4" t="str">
        <f t="shared" si="54"/>
        <v>outubro</v>
      </c>
      <c r="P1195" s="4">
        <f t="shared" si="55"/>
        <v>2025</v>
      </c>
      <c r="Q1195" s="4" t="str">
        <f t="shared" si="56"/>
        <v/>
      </c>
      <c r="R1195" t="s">
        <v>24</v>
      </c>
    </row>
    <row r="1196" spans="1:18" x14ac:dyDescent="0.3">
      <c r="A1196" s="1" t="d">
        <v>2025-10-06</v>
      </c>
      <c r="B1196">
        <v>45503</v>
      </c>
      <c r="C1196" t="str">
        <f>VLOOKUP(Fato_Producao[[#This Row],[referencia]], Dim_Produtos!A:B,2,FALSE)</f>
        <v>sardinha pequena</v>
      </c>
      <c r="D1196">
        <v>2895</v>
      </c>
      <c r="E1196">
        <v>2662</v>
      </c>
      <c r="F1196" s="5">
        <v>8.0500000000000002E-2</v>
      </c>
      <c r="G1196" s="6">
        <v>60.58</v>
      </c>
      <c r="H1196">
        <v>15</v>
      </c>
      <c r="I1196">
        <v>213</v>
      </c>
      <c r="J1196">
        <v>5</v>
      </c>
      <c r="K1196">
        <f>Fato_Producao[[#This Row],[embalagens_danificadas]]+Fato_Producao[[#This Row],[peso_errado]]+Fato_Producao[[#This Row],[impressao]]</f>
        <v>233</v>
      </c>
      <c r="L1196" s="1" t="d">
        <v>2025-08-14</v>
      </c>
      <c r="M1196">
        <v>53</v>
      </c>
      <c r="N1196" s="7">
        <v>6.66</v>
      </c>
      <c r="O1196" s="4" t="str">
        <f t="shared" si="54"/>
        <v>outubro</v>
      </c>
      <c r="P1196" s="4">
        <f t="shared" si="55"/>
        <v>2025</v>
      </c>
      <c r="Q1196" s="4" t="str">
        <f t="shared" si="56"/>
        <v/>
      </c>
      <c r="R1196" t="s">
        <v>24</v>
      </c>
    </row>
    <row r="1197" spans="1:18" x14ac:dyDescent="0.3">
      <c r="A1197" s="1" t="d">
        <v>2025-10-06</v>
      </c>
      <c r="B1197">
        <v>45509</v>
      </c>
      <c r="C1197" t="str">
        <f>VLOOKUP(Fato_Producao[[#This Row],[referencia]], Dim_Produtos!A:B,2,FALSE)</f>
        <v>lascas bacalhau</v>
      </c>
      <c r="D1197">
        <v>3556</v>
      </c>
      <c r="E1197">
        <v>3264</v>
      </c>
      <c r="F1197" s="5">
        <v>8.2100000000000006E-2</v>
      </c>
      <c r="G1197" s="6">
        <v>81.760000000000005</v>
      </c>
      <c r="H1197">
        <v>11</v>
      </c>
      <c r="I1197">
        <v>277</v>
      </c>
      <c r="J1197">
        <v>4</v>
      </c>
      <c r="K1197">
        <f>Fato_Producao[[#This Row],[embalagens_danificadas]]+Fato_Producao[[#This Row],[peso_errado]]+Fato_Producao[[#This Row],[impressao]]</f>
        <v>292</v>
      </c>
      <c r="L1197" s="1" t="d">
        <v>2025-08-14</v>
      </c>
      <c r="M1197">
        <v>53</v>
      </c>
      <c r="N1197" s="7">
        <v>10.63</v>
      </c>
      <c r="O1197" s="4" t="str">
        <f t="shared" si="54"/>
        <v>outubro</v>
      </c>
      <c r="P1197" s="4">
        <f t="shared" si="55"/>
        <v>2025</v>
      </c>
      <c r="Q1197" s="4" t="str">
        <f t="shared" si="56"/>
        <v/>
      </c>
      <c r="R1197" t="s">
        <v>24</v>
      </c>
    </row>
    <row r="1198" spans="1:18" x14ac:dyDescent="0.3">
      <c r="A1198" s="1" t="d">
        <v>2025-10-07</v>
      </c>
      <c r="B1198">
        <v>45502</v>
      </c>
      <c r="C1198" t="str">
        <f>VLOOKUP(Fato_Producao[[#This Row],[referencia]], Dim_Produtos!A:B,2,FALSE)</f>
        <v>carapau pelim</v>
      </c>
      <c r="D1198">
        <v>3934</v>
      </c>
      <c r="E1198">
        <v>3553</v>
      </c>
      <c r="F1198" s="5">
        <v>9.6799999999999997E-2</v>
      </c>
      <c r="G1198" s="6">
        <v>114.3</v>
      </c>
      <c r="H1198">
        <v>93</v>
      </c>
      <c r="I1198">
        <v>277</v>
      </c>
      <c r="J1198">
        <v>11</v>
      </c>
      <c r="K1198">
        <f>Fato_Producao[[#This Row],[embalagens_danificadas]]+Fato_Producao[[#This Row],[peso_errado]]+Fato_Producao[[#This Row],[impressao]]</f>
        <v>381</v>
      </c>
      <c r="L1198" s="1" t="d">
        <v>2025-08-14</v>
      </c>
      <c r="M1198">
        <v>54</v>
      </c>
      <c r="N1198" s="7">
        <v>14.86</v>
      </c>
      <c r="O1198" s="4" t="str">
        <f t="shared" si="54"/>
        <v>outubro</v>
      </c>
      <c r="P1198" s="4">
        <f t="shared" si="55"/>
        <v>2025</v>
      </c>
      <c r="Q1198" s="4" t="str">
        <f t="shared" si="56"/>
        <v/>
      </c>
      <c r="R1198" t="s">
        <v>24</v>
      </c>
    </row>
    <row r="1199" spans="1:18" x14ac:dyDescent="0.3">
      <c r="A1199" s="1" t="d">
        <v>2025-10-07</v>
      </c>
      <c r="B1199">
        <v>45512</v>
      </c>
      <c r="C1199" t="str">
        <f>VLOOKUP(Fato_Producao[[#This Row],[referencia]], Dim_Produtos!A:B,2,FALSE)</f>
        <v>red-fish posta</v>
      </c>
      <c r="D1199">
        <v>2432</v>
      </c>
      <c r="E1199">
        <v>2206</v>
      </c>
      <c r="F1199" s="5">
        <v>9.2899999999999996E-2</v>
      </c>
      <c r="G1199" s="6">
        <v>76.84</v>
      </c>
      <c r="H1199">
        <v>10</v>
      </c>
      <c r="I1199">
        <v>211</v>
      </c>
      <c r="J1199">
        <v>5</v>
      </c>
      <c r="K1199">
        <f>Fato_Producao[[#This Row],[embalagens_danificadas]]+Fato_Producao[[#This Row],[peso_errado]]+Fato_Producao[[#This Row],[impressao]]</f>
        <v>226</v>
      </c>
      <c r="L1199" s="1" t="d">
        <v>2025-08-14</v>
      </c>
      <c r="M1199">
        <v>54</v>
      </c>
      <c r="N1199" s="7">
        <v>10.76</v>
      </c>
      <c r="O1199" s="4" t="str">
        <f t="shared" si="54"/>
        <v>outubro</v>
      </c>
      <c r="P1199" s="4">
        <f t="shared" si="55"/>
        <v>2025</v>
      </c>
      <c r="Q1199" s="4" t="str">
        <f t="shared" si="56"/>
        <v/>
      </c>
      <c r="R1199" t="s">
        <v>24</v>
      </c>
    </row>
    <row r="1200" spans="1:18" x14ac:dyDescent="0.3">
      <c r="A1200" s="1" t="d">
        <v>2025-10-08</v>
      </c>
      <c r="B1200">
        <v>45507</v>
      </c>
      <c r="C1200" t="str">
        <f>VLOOKUP(Fato_Producao[[#This Row],[referencia]], Dim_Produtos!A:B,2,FALSE)</f>
        <v>salmao posta</v>
      </c>
      <c r="D1200">
        <v>2860</v>
      </c>
      <c r="E1200">
        <v>2599</v>
      </c>
      <c r="F1200" s="5">
        <v>9.1300000000000006E-2</v>
      </c>
      <c r="G1200" s="6">
        <v>91.35</v>
      </c>
      <c r="H1200">
        <v>5</v>
      </c>
      <c r="I1200">
        <v>249</v>
      </c>
      <c r="J1200">
        <v>7</v>
      </c>
      <c r="K1200">
        <f>Fato_Producao[[#This Row],[embalagens_danificadas]]+Fato_Producao[[#This Row],[peso_errado]]+Fato_Producao[[#This Row],[impressao]]</f>
        <v>261</v>
      </c>
      <c r="L1200" s="1" t="d">
        <v>2025-08-14</v>
      </c>
      <c r="M1200">
        <v>55</v>
      </c>
      <c r="N1200" s="7">
        <v>14.62</v>
      </c>
      <c r="O1200" s="4" t="str">
        <f t="shared" si="54"/>
        <v>outubro</v>
      </c>
      <c r="P1200" s="4">
        <f t="shared" si="55"/>
        <v>2025</v>
      </c>
      <c r="Q1200" s="4" t="str">
        <f t="shared" si="56"/>
        <v/>
      </c>
      <c r="R1200" t="s">
        <v>24</v>
      </c>
    </row>
    <row r="1201" spans="1:18" x14ac:dyDescent="0.3">
      <c r="A1201" s="1" t="d">
        <v>2025-10-08</v>
      </c>
      <c r="B1201">
        <v>45508</v>
      </c>
      <c r="C1201" t="str">
        <f>VLOOKUP(Fato_Producao[[#This Row],[referencia]], Dim_Produtos!A:B,2,FALSE)</f>
        <v>lula suja</v>
      </c>
      <c r="D1201">
        <v>1965</v>
      </c>
      <c r="E1201">
        <v>1739</v>
      </c>
      <c r="F1201" s="5">
        <v>0.115</v>
      </c>
      <c r="G1201" s="6">
        <v>72.319999999999993</v>
      </c>
      <c r="H1201">
        <v>19</v>
      </c>
      <c r="I1201">
        <v>200</v>
      </c>
      <c r="J1201">
        <v>7</v>
      </c>
      <c r="K1201">
        <f>Fato_Producao[[#This Row],[embalagens_danificadas]]+Fato_Producao[[#This Row],[peso_errado]]+Fato_Producao[[#This Row],[impressao]]</f>
        <v>226</v>
      </c>
      <c r="L1201" s="1" t="d">
        <v>2025-08-14</v>
      </c>
      <c r="M1201">
        <v>55</v>
      </c>
      <c r="N1201" s="7">
        <v>10.119999999999999</v>
      </c>
      <c r="O1201" s="4" t="str">
        <f t="shared" si="54"/>
        <v>outubro</v>
      </c>
      <c r="P1201" s="4">
        <f t="shared" si="55"/>
        <v>2025</v>
      </c>
      <c r="Q1201" s="4">
        <f t="shared" si="56"/>
        <v>55</v>
      </c>
      <c r="R1201" t="s">
        <v>24</v>
      </c>
    </row>
    <row r="1202" spans="1:18" x14ac:dyDescent="0.3">
      <c r="A1202" s="1" t="d">
        <v>2025-10-09</v>
      </c>
      <c r="B1202">
        <v>45500</v>
      </c>
      <c r="C1202" t="str">
        <f>VLOOKUP(Fato_Producao[[#This Row],[referencia]], Dim_Produtos!A:B,2,FALSE)</f>
        <v>filete pescada</v>
      </c>
      <c r="D1202">
        <v>4039</v>
      </c>
      <c r="E1202">
        <v>3938</v>
      </c>
      <c r="F1202" s="5">
        <v>2.5000000000000001E-2</v>
      </c>
      <c r="G1202" s="6">
        <v>28.28</v>
      </c>
      <c r="H1202">
        <v>5</v>
      </c>
      <c r="I1202">
        <v>94</v>
      </c>
      <c r="J1202">
        <v>2</v>
      </c>
      <c r="K1202">
        <f>Fato_Producao[[#This Row],[embalagens_danificadas]]+Fato_Producao[[#This Row],[peso_errado]]+Fato_Producao[[#This Row],[impressao]]</f>
        <v>101</v>
      </c>
      <c r="L1202" s="1" t="d">
        <v>2025-10-09</v>
      </c>
      <c r="M1202">
        <v>0</v>
      </c>
      <c r="N1202" s="7">
        <v>3.39</v>
      </c>
      <c r="O1202" s="4" t="str">
        <f t="shared" si="54"/>
        <v>outubro</v>
      </c>
      <c r="P1202" s="4">
        <f t="shared" si="55"/>
        <v>2025</v>
      </c>
      <c r="Q1202" s="4" t="str">
        <f t="shared" si="56"/>
        <v/>
      </c>
      <c r="R1202" t="s">
        <v>24</v>
      </c>
    </row>
    <row r="1203" spans="1:18" x14ac:dyDescent="0.3">
      <c r="A1203" s="1" t="d">
        <v>2025-10-09</v>
      </c>
      <c r="B1203">
        <v>45500</v>
      </c>
      <c r="C1203" t="str">
        <f>VLOOKUP(Fato_Producao[[#This Row],[referencia]], Dim_Produtos!A:B,2,FALSE)</f>
        <v>filete pescada</v>
      </c>
      <c r="D1203">
        <v>3101</v>
      </c>
      <c r="E1203">
        <v>3006</v>
      </c>
      <c r="F1203" s="5">
        <v>3.0599999999999999E-2</v>
      </c>
      <c r="G1203" s="6">
        <v>26.6</v>
      </c>
      <c r="H1203">
        <v>34</v>
      </c>
      <c r="I1203">
        <v>25</v>
      </c>
      <c r="J1203">
        <v>36</v>
      </c>
      <c r="K1203">
        <f>Fato_Producao[[#This Row],[embalagens_danificadas]]+Fato_Producao[[#This Row],[peso_errado]]+Fato_Producao[[#This Row],[impressao]]</f>
        <v>95</v>
      </c>
      <c r="L1203" s="1" t="d">
        <v>2025-10-09</v>
      </c>
      <c r="M1203">
        <v>0</v>
      </c>
      <c r="N1203" s="7">
        <v>3.19</v>
      </c>
      <c r="O1203" s="4" t="str">
        <f t="shared" si="54"/>
        <v>outubro</v>
      </c>
      <c r="P1203" s="4">
        <f t="shared" si="55"/>
        <v>2025</v>
      </c>
      <c r="Q1203" s="4" t="str">
        <f t="shared" si="56"/>
        <v/>
      </c>
      <c r="R1203" t="s">
        <v>50</v>
      </c>
    </row>
    <row r="1204" spans="1:18" x14ac:dyDescent="0.3">
      <c r="A1204" s="1" t="d">
        <v>2025-10-10</v>
      </c>
      <c r="B1204">
        <v>45507</v>
      </c>
      <c r="C1204" t="str">
        <f>VLOOKUP(Fato_Producao[[#This Row],[referencia]], Dim_Produtos!A:B,2,FALSE)</f>
        <v>salmao posta</v>
      </c>
      <c r="D1204">
        <v>2007</v>
      </c>
      <c r="E1204">
        <v>1918</v>
      </c>
      <c r="F1204" s="5">
        <v>4.4299999999999999E-2</v>
      </c>
      <c r="G1204" s="6">
        <v>31.15</v>
      </c>
      <c r="H1204">
        <v>5</v>
      </c>
      <c r="I1204">
        <v>82</v>
      </c>
      <c r="J1204">
        <v>2</v>
      </c>
      <c r="K1204">
        <f>Fato_Producao[[#This Row],[embalagens_danificadas]]+Fato_Producao[[#This Row],[peso_errado]]+Fato_Producao[[#This Row],[impressao]]</f>
        <v>89</v>
      </c>
      <c r="L1204" s="1" t="d">
        <v>2025-10-09</v>
      </c>
      <c r="M1204">
        <v>1</v>
      </c>
      <c r="N1204" s="7">
        <v>4.9800000000000004</v>
      </c>
      <c r="O1204" s="4" t="str">
        <f t="shared" si="54"/>
        <v>outubro</v>
      </c>
      <c r="P1204" s="4">
        <f t="shared" si="55"/>
        <v>2025</v>
      </c>
      <c r="Q1204" s="4" t="str">
        <f t="shared" si="56"/>
        <v/>
      </c>
      <c r="R1204" t="s">
        <v>24</v>
      </c>
    </row>
    <row r="1205" spans="1:18" x14ac:dyDescent="0.3">
      <c r="A1205" s="1" t="d">
        <v>2025-10-10</v>
      </c>
      <c r="B1205">
        <v>45510</v>
      </c>
      <c r="C1205" t="str">
        <f>VLOOKUP(Fato_Producao[[#This Row],[referencia]], Dim_Produtos!A:B,2,FALSE)</f>
        <v>tiras pota</v>
      </c>
      <c r="D1205">
        <v>2488</v>
      </c>
      <c r="E1205">
        <v>2281</v>
      </c>
      <c r="F1205" s="5">
        <v>8.3199999999999996E-2</v>
      </c>
      <c r="G1205" s="6">
        <v>66.239999999999995</v>
      </c>
      <c r="H1205">
        <v>31</v>
      </c>
      <c r="I1205">
        <v>173</v>
      </c>
      <c r="J1205">
        <v>3</v>
      </c>
      <c r="K1205">
        <f>Fato_Producao[[#This Row],[embalagens_danificadas]]+Fato_Producao[[#This Row],[peso_errado]]+Fato_Producao[[#This Row],[impressao]]</f>
        <v>207</v>
      </c>
      <c r="L1205" s="1" t="d">
        <v>2025-10-09</v>
      </c>
      <c r="M1205">
        <v>1</v>
      </c>
      <c r="N1205" s="7">
        <v>9.27</v>
      </c>
      <c r="O1205" s="4" t="str">
        <f t="shared" si="54"/>
        <v>outubro</v>
      </c>
      <c r="P1205" s="4">
        <f t="shared" si="55"/>
        <v>2025</v>
      </c>
      <c r="Q1205" s="4" t="str">
        <f t="shared" si="56"/>
        <v/>
      </c>
      <c r="R1205" t="s">
        <v>24</v>
      </c>
    </row>
    <row r="1206" spans="1:18" x14ac:dyDescent="0.3">
      <c r="A1206" s="1" t="d">
        <v>2025-10-11</v>
      </c>
      <c r="B1206">
        <v>45508</v>
      </c>
      <c r="C1206" t="str">
        <f>VLOOKUP(Fato_Producao[[#This Row],[referencia]], Dim_Produtos!A:B,2,FALSE)</f>
        <v>lula suja</v>
      </c>
      <c r="D1206">
        <v>3148</v>
      </c>
      <c r="E1206">
        <v>2935</v>
      </c>
      <c r="F1206" s="5">
        <v>6.7699999999999996E-2</v>
      </c>
      <c r="G1206" s="6">
        <v>68.16</v>
      </c>
      <c r="H1206">
        <v>22</v>
      </c>
      <c r="I1206">
        <v>185</v>
      </c>
      <c r="J1206">
        <v>6</v>
      </c>
      <c r="K1206">
        <f>Fato_Producao[[#This Row],[embalagens_danificadas]]+Fato_Producao[[#This Row],[peso_errado]]+Fato_Producao[[#This Row],[impressao]]</f>
        <v>213</v>
      </c>
      <c r="L1206" s="1" t="d">
        <v>2025-10-09</v>
      </c>
      <c r="M1206">
        <v>2</v>
      </c>
      <c r="N1206" s="7">
        <v>9.5399999999999991</v>
      </c>
      <c r="O1206" s="4" t="str">
        <f t="shared" si="54"/>
        <v>outubro</v>
      </c>
      <c r="P1206" s="4">
        <f t="shared" si="55"/>
        <v>2025</v>
      </c>
      <c r="Q1206" s="4" t="str">
        <f t="shared" si="56"/>
        <v/>
      </c>
      <c r="R1206" t="s">
        <v>24</v>
      </c>
    </row>
    <row r="1207" spans="1:18" x14ac:dyDescent="0.3">
      <c r="A1207" s="1" t="d">
        <v>2025-10-12</v>
      </c>
      <c r="B1207">
        <v>45506</v>
      </c>
      <c r="C1207" t="str">
        <f>VLOOKUP(Fato_Producao[[#This Row],[referencia]], Dim_Produtos!A:B,2,FALSE)</f>
        <v>perca posta</v>
      </c>
      <c r="D1207">
        <v>2583</v>
      </c>
      <c r="E1207">
        <v>2482</v>
      </c>
      <c r="F1207" s="5">
        <v>3.9100000000000003E-2</v>
      </c>
      <c r="G1207" s="6">
        <v>35.35</v>
      </c>
      <c r="H1207">
        <v>2</v>
      </c>
      <c r="I1207">
        <v>96</v>
      </c>
      <c r="J1207">
        <v>3</v>
      </c>
      <c r="K1207">
        <f>Fato_Producao[[#This Row],[embalagens_danificadas]]+Fato_Producao[[#This Row],[peso_errado]]+Fato_Producao[[#This Row],[impressao]]</f>
        <v>101</v>
      </c>
      <c r="L1207" s="1" t="d">
        <v>2025-10-09</v>
      </c>
      <c r="M1207">
        <v>3</v>
      </c>
      <c r="N1207" s="7">
        <v>5.3</v>
      </c>
      <c r="O1207" s="4" t="str">
        <f t="shared" si="54"/>
        <v>outubro</v>
      </c>
      <c r="P1207" s="4">
        <f t="shared" si="55"/>
        <v>2025</v>
      </c>
      <c r="Q1207" s="4" t="str">
        <f t="shared" si="56"/>
        <v/>
      </c>
      <c r="R1207" t="s">
        <v>24</v>
      </c>
    </row>
    <row r="1208" spans="1:18" x14ac:dyDescent="0.3">
      <c r="A1208" s="1" t="d">
        <v>2025-10-12</v>
      </c>
      <c r="B1208">
        <v>45513</v>
      </c>
      <c r="C1208" t="str">
        <f>VLOOKUP(Fato_Producao[[#This Row],[referencia]], Dim_Produtos!A:B,2,FALSE)</f>
        <v>filete pescada</v>
      </c>
      <c r="D1208">
        <v>2546</v>
      </c>
      <c r="E1208">
        <v>2416</v>
      </c>
      <c r="F1208" s="5">
        <v>5.11E-2</v>
      </c>
      <c r="G1208" s="6">
        <v>41.6</v>
      </c>
      <c r="H1208">
        <v>8</v>
      </c>
      <c r="I1208">
        <v>121</v>
      </c>
      <c r="J1208">
        <v>1</v>
      </c>
      <c r="K1208">
        <f>Fato_Producao[[#This Row],[embalagens_danificadas]]+Fato_Producao[[#This Row],[peso_errado]]+Fato_Producao[[#This Row],[impressao]]</f>
        <v>130</v>
      </c>
      <c r="L1208" s="1" t="d">
        <v>2025-10-09</v>
      </c>
      <c r="M1208">
        <v>3</v>
      </c>
      <c r="N1208" s="7">
        <v>5.41</v>
      </c>
      <c r="O1208" s="4" t="str">
        <f t="shared" si="54"/>
        <v>outubro</v>
      </c>
      <c r="P1208" s="4">
        <f t="shared" si="55"/>
        <v>2025</v>
      </c>
      <c r="Q1208" s="4" t="str">
        <f t="shared" si="56"/>
        <v/>
      </c>
      <c r="R1208" t="s">
        <v>24</v>
      </c>
    </row>
    <row r="1209" spans="1:18" x14ac:dyDescent="0.3">
      <c r="A1209" s="1" t="d">
        <v>2025-10-13</v>
      </c>
      <c r="B1209">
        <v>45511</v>
      </c>
      <c r="C1209" t="str">
        <f>VLOOKUP(Fato_Producao[[#This Row],[referencia]], Dim_Produtos!A:B,2,FALSE)</f>
        <v>lula limpa</v>
      </c>
      <c r="D1209">
        <v>2456</v>
      </c>
      <c r="E1209">
        <v>2296</v>
      </c>
      <c r="F1209" s="5">
        <v>6.5100000000000005E-2</v>
      </c>
      <c r="G1209" s="6">
        <v>51.2</v>
      </c>
      <c r="H1209">
        <v>24</v>
      </c>
      <c r="I1209">
        <v>134</v>
      </c>
      <c r="J1209">
        <v>2</v>
      </c>
      <c r="K1209">
        <f>Fato_Producao[[#This Row],[embalagens_danificadas]]+Fato_Producao[[#This Row],[peso_errado]]+Fato_Producao[[#This Row],[impressao]]</f>
        <v>160</v>
      </c>
      <c r="L1209" s="1" t="d">
        <v>2025-10-09</v>
      </c>
      <c r="M1209">
        <v>4</v>
      </c>
      <c r="N1209" s="7">
        <v>7.17</v>
      </c>
      <c r="O1209" s="4" t="str">
        <f t="shared" si="54"/>
        <v>outubro</v>
      </c>
      <c r="P1209" s="4">
        <f t="shared" si="55"/>
        <v>2025</v>
      </c>
      <c r="Q1209" s="4" t="str">
        <f t="shared" si="56"/>
        <v/>
      </c>
      <c r="R1209" t="s">
        <v>24</v>
      </c>
    </row>
    <row r="1210" spans="1:18" x14ac:dyDescent="0.3">
      <c r="A1210" s="1" t="d">
        <v>2025-10-13</v>
      </c>
      <c r="B1210">
        <v>45507</v>
      </c>
      <c r="C1210" t="str">
        <f>VLOOKUP(Fato_Producao[[#This Row],[referencia]], Dim_Produtos!A:B,2,FALSE)</f>
        <v>salmao posta</v>
      </c>
      <c r="D1210">
        <v>3596</v>
      </c>
      <c r="E1210">
        <v>3424</v>
      </c>
      <c r="F1210" s="5">
        <v>4.7800000000000002E-2</v>
      </c>
      <c r="G1210" s="6">
        <v>60.2</v>
      </c>
      <c r="H1210">
        <v>7</v>
      </c>
      <c r="I1210">
        <v>162</v>
      </c>
      <c r="J1210">
        <v>3</v>
      </c>
      <c r="K1210">
        <f>Fato_Producao[[#This Row],[embalagens_danificadas]]+Fato_Producao[[#This Row],[peso_errado]]+Fato_Producao[[#This Row],[impressao]]</f>
        <v>172</v>
      </c>
      <c r="L1210" s="1" t="d">
        <v>2025-10-09</v>
      </c>
      <c r="M1210">
        <v>4</v>
      </c>
      <c r="N1210" s="7">
        <v>9.6300000000000008</v>
      </c>
      <c r="O1210" s="4" t="str">
        <f t="shared" si="54"/>
        <v>outubro</v>
      </c>
      <c r="P1210" s="4">
        <f t="shared" si="55"/>
        <v>2025</v>
      </c>
      <c r="Q1210" s="4" t="str">
        <f t="shared" si="56"/>
        <v/>
      </c>
      <c r="R1210" t="s">
        <v>24</v>
      </c>
    </row>
    <row r="1211" spans="1:18" x14ac:dyDescent="0.3">
      <c r="A1211" s="1" t="d">
        <v>2025-10-14</v>
      </c>
      <c r="B1211">
        <v>45501</v>
      </c>
      <c r="C1211" t="str">
        <f>VLOOKUP(Fato_Producao[[#This Row],[referencia]], Dim_Produtos!A:B,2,FALSE)</f>
        <v>pescada posta cozer</v>
      </c>
      <c r="D1211">
        <v>2745</v>
      </c>
      <c r="E1211">
        <v>2609</v>
      </c>
      <c r="F1211" s="5">
        <v>4.9500000000000002E-2</v>
      </c>
      <c r="G1211" s="6">
        <v>43.52</v>
      </c>
      <c r="H1211">
        <v>7</v>
      </c>
      <c r="I1211">
        <v>128</v>
      </c>
      <c r="J1211">
        <v>1</v>
      </c>
      <c r="K1211">
        <f>Fato_Producao[[#This Row],[embalagens_danificadas]]+Fato_Producao[[#This Row],[peso_errado]]+Fato_Producao[[#This Row],[impressao]]</f>
        <v>136</v>
      </c>
      <c r="L1211" s="1" t="d">
        <v>2025-10-09</v>
      </c>
      <c r="M1211">
        <v>5</v>
      </c>
      <c r="N1211" s="7">
        <v>6.09</v>
      </c>
      <c r="O1211" s="4" t="str">
        <f t="shared" si="54"/>
        <v>outubro</v>
      </c>
      <c r="P1211" s="4">
        <f t="shared" si="55"/>
        <v>2025</v>
      </c>
      <c r="Q1211" s="4" t="str">
        <f t="shared" si="56"/>
        <v/>
      </c>
      <c r="R1211" t="s">
        <v>24</v>
      </c>
    </row>
    <row r="1212" spans="1:18" x14ac:dyDescent="0.3">
      <c r="A1212" s="1" t="d">
        <v>2025-10-15</v>
      </c>
      <c r="B1212">
        <v>45513</v>
      </c>
      <c r="C1212" t="str">
        <f>VLOOKUP(Fato_Producao[[#This Row],[referencia]], Dim_Produtos!A:B,2,FALSE)</f>
        <v>filete pescada</v>
      </c>
      <c r="D1212">
        <v>3914</v>
      </c>
      <c r="E1212">
        <v>3724</v>
      </c>
      <c r="F1212" s="5">
        <v>4.8500000000000001E-2</v>
      </c>
      <c r="G1212" s="6">
        <v>60.8</v>
      </c>
      <c r="H1212">
        <v>6</v>
      </c>
      <c r="I1212">
        <v>182</v>
      </c>
      <c r="J1212">
        <v>2</v>
      </c>
      <c r="K1212">
        <f>Fato_Producao[[#This Row],[embalagens_danificadas]]+Fato_Producao[[#This Row],[peso_errado]]+Fato_Producao[[#This Row],[impressao]]</f>
        <v>190</v>
      </c>
      <c r="L1212" s="1" t="d">
        <v>2025-10-09</v>
      </c>
      <c r="M1212">
        <v>6</v>
      </c>
      <c r="N1212" s="7">
        <v>7.9</v>
      </c>
      <c r="O1212" s="4" t="str">
        <f t="shared" si="54"/>
        <v>outubro</v>
      </c>
      <c r="P1212" s="4">
        <f t="shared" si="55"/>
        <v>2025</v>
      </c>
      <c r="Q1212" s="4" t="str">
        <f t="shared" si="56"/>
        <v/>
      </c>
      <c r="R1212" t="s">
        <v>24</v>
      </c>
    </row>
    <row r="1213" spans="1:18" x14ac:dyDescent="0.3">
      <c r="A1213" s="1" t="d">
        <v>2025-10-15</v>
      </c>
      <c r="B1213">
        <v>45506</v>
      </c>
      <c r="C1213" t="str">
        <f>VLOOKUP(Fato_Producao[[#This Row],[referencia]], Dim_Produtos!A:B,2,FALSE)</f>
        <v>perca posta</v>
      </c>
      <c r="D1213">
        <v>2116</v>
      </c>
      <c r="E1213">
        <v>2039</v>
      </c>
      <c r="F1213" s="5">
        <v>3.6400000000000002E-2</v>
      </c>
      <c r="G1213" s="6">
        <v>26.95</v>
      </c>
      <c r="H1213">
        <v>3</v>
      </c>
      <c r="I1213">
        <v>73</v>
      </c>
      <c r="J1213">
        <v>1</v>
      </c>
      <c r="K1213">
        <f>Fato_Producao[[#This Row],[embalagens_danificadas]]+Fato_Producao[[#This Row],[peso_errado]]+Fato_Producao[[#This Row],[impressao]]</f>
        <v>77</v>
      </c>
      <c r="L1213" s="1" t="d">
        <v>2025-10-09</v>
      </c>
      <c r="M1213">
        <v>6</v>
      </c>
      <c r="N1213" s="7">
        <v>4.04</v>
      </c>
      <c r="O1213" s="4" t="str">
        <f t="shared" si="54"/>
        <v>outubro</v>
      </c>
      <c r="P1213" s="4">
        <f t="shared" si="55"/>
        <v>2025</v>
      </c>
      <c r="Q1213" s="4" t="str">
        <f t="shared" si="56"/>
        <v/>
      </c>
      <c r="R1213" t="s">
        <v>24</v>
      </c>
    </row>
    <row r="1214" spans="1:18" x14ac:dyDescent="0.3">
      <c r="A1214" s="1" t="d">
        <v>2025-10-16</v>
      </c>
      <c r="B1214">
        <v>45503</v>
      </c>
      <c r="C1214" t="str">
        <f>VLOOKUP(Fato_Producao[[#This Row],[referencia]], Dim_Produtos!A:B,2,FALSE)</f>
        <v>sardinha pequena</v>
      </c>
      <c r="D1214">
        <v>4105</v>
      </c>
      <c r="E1214">
        <v>3857</v>
      </c>
      <c r="F1214" s="5">
        <v>6.0400000000000002E-2</v>
      </c>
      <c r="G1214" s="6">
        <v>64.48</v>
      </c>
      <c r="H1214">
        <v>9</v>
      </c>
      <c r="I1214">
        <v>236</v>
      </c>
      <c r="J1214">
        <v>3</v>
      </c>
      <c r="K1214">
        <f>Fato_Producao[[#This Row],[embalagens_danificadas]]+Fato_Producao[[#This Row],[peso_errado]]+Fato_Producao[[#This Row],[impressao]]</f>
        <v>248</v>
      </c>
      <c r="L1214" s="1" t="d">
        <v>2025-10-09</v>
      </c>
      <c r="M1214">
        <v>7</v>
      </c>
      <c r="N1214" s="7">
        <v>7.09</v>
      </c>
      <c r="O1214" s="4" t="str">
        <f t="shared" si="54"/>
        <v>outubro</v>
      </c>
      <c r="P1214" s="4">
        <f t="shared" si="55"/>
        <v>2025</v>
      </c>
      <c r="Q1214" s="4" t="str">
        <f t="shared" si="56"/>
        <v/>
      </c>
      <c r="R1214" t="s">
        <v>24</v>
      </c>
    </row>
    <row r="1215" spans="1:18" x14ac:dyDescent="0.3">
      <c r="A1215" s="1" t="d">
        <v>2025-10-16</v>
      </c>
      <c r="B1215">
        <v>45504</v>
      </c>
      <c r="C1215" t="str">
        <f>VLOOKUP(Fato_Producao[[#This Row],[referencia]], Dim_Produtos!A:B,2,FALSE)</f>
        <v>pescada posta fritar</v>
      </c>
      <c r="D1215">
        <v>3796</v>
      </c>
      <c r="E1215">
        <v>3548</v>
      </c>
      <c r="F1215" s="5">
        <v>6.5299999999999997E-2</v>
      </c>
      <c r="G1215" s="6">
        <v>79.36</v>
      </c>
      <c r="H1215">
        <v>13</v>
      </c>
      <c r="I1215">
        <v>228</v>
      </c>
      <c r="J1215">
        <v>7</v>
      </c>
      <c r="K1215">
        <f>Fato_Producao[[#This Row],[embalagens_danificadas]]+Fato_Producao[[#This Row],[peso_errado]]+Fato_Producao[[#This Row],[impressao]]</f>
        <v>248</v>
      </c>
      <c r="L1215" s="1" t="d">
        <v>2025-10-09</v>
      </c>
      <c r="M1215">
        <v>7</v>
      </c>
      <c r="N1215" s="7">
        <v>11.11</v>
      </c>
      <c r="O1215" s="4" t="str">
        <f t="shared" si="54"/>
        <v>outubro</v>
      </c>
      <c r="P1215" s="4">
        <f t="shared" si="55"/>
        <v>2025</v>
      </c>
      <c r="Q1215" s="4" t="str">
        <f t="shared" si="56"/>
        <v/>
      </c>
      <c r="R1215" t="s">
        <v>24</v>
      </c>
    </row>
    <row r="1216" spans="1:18" x14ac:dyDescent="0.3">
      <c r="A1216" s="1" t="d">
        <v>2025-10-17</v>
      </c>
      <c r="B1216">
        <v>45514</v>
      </c>
      <c r="C1216" t="str">
        <f>VLOOKUP(Fato_Producao[[#This Row],[referencia]], Dim_Produtos!A:B,2,FALSE)</f>
        <v>sardinha pequena</v>
      </c>
      <c r="D1216">
        <v>3916</v>
      </c>
      <c r="E1216">
        <v>3743</v>
      </c>
      <c r="F1216" s="5">
        <v>4.4200000000000003E-2</v>
      </c>
      <c r="G1216" s="6">
        <v>51.9</v>
      </c>
      <c r="H1216">
        <v>6</v>
      </c>
      <c r="I1216">
        <v>163</v>
      </c>
      <c r="J1216">
        <v>4</v>
      </c>
      <c r="K1216">
        <f>Fato_Producao[[#This Row],[embalagens_danificadas]]+Fato_Producao[[#This Row],[peso_errado]]+Fato_Producao[[#This Row],[impressao]]</f>
        <v>173</v>
      </c>
      <c r="L1216" s="1" t="d">
        <v>2025-10-09</v>
      </c>
      <c r="M1216">
        <v>8</v>
      </c>
      <c r="N1216" s="7">
        <v>6.23</v>
      </c>
      <c r="O1216" s="4" t="str">
        <f t="shared" si="54"/>
        <v>outubro</v>
      </c>
      <c r="P1216" s="4">
        <f t="shared" si="55"/>
        <v>2025</v>
      </c>
      <c r="Q1216" s="4" t="str">
        <f t="shared" si="56"/>
        <v/>
      </c>
      <c r="R1216" t="s">
        <v>24</v>
      </c>
    </row>
    <row r="1217" spans="1:18" x14ac:dyDescent="0.3">
      <c r="A1217" s="1" t="d">
        <v>2025-10-17</v>
      </c>
      <c r="B1217">
        <v>45504</v>
      </c>
      <c r="C1217" t="str">
        <f>VLOOKUP(Fato_Producao[[#This Row],[referencia]], Dim_Produtos!A:B,2,FALSE)</f>
        <v>pescada posta fritar</v>
      </c>
      <c r="D1217">
        <v>3030</v>
      </c>
      <c r="E1217">
        <v>2858</v>
      </c>
      <c r="F1217" s="5">
        <v>5.6800000000000003E-2</v>
      </c>
      <c r="G1217" s="6">
        <v>55.04</v>
      </c>
      <c r="H1217">
        <v>11</v>
      </c>
      <c r="I1217">
        <v>158</v>
      </c>
      <c r="J1217">
        <v>3</v>
      </c>
      <c r="K1217">
        <f>Fato_Producao[[#This Row],[embalagens_danificadas]]+Fato_Producao[[#This Row],[peso_errado]]+Fato_Producao[[#This Row],[impressao]]</f>
        <v>172</v>
      </c>
      <c r="L1217" s="1" t="d">
        <v>2025-10-09</v>
      </c>
      <c r="M1217">
        <v>8</v>
      </c>
      <c r="N1217" s="7">
        <v>7.71</v>
      </c>
      <c r="O1217" s="4" t="str">
        <f t="shared" si="54"/>
        <v>outubro</v>
      </c>
      <c r="P1217" s="4">
        <f t="shared" si="55"/>
        <v>2025</v>
      </c>
      <c r="Q1217" s="4" t="str">
        <f t="shared" si="56"/>
        <v/>
      </c>
      <c r="R1217" t="s">
        <v>24</v>
      </c>
    </row>
    <row r="1218" spans="1:18" x14ac:dyDescent="0.3">
      <c r="A1218" s="1" t="d">
        <v>2025-10-18</v>
      </c>
      <c r="B1218">
        <v>45501</v>
      </c>
      <c r="C1218" t="str">
        <f>VLOOKUP(Fato_Producao[[#This Row],[referencia]], Dim_Produtos!A:B,2,FALSE)</f>
        <v>pescada posta cozer</v>
      </c>
      <c r="D1218">
        <v>2687</v>
      </c>
      <c r="E1218">
        <v>2512</v>
      </c>
      <c r="F1218" s="5">
        <v>6.5100000000000005E-2</v>
      </c>
      <c r="G1218" s="6">
        <v>56</v>
      </c>
      <c r="H1218">
        <v>10</v>
      </c>
      <c r="I1218">
        <v>162</v>
      </c>
      <c r="J1218">
        <v>3</v>
      </c>
      <c r="K1218">
        <f>Fato_Producao[[#This Row],[embalagens_danificadas]]+Fato_Producao[[#This Row],[peso_errado]]+Fato_Producao[[#This Row],[impressao]]</f>
        <v>175</v>
      </c>
      <c r="L1218" s="1" t="d">
        <v>2025-10-09</v>
      </c>
      <c r="M1218">
        <v>9</v>
      </c>
      <c r="N1218" s="7">
        <v>7.84</v>
      </c>
      <c r="O1218" s="4" t="str">
        <f t="shared" ref="O1218:O1281" si="57">TEXT(A1218, "mmmm")</f>
        <v>outubro</v>
      </c>
      <c r="P1218" s="4">
        <f t="shared" ref="P1218:P1281" si="58">YEAR(A1218)</f>
        <v>2025</v>
      </c>
      <c r="Q1218" s="4" t="str">
        <f t="shared" ref="Q1218:Q1281" si="59">IF(M1219 &gt;= M1218, "", M1218)</f>
        <v/>
      </c>
      <c r="R1218" t="s">
        <v>24</v>
      </c>
    </row>
    <row r="1219" spans="1:18" x14ac:dyDescent="0.3">
      <c r="A1219" s="1" t="d">
        <v>2025-10-18</v>
      </c>
      <c r="B1219">
        <v>45507</v>
      </c>
      <c r="C1219" t="str">
        <f>VLOOKUP(Fato_Producao[[#This Row],[referencia]], Dim_Produtos!A:B,2,FALSE)</f>
        <v>salmao posta</v>
      </c>
      <c r="D1219">
        <v>2378</v>
      </c>
      <c r="E1219">
        <v>2260</v>
      </c>
      <c r="F1219" s="5">
        <v>4.9599999999999998E-2</v>
      </c>
      <c r="G1219" s="6">
        <v>41.3</v>
      </c>
      <c r="H1219">
        <v>5</v>
      </c>
      <c r="I1219">
        <v>111</v>
      </c>
      <c r="J1219">
        <v>2</v>
      </c>
      <c r="K1219">
        <f>Fato_Producao[[#This Row],[embalagens_danificadas]]+Fato_Producao[[#This Row],[peso_errado]]+Fato_Producao[[#This Row],[impressao]]</f>
        <v>118</v>
      </c>
      <c r="L1219" s="1" t="d">
        <v>2025-10-09</v>
      </c>
      <c r="M1219">
        <v>9</v>
      </c>
      <c r="N1219" s="7">
        <v>6.61</v>
      </c>
      <c r="O1219" s="4" t="str">
        <f t="shared" si="57"/>
        <v>outubro</v>
      </c>
      <c r="P1219" s="4">
        <f t="shared" si="58"/>
        <v>2025</v>
      </c>
      <c r="Q1219" s="4" t="str">
        <f t="shared" si="59"/>
        <v/>
      </c>
      <c r="R1219" t="s">
        <v>24</v>
      </c>
    </row>
    <row r="1220" spans="1:18" x14ac:dyDescent="0.3">
      <c r="A1220" s="1" t="d">
        <v>2025-10-19</v>
      </c>
      <c r="B1220">
        <v>45506</v>
      </c>
      <c r="C1220" t="str">
        <f>VLOOKUP(Fato_Producao[[#This Row],[referencia]], Dim_Produtos!A:B,2,FALSE)</f>
        <v>perca posta</v>
      </c>
      <c r="D1220">
        <v>2649</v>
      </c>
      <c r="E1220">
        <v>2538</v>
      </c>
      <c r="F1220" s="5">
        <v>4.19E-2</v>
      </c>
      <c r="G1220" s="6">
        <v>38.85</v>
      </c>
      <c r="H1220">
        <v>4</v>
      </c>
      <c r="I1220">
        <v>106</v>
      </c>
      <c r="J1220">
        <v>1</v>
      </c>
      <c r="K1220">
        <f>Fato_Producao[[#This Row],[embalagens_danificadas]]+Fato_Producao[[#This Row],[peso_errado]]+Fato_Producao[[#This Row],[impressao]]</f>
        <v>111</v>
      </c>
      <c r="L1220" s="1" t="d">
        <v>2025-10-09</v>
      </c>
      <c r="M1220">
        <v>10</v>
      </c>
      <c r="N1220" s="7">
        <v>5.83</v>
      </c>
      <c r="O1220" s="4" t="str">
        <f t="shared" si="57"/>
        <v>outubro</v>
      </c>
      <c r="P1220" s="4">
        <f t="shared" si="58"/>
        <v>2025</v>
      </c>
      <c r="Q1220" s="4" t="str">
        <f t="shared" si="59"/>
        <v/>
      </c>
      <c r="R1220" t="s">
        <v>24</v>
      </c>
    </row>
    <row r="1221" spans="1:18" x14ac:dyDescent="0.3">
      <c r="A1221" s="1" t="d">
        <v>2025-10-20</v>
      </c>
      <c r="B1221">
        <v>45502</v>
      </c>
      <c r="C1221" t="str">
        <f>VLOOKUP(Fato_Producao[[#This Row],[referencia]], Dim_Produtos!A:B,2,FALSE)</f>
        <v>carapau pelim</v>
      </c>
      <c r="D1221">
        <v>2058</v>
      </c>
      <c r="E1221">
        <v>1907</v>
      </c>
      <c r="F1221" s="5">
        <v>7.3400000000000007E-2</v>
      </c>
      <c r="G1221" s="6">
        <v>45.3</v>
      </c>
      <c r="H1221">
        <v>47</v>
      </c>
      <c r="I1221">
        <v>99</v>
      </c>
      <c r="J1221">
        <v>5</v>
      </c>
      <c r="K1221">
        <f>Fato_Producao[[#This Row],[embalagens_danificadas]]+Fato_Producao[[#This Row],[peso_errado]]+Fato_Producao[[#This Row],[impressao]]</f>
        <v>151</v>
      </c>
      <c r="L1221" s="1" t="d">
        <v>2025-10-09</v>
      </c>
      <c r="M1221">
        <v>11</v>
      </c>
      <c r="N1221" s="7">
        <v>5.89</v>
      </c>
      <c r="O1221" s="4" t="str">
        <f t="shared" si="57"/>
        <v>outubro</v>
      </c>
      <c r="P1221" s="4">
        <f t="shared" si="58"/>
        <v>2025</v>
      </c>
      <c r="Q1221" s="4" t="str">
        <f t="shared" si="59"/>
        <v/>
      </c>
      <c r="R1221" t="s">
        <v>24</v>
      </c>
    </row>
    <row r="1222" spans="1:18" x14ac:dyDescent="0.3">
      <c r="A1222" s="1" t="d">
        <v>2025-10-20</v>
      </c>
      <c r="B1222">
        <v>45502</v>
      </c>
      <c r="C1222" t="str">
        <f>VLOOKUP(Fato_Producao[[#This Row],[referencia]], Dim_Produtos!A:B,2,FALSE)</f>
        <v>carapau pelim</v>
      </c>
      <c r="D1222">
        <v>3188</v>
      </c>
      <c r="E1222">
        <v>3024</v>
      </c>
      <c r="F1222" s="5">
        <v>5.1400000000000001E-2</v>
      </c>
      <c r="G1222" s="6">
        <v>49.2</v>
      </c>
      <c r="H1222">
        <v>53</v>
      </c>
      <c r="I1222">
        <v>106</v>
      </c>
      <c r="J1222">
        <v>5</v>
      </c>
      <c r="K1222">
        <f>Fato_Producao[[#This Row],[embalagens_danificadas]]+Fato_Producao[[#This Row],[peso_errado]]+Fato_Producao[[#This Row],[impressao]]</f>
        <v>164</v>
      </c>
      <c r="L1222" s="1" t="d">
        <v>2025-10-09</v>
      </c>
      <c r="M1222">
        <v>11</v>
      </c>
      <c r="N1222" s="7">
        <v>6.4</v>
      </c>
      <c r="O1222" s="4" t="str">
        <f t="shared" si="57"/>
        <v>outubro</v>
      </c>
      <c r="P1222" s="4">
        <f t="shared" si="58"/>
        <v>2025</v>
      </c>
      <c r="Q1222" s="4" t="str">
        <f t="shared" si="59"/>
        <v/>
      </c>
      <c r="R1222" t="s">
        <v>24</v>
      </c>
    </row>
    <row r="1223" spans="1:18" x14ac:dyDescent="0.3">
      <c r="A1223" s="1" t="d">
        <v>2025-10-21</v>
      </c>
      <c r="B1223">
        <v>45513</v>
      </c>
      <c r="C1223" t="str">
        <f>VLOOKUP(Fato_Producao[[#This Row],[referencia]], Dim_Produtos!A:B,2,FALSE)</f>
        <v>filete pescada</v>
      </c>
      <c r="D1223">
        <v>3951</v>
      </c>
      <c r="E1223">
        <v>3694</v>
      </c>
      <c r="F1223" s="5">
        <v>6.5000000000000002E-2</v>
      </c>
      <c r="G1223" s="6">
        <v>82.24</v>
      </c>
      <c r="H1223">
        <v>18</v>
      </c>
      <c r="I1223">
        <v>234</v>
      </c>
      <c r="J1223">
        <v>5</v>
      </c>
      <c r="K1223">
        <f>Fato_Producao[[#This Row],[embalagens_danificadas]]+Fato_Producao[[#This Row],[peso_errado]]+Fato_Producao[[#This Row],[impressao]]</f>
        <v>257</v>
      </c>
      <c r="L1223" s="1" t="d">
        <v>2025-10-09</v>
      </c>
      <c r="M1223">
        <v>12</v>
      </c>
      <c r="N1223" s="7">
        <v>10.69</v>
      </c>
      <c r="O1223" s="4" t="str">
        <f t="shared" si="57"/>
        <v>outubro</v>
      </c>
      <c r="P1223" s="4">
        <f t="shared" si="58"/>
        <v>2025</v>
      </c>
      <c r="Q1223" s="4" t="str">
        <f t="shared" si="59"/>
        <v/>
      </c>
      <c r="R1223" t="s">
        <v>24</v>
      </c>
    </row>
    <row r="1224" spans="1:18" x14ac:dyDescent="0.3">
      <c r="A1224" s="1" t="d">
        <v>2025-10-21</v>
      </c>
      <c r="B1224">
        <v>45503</v>
      </c>
      <c r="C1224" t="str">
        <f>VLOOKUP(Fato_Producao[[#This Row],[referencia]], Dim_Produtos!A:B,2,FALSE)</f>
        <v>sardinha pequena</v>
      </c>
      <c r="D1224">
        <v>3301</v>
      </c>
      <c r="E1224">
        <v>3053</v>
      </c>
      <c r="F1224" s="5">
        <v>7.51E-2</v>
      </c>
      <c r="G1224" s="6">
        <v>64.48</v>
      </c>
      <c r="H1224">
        <v>73</v>
      </c>
      <c r="I1224">
        <v>65</v>
      </c>
      <c r="J1224">
        <v>110</v>
      </c>
      <c r="K1224">
        <f>Fato_Producao[[#This Row],[embalagens_danificadas]]+Fato_Producao[[#This Row],[peso_errado]]+Fato_Producao[[#This Row],[impressao]]</f>
        <v>248</v>
      </c>
      <c r="L1224" s="1" t="d">
        <v>2025-10-09</v>
      </c>
      <c r="M1224">
        <v>12</v>
      </c>
      <c r="N1224" s="7">
        <v>7.09</v>
      </c>
      <c r="O1224" s="4" t="str">
        <f t="shared" si="57"/>
        <v>outubro</v>
      </c>
      <c r="P1224" s="4">
        <f t="shared" si="58"/>
        <v>2025</v>
      </c>
      <c r="Q1224" s="4" t="str">
        <f t="shared" si="59"/>
        <v/>
      </c>
      <c r="R1224" t="s">
        <v>50</v>
      </c>
    </row>
    <row r="1225" spans="1:18" x14ac:dyDescent="0.3">
      <c r="A1225" s="1" t="d">
        <v>2025-10-22</v>
      </c>
      <c r="B1225">
        <v>45514</v>
      </c>
      <c r="C1225" t="str">
        <f>VLOOKUP(Fato_Producao[[#This Row],[referencia]], Dim_Produtos!A:B,2,FALSE)</f>
        <v>sardinha pequena</v>
      </c>
      <c r="D1225">
        <v>4012</v>
      </c>
      <c r="E1225">
        <v>3722</v>
      </c>
      <c r="F1225" s="5">
        <v>7.2300000000000003E-2</v>
      </c>
      <c r="G1225" s="6">
        <v>87</v>
      </c>
      <c r="H1225">
        <v>12</v>
      </c>
      <c r="I1225">
        <v>274</v>
      </c>
      <c r="J1225">
        <v>4</v>
      </c>
      <c r="K1225">
        <f>Fato_Producao[[#This Row],[embalagens_danificadas]]+Fato_Producao[[#This Row],[peso_errado]]+Fato_Producao[[#This Row],[impressao]]</f>
        <v>290</v>
      </c>
      <c r="L1225" s="1" t="d">
        <v>2025-10-09</v>
      </c>
      <c r="M1225">
        <v>13</v>
      </c>
      <c r="N1225" s="7">
        <v>10.44</v>
      </c>
      <c r="O1225" s="4" t="str">
        <f t="shared" si="57"/>
        <v>outubro</v>
      </c>
      <c r="P1225" s="4">
        <f t="shared" si="58"/>
        <v>2025</v>
      </c>
      <c r="Q1225" s="4" t="str">
        <f t="shared" si="59"/>
        <v/>
      </c>
      <c r="R1225" t="s">
        <v>24</v>
      </c>
    </row>
    <row r="1226" spans="1:18" x14ac:dyDescent="0.3">
      <c r="A1226" s="1" t="d">
        <v>2025-10-22</v>
      </c>
      <c r="B1226">
        <v>45512</v>
      </c>
      <c r="C1226" t="str">
        <f>VLOOKUP(Fato_Producao[[#This Row],[referencia]], Dim_Produtos!A:B,2,FALSE)</f>
        <v>red-fish posta</v>
      </c>
      <c r="D1226">
        <v>3129</v>
      </c>
      <c r="E1226">
        <v>3002</v>
      </c>
      <c r="F1226" s="5">
        <v>4.0599999999999997E-2</v>
      </c>
      <c r="G1226" s="6">
        <v>43.18</v>
      </c>
      <c r="H1226">
        <v>4</v>
      </c>
      <c r="I1226">
        <v>119</v>
      </c>
      <c r="J1226">
        <v>4</v>
      </c>
      <c r="K1226">
        <f>Fato_Producao[[#This Row],[embalagens_danificadas]]+Fato_Producao[[#This Row],[peso_errado]]+Fato_Producao[[#This Row],[impressao]]</f>
        <v>127</v>
      </c>
      <c r="L1226" s="1" t="d">
        <v>2025-10-09</v>
      </c>
      <c r="M1226">
        <v>13</v>
      </c>
      <c r="N1226" s="7">
        <v>6.05</v>
      </c>
      <c r="O1226" s="4" t="str">
        <f t="shared" si="57"/>
        <v>outubro</v>
      </c>
      <c r="P1226" s="4">
        <f t="shared" si="58"/>
        <v>2025</v>
      </c>
      <c r="Q1226" s="4" t="str">
        <f t="shared" si="59"/>
        <v/>
      </c>
      <c r="R1226" t="s">
        <v>24</v>
      </c>
    </row>
    <row r="1227" spans="1:18" x14ac:dyDescent="0.3">
      <c r="A1227" s="1" t="d">
        <v>2025-10-23</v>
      </c>
      <c r="B1227">
        <v>45506</v>
      </c>
      <c r="C1227" t="str">
        <f>VLOOKUP(Fato_Producao[[#This Row],[referencia]], Dim_Produtos!A:B,2,FALSE)</f>
        <v>perca posta</v>
      </c>
      <c r="D1227">
        <v>3006</v>
      </c>
      <c r="E1227">
        <v>2855</v>
      </c>
      <c r="F1227" s="5">
        <v>5.0200000000000002E-2</v>
      </c>
      <c r="G1227" s="6">
        <v>52.85</v>
      </c>
      <c r="H1227">
        <v>6</v>
      </c>
      <c r="I1227">
        <v>143</v>
      </c>
      <c r="J1227">
        <v>2</v>
      </c>
      <c r="K1227">
        <f>Fato_Producao[[#This Row],[embalagens_danificadas]]+Fato_Producao[[#This Row],[peso_errado]]+Fato_Producao[[#This Row],[impressao]]</f>
        <v>151</v>
      </c>
      <c r="L1227" s="1" t="d">
        <v>2025-10-09</v>
      </c>
      <c r="M1227">
        <v>14</v>
      </c>
      <c r="N1227" s="7">
        <v>7.93</v>
      </c>
      <c r="O1227" s="4" t="str">
        <f t="shared" si="57"/>
        <v>outubro</v>
      </c>
      <c r="P1227" s="4">
        <f t="shared" si="58"/>
        <v>2025</v>
      </c>
      <c r="Q1227" s="4" t="str">
        <f t="shared" si="59"/>
        <v/>
      </c>
      <c r="R1227" t="s">
        <v>24</v>
      </c>
    </row>
    <row r="1228" spans="1:18" x14ac:dyDescent="0.3">
      <c r="A1228" s="1" t="d">
        <v>2025-10-24</v>
      </c>
      <c r="B1228">
        <v>45508</v>
      </c>
      <c r="C1228" t="str">
        <f>VLOOKUP(Fato_Producao[[#This Row],[referencia]], Dim_Produtos!A:B,2,FALSE)</f>
        <v>lula suja</v>
      </c>
      <c r="D1228">
        <v>3681</v>
      </c>
      <c r="E1228">
        <v>3328</v>
      </c>
      <c r="F1228" s="5">
        <v>9.5899999999999999E-2</v>
      </c>
      <c r="G1228" s="6">
        <v>112.96</v>
      </c>
      <c r="H1228">
        <v>41</v>
      </c>
      <c r="I1228">
        <v>303</v>
      </c>
      <c r="J1228">
        <v>9</v>
      </c>
      <c r="K1228">
        <f>Fato_Producao[[#This Row],[embalagens_danificadas]]+Fato_Producao[[#This Row],[peso_errado]]+Fato_Producao[[#This Row],[impressao]]</f>
        <v>353</v>
      </c>
      <c r="L1228" s="1" t="d">
        <v>2025-10-09</v>
      </c>
      <c r="M1228">
        <v>15</v>
      </c>
      <c r="N1228" s="7">
        <v>15.81</v>
      </c>
      <c r="O1228" s="4" t="str">
        <f t="shared" si="57"/>
        <v>outubro</v>
      </c>
      <c r="P1228" s="4">
        <f t="shared" si="58"/>
        <v>2025</v>
      </c>
      <c r="Q1228" s="4" t="str">
        <f t="shared" si="59"/>
        <v/>
      </c>
      <c r="R1228" t="s">
        <v>24</v>
      </c>
    </row>
    <row r="1229" spans="1:18" x14ac:dyDescent="0.3">
      <c r="A1229" s="1" t="d">
        <v>2025-10-24</v>
      </c>
      <c r="B1229">
        <v>45507</v>
      </c>
      <c r="C1229" t="str">
        <f>VLOOKUP(Fato_Producao[[#This Row],[referencia]], Dim_Produtos!A:B,2,FALSE)</f>
        <v>salmao posta</v>
      </c>
      <c r="D1229">
        <v>3605</v>
      </c>
      <c r="E1229">
        <v>3421</v>
      </c>
      <c r="F1229" s="5">
        <v>5.0999999999999997E-2</v>
      </c>
      <c r="G1229" s="6">
        <v>64.400000000000006</v>
      </c>
      <c r="H1229">
        <v>8</v>
      </c>
      <c r="I1229">
        <v>174</v>
      </c>
      <c r="J1229">
        <v>2</v>
      </c>
      <c r="K1229">
        <f>Fato_Producao[[#This Row],[embalagens_danificadas]]+Fato_Producao[[#This Row],[peso_errado]]+Fato_Producao[[#This Row],[impressao]]</f>
        <v>184</v>
      </c>
      <c r="L1229" s="1" t="d">
        <v>2025-10-09</v>
      </c>
      <c r="M1229">
        <v>15</v>
      </c>
      <c r="N1229" s="7">
        <v>10.3</v>
      </c>
      <c r="O1229" s="4" t="str">
        <f t="shared" si="57"/>
        <v>outubro</v>
      </c>
      <c r="P1229" s="4">
        <f t="shared" si="58"/>
        <v>2025</v>
      </c>
      <c r="Q1229" s="4" t="str">
        <f t="shared" si="59"/>
        <v/>
      </c>
      <c r="R1229" t="s">
        <v>24</v>
      </c>
    </row>
    <row r="1230" spans="1:18" x14ac:dyDescent="0.3">
      <c r="A1230" s="1" t="d">
        <v>2025-10-25</v>
      </c>
      <c r="B1230">
        <v>45502</v>
      </c>
      <c r="C1230" t="str">
        <f>VLOOKUP(Fato_Producao[[#This Row],[referencia]], Dim_Produtos!A:B,2,FALSE)</f>
        <v>carapau pelim</v>
      </c>
      <c r="D1230">
        <v>3760</v>
      </c>
      <c r="E1230">
        <v>3533</v>
      </c>
      <c r="F1230" s="5">
        <v>6.0400000000000002E-2</v>
      </c>
      <c r="G1230" s="6">
        <v>68.099999999999994</v>
      </c>
      <c r="H1230">
        <v>62</v>
      </c>
      <c r="I1230">
        <v>33</v>
      </c>
      <c r="J1230">
        <v>132</v>
      </c>
      <c r="K1230">
        <f>Fato_Producao[[#This Row],[embalagens_danificadas]]+Fato_Producao[[#This Row],[peso_errado]]+Fato_Producao[[#This Row],[impressao]]</f>
        <v>227</v>
      </c>
      <c r="L1230" s="1" t="d">
        <v>2025-10-09</v>
      </c>
      <c r="M1230">
        <v>16</v>
      </c>
      <c r="N1230" s="7">
        <v>8.85</v>
      </c>
      <c r="O1230" s="4" t="str">
        <f t="shared" si="57"/>
        <v>outubro</v>
      </c>
      <c r="P1230" s="4">
        <f t="shared" si="58"/>
        <v>2025</v>
      </c>
      <c r="Q1230" s="4" t="str">
        <f t="shared" si="59"/>
        <v/>
      </c>
      <c r="R1230" t="s">
        <v>50</v>
      </c>
    </row>
    <row r="1231" spans="1:18" x14ac:dyDescent="0.3">
      <c r="A1231" s="1" t="d">
        <v>2025-10-25</v>
      </c>
      <c r="B1231">
        <v>45511</v>
      </c>
      <c r="C1231" t="str">
        <f>VLOOKUP(Fato_Producao[[#This Row],[referencia]], Dim_Produtos!A:B,2,FALSE)</f>
        <v>lula limpa</v>
      </c>
      <c r="D1231">
        <v>2987</v>
      </c>
      <c r="E1231">
        <v>2755</v>
      </c>
      <c r="F1231" s="5">
        <v>7.7700000000000005E-2</v>
      </c>
      <c r="G1231" s="6">
        <v>74.239999999999995</v>
      </c>
      <c r="H1231">
        <v>26</v>
      </c>
      <c r="I1231">
        <v>203</v>
      </c>
      <c r="J1231">
        <v>3</v>
      </c>
      <c r="K1231">
        <f>Fato_Producao[[#This Row],[embalagens_danificadas]]+Fato_Producao[[#This Row],[peso_errado]]+Fato_Producao[[#This Row],[impressao]]</f>
        <v>232</v>
      </c>
      <c r="L1231" s="1" t="d">
        <v>2025-10-09</v>
      </c>
      <c r="M1231">
        <v>16</v>
      </c>
      <c r="N1231" s="7">
        <v>10.39</v>
      </c>
      <c r="O1231" s="4" t="str">
        <f t="shared" si="57"/>
        <v>outubro</v>
      </c>
      <c r="P1231" s="4">
        <f t="shared" si="58"/>
        <v>2025</v>
      </c>
      <c r="Q1231" s="4" t="str">
        <f t="shared" si="59"/>
        <v/>
      </c>
      <c r="R1231" t="s">
        <v>24</v>
      </c>
    </row>
    <row r="1232" spans="1:18" x14ac:dyDescent="0.3">
      <c r="A1232" s="1" t="d">
        <v>2025-10-26</v>
      </c>
      <c r="B1232">
        <v>45505</v>
      </c>
      <c r="C1232" t="str">
        <f>VLOOKUP(Fato_Producao[[#This Row],[referencia]], Dim_Produtos!A:B,2,FALSE)</f>
        <v>camarao</v>
      </c>
      <c r="D1232">
        <v>4192</v>
      </c>
      <c r="E1232">
        <v>3891</v>
      </c>
      <c r="F1232" s="5">
        <v>7.1800000000000003E-2</v>
      </c>
      <c r="G1232" s="6">
        <v>90.3</v>
      </c>
      <c r="H1232">
        <v>71</v>
      </c>
      <c r="I1232">
        <v>221</v>
      </c>
      <c r="J1232">
        <v>9</v>
      </c>
      <c r="K1232">
        <f>Fato_Producao[[#This Row],[embalagens_danificadas]]+Fato_Producao[[#This Row],[peso_errado]]+Fato_Producao[[#This Row],[impressao]]</f>
        <v>301</v>
      </c>
      <c r="L1232" s="1" t="d">
        <v>2025-10-09</v>
      </c>
      <c r="M1232">
        <v>17</v>
      </c>
      <c r="N1232" s="7">
        <v>13.54</v>
      </c>
      <c r="O1232" s="4" t="str">
        <f t="shared" si="57"/>
        <v>outubro</v>
      </c>
      <c r="P1232" s="4">
        <f t="shared" si="58"/>
        <v>2025</v>
      </c>
      <c r="Q1232" s="4" t="str">
        <f t="shared" si="59"/>
        <v/>
      </c>
      <c r="R1232" t="s">
        <v>24</v>
      </c>
    </row>
    <row r="1233" spans="1:18" x14ac:dyDescent="0.3">
      <c r="A1233" s="1" t="d">
        <v>2025-10-26</v>
      </c>
      <c r="B1233">
        <v>45508</v>
      </c>
      <c r="C1233" t="str">
        <f>VLOOKUP(Fato_Producao[[#This Row],[referencia]], Dim_Produtos!A:B,2,FALSE)</f>
        <v>lula suja</v>
      </c>
      <c r="D1233">
        <v>2328</v>
      </c>
      <c r="E1233">
        <v>2149</v>
      </c>
      <c r="F1233" s="5">
        <v>7.6899999999999996E-2</v>
      </c>
      <c r="G1233" s="6">
        <v>57.28</v>
      </c>
      <c r="H1233">
        <v>24</v>
      </c>
      <c r="I1233">
        <v>150</v>
      </c>
      <c r="J1233">
        <v>5</v>
      </c>
      <c r="K1233">
        <f>Fato_Producao[[#This Row],[embalagens_danificadas]]+Fato_Producao[[#This Row],[peso_errado]]+Fato_Producao[[#This Row],[impressao]]</f>
        <v>179</v>
      </c>
      <c r="L1233" s="1" t="d">
        <v>2025-10-09</v>
      </c>
      <c r="M1233">
        <v>17</v>
      </c>
      <c r="N1233" s="7">
        <v>8.02</v>
      </c>
      <c r="O1233" s="4" t="str">
        <f t="shared" si="57"/>
        <v>outubro</v>
      </c>
      <c r="P1233" s="4">
        <f t="shared" si="58"/>
        <v>2025</v>
      </c>
      <c r="Q1233" s="4" t="str">
        <f t="shared" si="59"/>
        <v/>
      </c>
      <c r="R1233" t="s">
        <v>24</v>
      </c>
    </row>
    <row r="1234" spans="1:18" x14ac:dyDescent="0.3">
      <c r="A1234" s="1" t="d">
        <v>2025-10-27</v>
      </c>
      <c r="B1234">
        <v>45506</v>
      </c>
      <c r="C1234" t="str">
        <f>VLOOKUP(Fato_Producao[[#This Row],[referencia]], Dim_Produtos!A:B,2,FALSE)</f>
        <v>perca posta</v>
      </c>
      <c r="D1234">
        <v>2237</v>
      </c>
      <c r="E1234">
        <v>2132</v>
      </c>
      <c r="F1234" s="5">
        <v>4.6899999999999997E-2</v>
      </c>
      <c r="G1234" s="6">
        <v>36.75</v>
      </c>
      <c r="H1234">
        <v>7</v>
      </c>
      <c r="I1234">
        <v>97</v>
      </c>
      <c r="J1234">
        <v>1</v>
      </c>
      <c r="K1234">
        <f>Fato_Producao[[#This Row],[embalagens_danificadas]]+Fato_Producao[[#This Row],[peso_errado]]+Fato_Producao[[#This Row],[impressao]]</f>
        <v>105</v>
      </c>
      <c r="L1234" s="1" t="d">
        <v>2025-10-09</v>
      </c>
      <c r="M1234">
        <v>18</v>
      </c>
      <c r="N1234" s="7">
        <v>5.51</v>
      </c>
      <c r="O1234" s="4" t="str">
        <f t="shared" si="57"/>
        <v>outubro</v>
      </c>
      <c r="P1234" s="4">
        <f t="shared" si="58"/>
        <v>2025</v>
      </c>
      <c r="Q1234" s="4" t="str">
        <f t="shared" si="59"/>
        <v/>
      </c>
      <c r="R1234" t="s">
        <v>24</v>
      </c>
    </row>
    <row r="1235" spans="1:18" x14ac:dyDescent="0.3">
      <c r="A1235" s="1" t="d">
        <v>2025-10-27</v>
      </c>
      <c r="B1235">
        <v>45502</v>
      </c>
      <c r="C1235" t="str">
        <f>VLOOKUP(Fato_Producao[[#This Row],[referencia]], Dim_Produtos!A:B,2,FALSE)</f>
        <v>carapau pelim</v>
      </c>
      <c r="D1235">
        <v>2924</v>
      </c>
      <c r="E1235">
        <v>2701</v>
      </c>
      <c r="F1235" s="5">
        <v>7.6300000000000007E-2</v>
      </c>
      <c r="G1235" s="6">
        <v>66.900000000000006</v>
      </c>
      <c r="H1235">
        <v>68</v>
      </c>
      <c r="I1235">
        <v>149</v>
      </c>
      <c r="J1235">
        <v>6</v>
      </c>
      <c r="K1235">
        <f>Fato_Producao[[#This Row],[embalagens_danificadas]]+Fato_Producao[[#This Row],[peso_errado]]+Fato_Producao[[#This Row],[impressao]]</f>
        <v>223</v>
      </c>
      <c r="L1235" s="1" t="d">
        <v>2025-10-09</v>
      </c>
      <c r="M1235">
        <v>18</v>
      </c>
      <c r="N1235" s="7">
        <v>8.6999999999999993</v>
      </c>
      <c r="O1235" s="4" t="str">
        <f t="shared" si="57"/>
        <v>outubro</v>
      </c>
      <c r="P1235" s="4">
        <f t="shared" si="58"/>
        <v>2025</v>
      </c>
      <c r="Q1235" s="4" t="str">
        <f t="shared" si="59"/>
        <v/>
      </c>
      <c r="R1235" t="s">
        <v>24</v>
      </c>
    </row>
    <row r="1236" spans="1:18" x14ac:dyDescent="0.3">
      <c r="A1236" s="1" t="d">
        <v>2025-10-28</v>
      </c>
      <c r="B1236">
        <v>45507</v>
      </c>
      <c r="C1236" t="str">
        <f>VLOOKUP(Fato_Producao[[#This Row],[referencia]], Dim_Produtos!A:B,2,FALSE)</f>
        <v>salmao posta</v>
      </c>
      <c r="D1236">
        <v>2027</v>
      </c>
      <c r="E1236">
        <v>1910</v>
      </c>
      <c r="F1236" s="5">
        <v>5.7700000000000001E-2</v>
      </c>
      <c r="G1236" s="6">
        <v>40.950000000000003</v>
      </c>
      <c r="H1236">
        <v>4</v>
      </c>
      <c r="I1236">
        <v>112</v>
      </c>
      <c r="J1236">
        <v>1</v>
      </c>
      <c r="K1236">
        <f>Fato_Producao[[#This Row],[embalagens_danificadas]]+Fato_Producao[[#This Row],[peso_errado]]+Fato_Producao[[#This Row],[impressao]]</f>
        <v>117</v>
      </c>
      <c r="L1236" s="1" t="d">
        <v>2025-10-09</v>
      </c>
      <c r="M1236">
        <v>19</v>
      </c>
      <c r="N1236" s="7">
        <v>6.55</v>
      </c>
      <c r="O1236" s="4" t="str">
        <f t="shared" si="57"/>
        <v>outubro</v>
      </c>
      <c r="P1236" s="4">
        <f t="shared" si="58"/>
        <v>2025</v>
      </c>
      <c r="Q1236" s="4" t="str">
        <f t="shared" si="59"/>
        <v/>
      </c>
      <c r="R1236" t="s">
        <v>24</v>
      </c>
    </row>
    <row r="1237" spans="1:18" x14ac:dyDescent="0.3">
      <c r="A1237" s="1" t="d">
        <v>2025-10-28</v>
      </c>
      <c r="B1237">
        <v>45500</v>
      </c>
      <c r="C1237" t="str">
        <f>VLOOKUP(Fato_Producao[[#This Row],[referencia]], Dim_Produtos!A:B,2,FALSE)</f>
        <v>filete pescada</v>
      </c>
      <c r="D1237">
        <v>3738</v>
      </c>
      <c r="E1237">
        <v>3522</v>
      </c>
      <c r="F1237" s="5">
        <v>5.7799999999999997E-2</v>
      </c>
      <c r="G1237" s="6">
        <v>60.48</v>
      </c>
      <c r="H1237">
        <v>4</v>
      </c>
      <c r="I1237">
        <v>207</v>
      </c>
      <c r="J1237">
        <v>5</v>
      </c>
      <c r="K1237">
        <f>Fato_Producao[[#This Row],[embalagens_danificadas]]+Fato_Producao[[#This Row],[peso_errado]]+Fato_Producao[[#This Row],[impressao]]</f>
        <v>216</v>
      </c>
      <c r="L1237" s="1" t="d">
        <v>2025-10-09</v>
      </c>
      <c r="M1237">
        <v>19</v>
      </c>
      <c r="N1237" s="7">
        <v>7.26</v>
      </c>
      <c r="O1237" s="4" t="str">
        <f t="shared" si="57"/>
        <v>outubro</v>
      </c>
      <c r="P1237" s="4">
        <f t="shared" si="58"/>
        <v>2025</v>
      </c>
      <c r="Q1237" s="4" t="str">
        <f t="shared" si="59"/>
        <v/>
      </c>
      <c r="R1237" t="s">
        <v>24</v>
      </c>
    </row>
    <row r="1238" spans="1:18" x14ac:dyDescent="0.3">
      <c r="A1238" s="1" t="d">
        <v>2025-10-29</v>
      </c>
      <c r="B1238">
        <v>45508</v>
      </c>
      <c r="C1238" t="str">
        <f>VLOOKUP(Fato_Producao[[#This Row],[referencia]], Dim_Produtos!A:B,2,FALSE)</f>
        <v>lula suja</v>
      </c>
      <c r="D1238">
        <v>1869</v>
      </c>
      <c r="E1238">
        <v>1690</v>
      </c>
      <c r="F1238" s="5">
        <v>9.5799999999999996E-2</v>
      </c>
      <c r="G1238" s="6">
        <v>57.28</v>
      </c>
      <c r="H1238">
        <v>17</v>
      </c>
      <c r="I1238">
        <v>157</v>
      </c>
      <c r="J1238">
        <v>5</v>
      </c>
      <c r="K1238">
        <f>Fato_Producao[[#This Row],[embalagens_danificadas]]+Fato_Producao[[#This Row],[peso_errado]]+Fato_Producao[[#This Row],[impressao]]</f>
        <v>179</v>
      </c>
      <c r="L1238" s="1" t="d">
        <v>2025-10-09</v>
      </c>
      <c r="M1238">
        <v>20</v>
      </c>
      <c r="N1238" s="7">
        <v>8.02</v>
      </c>
      <c r="O1238" s="4" t="str">
        <f t="shared" si="57"/>
        <v>outubro</v>
      </c>
      <c r="P1238" s="4">
        <f t="shared" si="58"/>
        <v>2025</v>
      </c>
      <c r="Q1238" s="4" t="str">
        <f t="shared" si="59"/>
        <v/>
      </c>
      <c r="R1238" t="s">
        <v>24</v>
      </c>
    </row>
    <row r="1239" spans="1:18" x14ac:dyDescent="0.3">
      <c r="A1239" s="1" t="d">
        <v>2025-10-29</v>
      </c>
      <c r="B1239">
        <v>45504</v>
      </c>
      <c r="C1239" t="str">
        <f>VLOOKUP(Fato_Producao[[#This Row],[referencia]], Dim_Produtos!A:B,2,FALSE)</f>
        <v>pescada posta fritar</v>
      </c>
      <c r="D1239">
        <v>2998</v>
      </c>
      <c r="E1239">
        <v>2773</v>
      </c>
      <c r="F1239" s="5">
        <v>7.51E-2</v>
      </c>
      <c r="G1239" s="6">
        <v>72</v>
      </c>
      <c r="H1239">
        <v>14</v>
      </c>
      <c r="I1239">
        <v>206</v>
      </c>
      <c r="J1239">
        <v>5</v>
      </c>
      <c r="K1239">
        <f>Fato_Producao[[#This Row],[embalagens_danificadas]]+Fato_Producao[[#This Row],[peso_errado]]+Fato_Producao[[#This Row],[impressao]]</f>
        <v>225</v>
      </c>
      <c r="L1239" s="1" t="d">
        <v>2025-10-09</v>
      </c>
      <c r="M1239">
        <v>20</v>
      </c>
      <c r="N1239" s="7">
        <v>10.08</v>
      </c>
      <c r="O1239" s="4" t="str">
        <f t="shared" si="57"/>
        <v>outubro</v>
      </c>
      <c r="P1239" s="4">
        <f t="shared" si="58"/>
        <v>2025</v>
      </c>
      <c r="Q1239" s="4" t="str">
        <f t="shared" si="59"/>
        <v/>
      </c>
      <c r="R1239" t="s">
        <v>24</v>
      </c>
    </row>
    <row r="1240" spans="1:18" x14ac:dyDescent="0.3">
      <c r="A1240" s="1" t="d">
        <v>2025-10-30</v>
      </c>
      <c r="B1240">
        <v>45511</v>
      </c>
      <c r="C1240" t="str">
        <f>VLOOKUP(Fato_Producao[[#This Row],[referencia]], Dim_Produtos!A:B,2,FALSE)</f>
        <v>lula limpa</v>
      </c>
      <c r="D1240">
        <v>1954</v>
      </c>
      <c r="E1240">
        <v>1822</v>
      </c>
      <c r="F1240" s="5">
        <v>6.7599999999999993E-2</v>
      </c>
      <c r="G1240" s="6">
        <v>42.24</v>
      </c>
      <c r="H1240">
        <v>13</v>
      </c>
      <c r="I1240">
        <v>115</v>
      </c>
      <c r="J1240">
        <v>4</v>
      </c>
      <c r="K1240">
        <f>Fato_Producao[[#This Row],[embalagens_danificadas]]+Fato_Producao[[#This Row],[peso_errado]]+Fato_Producao[[#This Row],[impressao]]</f>
        <v>132</v>
      </c>
      <c r="L1240" s="1" t="d">
        <v>2025-10-09</v>
      </c>
      <c r="M1240">
        <v>21</v>
      </c>
      <c r="N1240" s="7">
        <v>5.91</v>
      </c>
      <c r="O1240" s="4" t="str">
        <f t="shared" si="57"/>
        <v>outubro</v>
      </c>
      <c r="P1240" s="4">
        <f t="shared" si="58"/>
        <v>2025</v>
      </c>
      <c r="Q1240" s="4" t="str">
        <f t="shared" si="59"/>
        <v/>
      </c>
      <c r="R1240" t="s">
        <v>24</v>
      </c>
    </row>
    <row r="1241" spans="1:18" x14ac:dyDescent="0.3">
      <c r="A1241" s="1" t="d">
        <v>2025-10-30</v>
      </c>
      <c r="B1241">
        <v>45512</v>
      </c>
      <c r="C1241" t="str">
        <f>VLOOKUP(Fato_Producao[[#This Row],[referencia]], Dim_Produtos!A:B,2,FALSE)</f>
        <v>red-fish posta</v>
      </c>
      <c r="D1241">
        <v>3058</v>
      </c>
      <c r="E1241">
        <v>2888</v>
      </c>
      <c r="F1241" s="5">
        <v>5.5599999999999997E-2</v>
      </c>
      <c r="G1241" s="6">
        <v>57.8</v>
      </c>
      <c r="H1241">
        <v>9</v>
      </c>
      <c r="I1241">
        <v>158</v>
      </c>
      <c r="J1241">
        <v>3</v>
      </c>
      <c r="K1241">
        <f>Fato_Producao[[#This Row],[embalagens_danificadas]]+Fato_Producao[[#This Row],[peso_errado]]+Fato_Producao[[#This Row],[impressao]]</f>
        <v>170</v>
      </c>
      <c r="L1241" s="1" t="d">
        <v>2025-10-09</v>
      </c>
      <c r="M1241">
        <v>21</v>
      </c>
      <c r="N1241" s="7">
        <v>8.09</v>
      </c>
      <c r="O1241" s="4" t="str">
        <f t="shared" si="57"/>
        <v>outubro</v>
      </c>
      <c r="P1241" s="4">
        <f t="shared" si="58"/>
        <v>2025</v>
      </c>
      <c r="Q1241" s="4" t="str">
        <f t="shared" si="59"/>
        <v/>
      </c>
      <c r="R1241" t="s">
        <v>24</v>
      </c>
    </row>
    <row r="1242" spans="1:18" x14ac:dyDescent="0.3">
      <c r="A1242" s="1" t="d">
        <v>2025-10-31</v>
      </c>
      <c r="B1242">
        <v>45509</v>
      </c>
      <c r="C1242" t="str">
        <f>VLOOKUP(Fato_Producao[[#This Row],[referencia]], Dim_Produtos!A:B,2,FALSE)</f>
        <v>lascas bacalhau</v>
      </c>
      <c r="D1242">
        <v>2365</v>
      </c>
      <c r="E1242">
        <v>2169</v>
      </c>
      <c r="F1242" s="5">
        <v>8.2900000000000001E-2</v>
      </c>
      <c r="G1242" s="6">
        <v>54.88</v>
      </c>
      <c r="H1242">
        <v>10</v>
      </c>
      <c r="I1242">
        <v>182</v>
      </c>
      <c r="J1242">
        <v>4</v>
      </c>
      <c r="K1242">
        <f>Fato_Producao[[#This Row],[embalagens_danificadas]]+Fato_Producao[[#This Row],[peso_errado]]+Fato_Producao[[#This Row],[impressao]]</f>
        <v>196</v>
      </c>
      <c r="L1242" s="1" t="d">
        <v>2025-10-09</v>
      </c>
      <c r="M1242">
        <v>22</v>
      </c>
      <c r="N1242" s="7">
        <v>7.13</v>
      </c>
      <c r="O1242" s="4" t="str">
        <f t="shared" si="57"/>
        <v>outubro</v>
      </c>
      <c r="P1242" s="4">
        <f t="shared" si="58"/>
        <v>2025</v>
      </c>
      <c r="Q1242" s="4" t="str">
        <f t="shared" si="59"/>
        <v/>
      </c>
      <c r="R1242" t="s">
        <v>24</v>
      </c>
    </row>
    <row r="1243" spans="1:18" x14ac:dyDescent="0.3">
      <c r="A1243" s="1" t="d">
        <v>2025-10-31</v>
      </c>
      <c r="B1243">
        <v>45508</v>
      </c>
      <c r="C1243" t="str">
        <f>VLOOKUP(Fato_Producao[[#This Row],[referencia]], Dim_Produtos!A:B,2,FALSE)</f>
        <v>lula suja</v>
      </c>
      <c r="D1243">
        <v>1959</v>
      </c>
      <c r="E1243">
        <v>1779</v>
      </c>
      <c r="F1243" s="5">
        <v>9.1899999999999996E-2</v>
      </c>
      <c r="G1243" s="6">
        <v>57.6</v>
      </c>
      <c r="H1243">
        <v>25</v>
      </c>
      <c r="I1243">
        <v>153</v>
      </c>
      <c r="J1243">
        <v>2</v>
      </c>
      <c r="K1243">
        <f>Fato_Producao[[#This Row],[embalagens_danificadas]]+Fato_Producao[[#This Row],[peso_errado]]+Fato_Producao[[#This Row],[impressao]]</f>
        <v>180</v>
      </c>
      <c r="L1243" s="1" t="d">
        <v>2025-10-09</v>
      </c>
      <c r="M1243">
        <v>22</v>
      </c>
      <c r="N1243" s="7">
        <v>8.06</v>
      </c>
      <c r="O1243" s="4" t="str">
        <f t="shared" si="57"/>
        <v>outubro</v>
      </c>
      <c r="P1243" s="4">
        <f t="shared" si="58"/>
        <v>2025</v>
      </c>
      <c r="Q1243" s="4" t="str">
        <f t="shared" si="59"/>
        <v/>
      </c>
      <c r="R1243" t="s">
        <v>24</v>
      </c>
    </row>
    <row r="1244" spans="1:18" x14ac:dyDescent="0.3">
      <c r="A1244" s="1" t="d">
        <v>2025-11-01</v>
      </c>
      <c r="B1244">
        <v>45514</v>
      </c>
      <c r="C1244" t="str">
        <f>VLOOKUP(Fato_Producao[[#This Row],[referencia]], Dim_Produtos!A:B,2,FALSE)</f>
        <v>sardinha pequena</v>
      </c>
      <c r="D1244">
        <v>1800</v>
      </c>
      <c r="E1244">
        <v>1659</v>
      </c>
      <c r="F1244" s="5">
        <v>7.8299999999999995E-2</v>
      </c>
      <c r="G1244" s="6">
        <v>42.3</v>
      </c>
      <c r="H1244">
        <v>8</v>
      </c>
      <c r="I1244">
        <v>130</v>
      </c>
      <c r="J1244">
        <v>3</v>
      </c>
      <c r="K1244">
        <f>Fato_Producao[[#This Row],[embalagens_danificadas]]+Fato_Producao[[#This Row],[peso_errado]]+Fato_Producao[[#This Row],[impressao]]</f>
        <v>141</v>
      </c>
      <c r="L1244" s="1" t="d">
        <v>2025-10-09</v>
      </c>
      <c r="M1244">
        <v>23</v>
      </c>
      <c r="N1244" s="7">
        <v>5.08</v>
      </c>
      <c r="O1244" s="4" t="str">
        <f t="shared" si="57"/>
        <v>novembro</v>
      </c>
      <c r="P1244" s="4">
        <f t="shared" si="58"/>
        <v>2025</v>
      </c>
      <c r="Q1244" s="4" t="str">
        <f t="shared" si="59"/>
        <v/>
      </c>
      <c r="R1244" t="s">
        <v>24</v>
      </c>
    </row>
    <row r="1245" spans="1:18" x14ac:dyDescent="0.3">
      <c r="A1245" s="1" t="d">
        <v>2025-11-01</v>
      </c>
      <c r="B1245">
        <v>45510</v>
      </c>
      <c r="C1245" t="str">
        <f>VLOOKUP(Fato_Producao[[#This Row],[referencia]], Dim_Produtos!A:B,2,FALSE)</f>
        <v>tiras pota</v>
      </c>
      <c r="D1245">
        <v>2697</v>
      </c>
      <c r="E1245">
        <v>2437</v>
      </c>
      <c r="F1245" s="5">
        <v>9.64E-2</v>
      </c>
      <c r="G1245" s="6">
        <v>83.2</v>
      </c>
      <c r="H1245">
        <v>36</v>
      </c>
      <c r="I1245">
        <v>220</v>
      </c>
      <c r="J1245">
        <v>4</v>
      </c>
      <c r="K1245">
        <f>Fato_Producao[[#This Row],[embalagens_danificadas]]+Fato_Producao[[#This Row],[peso_errado]]+Fato_Producao[[#This Row],[impressao]]</f>
        <v>260</v>
      </c>
      <c r="L1245" s="1" t="d">
        <v>2025-10-09</v>
      </c>
      <c r="M1245">
        <v>23</v>
      </c>
      <c r="N1245" s="7">
        <v>11.65</v>
      </c>
      <c r="O1245" s="4" t="str">
        <f t="shared" si="57"/>
        <v>novembro</v>
      </c>
      <c r="P1245" s="4">
        <f t="shared" si="58"/>
        <v>2025</v>
      </c>
      <c r="Q1245" s="4" t="str">
        <f t="shared" si="59"/>
        <v/>
      </c>
      <c r="R1245" t="s">
        <v>24</v>
      </c>
    </row>
    <row r="1246" spans="1:18" x14ac:dyDescent="0.3">
      <c r="A1246" s="1" t="d">
        <v>2025-11-02</v>
      </c>
      <c r="B1246">
        <v>45501</v>
      </c>
      <c r="C1246" t="str">
        <f>VLOOKUP(Fato_Producao[[#This Row],[referencia]], Dim_Produtos!A:B,2,FALSE)</f>
        <v>pescada posta cozer</v>
      </c>
      <c r="D1246">
        <v>2190</v>
      </c>
      <c r="E1246">
        <v>2065</v>
      </c>
      <c r="F1246" s="5">
        <v>5.7099999999999998E-2</v>
      </c>
      <c r="G1246" s="6">
        <v>40</v>
      </c>
      <c r="H1246">
        <v>6</v>
      </c>
      <c r="I1246">
        <v>117</v>
      </c>
      <c r="J1246">
        <v>2</v>
      </c>
      <c r="K1246">
        <f>Fato_Producao[[#This Row],[embalagens_danificadas]]+Fato_Producao[[#This Row],[peso_errado]]+Fato_Producao[[#This Row],[impressao]]</f>
        <v>125</v>
      </c>
      <c r="L1246" s="1" t="d">
        <v>2025-10-09</v>
      </c>
      <c r="M1246">
        <v>24</v>
      </c>
      <c r="N1246" s="7">
        <v>5.6</v>
      </c>
      <c r="O1246" s="4" t="str">
        <f t="shared" si="57"/>
        <v>novembro</v>
      </c>
      <c r="P1246" s="4">
        <f t="shared" si="58"/>
        <v>2025</v>
      </c>
      <c r="Q1246" s="4" t="str">
        <f t="shared" si="59"/>
        <v/>
      </c>
      <c r="R1246" t="s">
        <v>24</v>
      </c>
    </row>
    <row r="1247" spans="1:18" x14ac:dyDescent="0.3">
      <c r="A1247" s="1" t="d">
        <v>2025-11-02</v>
      </c>
      <c r="B1247">
        <v>45509</v>
      </c>
      <c r="C1247" t="str">
        <f>VLOOKUP(Fato_Producao[[#This Row],[referencia]], Dim_Produtos!A:B,2,FALSE)</f>
        <v>lascas bacalhau</v>
      </c>
      <c r="D1247">
        <v>3191</v>
      </c>
      <c r="E1247">
        <v>2934</v>
      </c>
      <c r="F1247" s="5">
        <v>8.0500000000000002E-2</v>
      </c>
      <c r="G1247" s="6">
        <v>71.959999999999994</v>
      </c>
      <c r="H1247">
        <v>8</v>
      </c>
      <c r="I1247">
        <v>242</v>
      </c>
      <c r="J1247">
        <v>7</v>
      </c>
      <c r="K1247">
        <f>Fato_Producao[[#This Row],[embalagens_danificadas]]+Fato_Producao[[#This Row],[peso_errado]]+Fato_Producao[[#This Row],[impressao]]</f>
        <v>257</v>
      </c>
      <c r="L1247" s="1" t="d">
        <v>2025-10-09</v>
      </c>
      <c r="M1247">
        <v>24</v>
      </c>
      <c r="N1247" s="7">
        <v>9.35</v>
      </c>
      <c r="O1247" s="4" t="str">
        <f t="shared" si="57"/>
        <v>novembro</v>
      </c>
      <c r="P1247" s="4">
        <f t="shared" si="58"/>
        <v>2025</v>
      </c>
      <c r="Q1247" s="4" t="str">
        <f t="shared" si="59"/>
        <v/>
      </c>
      <c r="R1247" t="s">
        <v>24</v>
      </c>
    </row>
    <row r="1248" spans="1:18" x14ac:dyDescent="0.3">
      <c r="A1248" s="1" t="d">
        <v>2025-11-03</v>
      </c>
      <c r="B1248">
        <v>45514</v>
      </c>
      <c r="C1248" t="str">
        <f>VLOOKUP(Fato_Producao[[#This Row],[referencia]], Dim_Produtos!A:B,2,FALSE)</f>
        <v>sardinha pequena</v>
      </c>
      <c r="D1248">
        <v>2391</v>
      </c>
      <c r="E1248">
        <v>2197</v>
      </c>
      <c r="F1248" s="5">
        <v>8.1100000000000005E-2</v>
      </c>
      <c r="G1248" s="6">
        <v>58.2</v>
      </c>
      <c r="H1248">
        <v>11</v>
      </c>
      <c r="I1248">
        <v>180</v>
      </c>
      <c r="J1248">
        <v>3</v>
      </c>
      <c r="K1248">
        <f>Fato_Producao[[#This Row],[embalagens_danificadas]]+Fato_Producao[[#This Row],[peso_errado]]+Fato_Producao[[#This Row],[impressao]]</f>
        <v>194</v>
      </c>
      <c r="L1248" s="1" t="d">
        <v>2025-10-09</v>
      </c>
      <c r="M1248">
        <v>25</v>
      </c>
      <c r="N1248" s="7">
        <v>6.98</v>
      </c>
      <c r="O1248" s="4" t="str">
        <f t="shared" si="57"/>
        <v>novembro</v>
      </c>
      <c r="P1248" s="4">
        <f t="shared" si="58"/>
        <v>2025</v>
      </c>
      <c r="Q1248" s="4" t="str">
        <f t="shared" si="59"/>
        <v/>
      </c>
      <c r="R1248" t="s">
        <v>24</v>
      </c>
    </row>
    <row r="1249" spans="1:18" x14ac:dyDescent="0.3">
      <c r="A1249" s="1" t="d">
        <v>2025-11-03</v>
      </c>
      <c r="B1249">
        <v>45501</v>
      </c>
      <c r="C1249" t="str">
        <f>VLOOKUP(Fato_Producao[[#This Row],[referencia]], Dim_Produtos!A:B,2,FALSE)</f>
        <v>pescada posta cozer</v>
      </c>
      <c r="D1249">
        <v>3993</v>
      </c>
      <c r="E1249">
        <v>3721</v>
      </c>
      <c r="F1249" s="5">
        <v>6.8099999999999994E-2</v>
      </c>
      <c r="G1249" s="6">
        <v>87.04</v>
      </c>
      <c r="H1249">
        <v>14</v>
      </c>
      <c r="I1249">
        <v>252</v>
      </c>
      <c r="J1249">
        <v>6</v>
      </c>
      <c r="K1249">
        <f>Fato_Producao[[#This Row],[embalagens_danificadas]]+Fato_Producao[[#This Row],[peso_errado]]+Fato_Producao[[#This Row],[impressao]]</f>
        <v>272</v>
      </c>
      <c r="L1249" s="1" t="d">
        <v>2025-10-09</v>
      </c>
      <c r="M1249">
        <v>25</v>
      </c>
      <c r="N1249" s="7">
        <v>12.19</v>
      </c>
      <c r="O1249" s="4" t="str">
        <f t="shared" si="57"/>
        <v>novembro</v>
      </c>
      <c r="P1249" s="4">
        <f t="shared" si="58"/>
        <v>2025</v>
      </c>
      <c r="Q1249" s="4" t="str">
        <f t="shared" si="59"/>
        <v/>
      </c>
      <c r="R1249" t="s">
        <v>24</v>
      </c>
    </row>
    <row r="1250" spans="1:18" x14ac:dyDescent="0.3">
      <c r="A1250" s="1" t="d">
        <v>2025-11-04</v>
      </c>
      <c r="B1250">
        <v>45506</v>
      </c>
      <c r="C1250" t="str">
        <f>VLOOKUP(Fato_Producao[[#This Row],[referencia]], Dim_Produtos!A:B,2,FALSE)</f>
        <v>perca posta</v>
      </c>
      <c r="D1250">
        <v>1840</v>
      </c>
      <c r="E1250">
        <v>1704</v>
      </c>
      <c r="F1250" s="5">
        <v>7.3899999999999993E-2</v>
      </c>
      <c r="G1250" s="6">
        <v>47.6</v>
      </c>
      <c r="H1250">
        <v>9</v>
      </c>
      <c r="I1250">
        <v>124</v>
      </c>
      <c r="J1250">
        <v>3</v>
      </c>
      <c r="K1250">
        <f>Fato_Producao[[#This Row],[embalagens_danificadas]]+Fato_Producao[[#This Row],[peso_errado]]+Fato_Producao[[#This Row],[impressao]]</f>
        <v>136</v>
      </c>
      <c r="L1250" s="1" t="d">
        <v>2025-10-09</v>
      </c>
      <c r="M1250">
        <v>26</v>
      </c>
      <c r="N1250" s="7">
        <v>7.14</v>
      </c>
      <c r="O1250" s="4" t="str">
        <f t="shared" si="57"/>
        <v>novembro</v>
      </c>
      <c r="P1250" s="4">
        <f t="shared" si="58"/>
        <v>2025</v>
      </c>
      <c r="Q1250" s="4" t="str">
        <f t="shared" si="59"/>
        <v/>
      </c>
      <c r="R1250" t="s">
        <v>24</v>
      </c>
    </row>
    <row r="1251" spans="1:18" x14ac:dyDescent="0.3">
      <c r="A1251" s="1" t="d">
        <v>2025-11-04</v>
      </c>
      <c r="B1251">
        <v>45505</v>
      </c>
      <c r="C1251" t="str">
        <f>VLOOKUP(Fato_Producao[[#This Row],[referencia]], Dim_Produtos!A:B,2,FALSE)</f>
        <v>camarao</v>
      </c>
      <c r="D1251">
        <v>3840</v>
      </c>
      <c r="E1251">
        <v>3614</v>
      </c>
      <c r="F1251" s="5">
        <v>5.8900000000000001E-2</v>
      </c>
      <c r="G1251" s="6">
        <v>67.8</v>
      </c>
      <c r="H1251">
        <v>43</v>
      </c>
      <c r="I1251">
        <v>178</v>
      </c>
      <c r="J1251">
        <v>5</v>
      </c>
      <c r="K1251">
        <f>Fato_Producao[[#This Row],[embalagens_danificadas]]+Fato_Producao[[#This Row],[peso_errado]]+Fato_Producao[[#This Row],[impressao]]</f>
        <v>226</v>
      </c>
      <c r="L1251" s="1" t="d">
        <v>2025-10-09</v>
      </c>
      <c r="M1251">
        <v>26</v>
      </c>
      <c r="N1251" s="7">
        <v>10.17</v>
      </c>
      <c r="O1251" s="4" t="str">
        <f t="shared" si="57"/>
        <v>novembro</v>
      </c>
      <c r="P1251" s="4">
        <f t="shared" si="58"/>
        <v>2025</v>
      </c>
      <c r="Q1251" s="4" t="str">
        <f t="shared" si="59"/>
        <v/>
      </c>
      <c r="R1251" t="s">
        <v>24</v>
      </c>
    </row>
    <row r="1252" spans="1:18" x14ac:dyDescent="0.3">
      <c r="A1252" s="1" t="d">
        <v>2025-11-05</v>
      </c>
      <c r="B1252">
        <v>45511</v>
      </c>
      <c r="C1252" t="str">
        <f>VLOOKUP(Fato_Producao[[#This Row],[referencia]], Dim_Produtos!A:B,2,FALSE)</f>
        <v>lula limpa</v>
      </c>
      <c r="D1252">
        <v>2282</v>
      </c>
      <c r="E1252">
        <v>2093</v>
      </c>
      <c r="F1252" s="5">
        <v>8.2799999999999999E-2</v>
      </c>
      <c r="G1252" s="6">
        <v>60.48</v>
      </c>
      <c r="H1252">
        <v>21</v>
      </c>
      <c r="I1252">
        <v>166</v>
      </c>
      <c r="J1252">
        <v>2</v>
      </c>
      <c r="K1252">
        <f>Fato_Producao[[#This Row],[embalagens_danificadas]]+Fato_Producao[[#This Row],[peso_errado]]+Fato_Producao[[#This Row],[impressao]]</f>
        <v>189</v>
      </c>
      <c r="L1252" s="1" t="d">
        <v>2025-10-09</v>
      </c>
      <c r="M1252">
        <v>27</v>
      </c>
      <c r="N1252" s="7">
        <v>8.4700000000000006</v>
      </c>
      <c r="O1252" s="4" t="str">
        <f t="shared" si="57"/>
        <v>novembro</v>
      </c>
      <c r="P1252" s="4">
        <f t="shared" si="58"/>
        <v>2025</v>
      </c>
      <c r="Q1252" s="4" t="str">
        <f t="shared" si="59"/>
        <v/>
      </c>
      <c r="R1252" t="s">
        <v>24</v>
      </c>
    </row>
    <row r="1253" spans="1:18" x14ac:dyDescent="0.3">
      <c r="A1253" s="1" t="d">
        <v>2025-11-05</v>
      </c>
      <c r="B1253">
        <v>45508</v>
      </c>
      <c r="C1253" t="str">
        <f>VLOOKUP(Fato_Producao[[#This Row],[referencia]], Dim_Produtos!A:B,2,FALSE)</f>
        <v>lula suja</v>
      </c>
      <c r="D1253">
        <v>2558</v>
      </c>
      <c r="E1253">
        <v>2342</v>
      </c>
      <c r="F1253" s="5">
        <v>8.4400000000000003E-2</v>
      </c>
      <c r="G1253" s="6">
        <v>69.12</v>
      </c>
      <c r="H1253">
        <v>28</v>
      </c>
      <c r="I1253">
        <v>184</v>
      </c>
      <c r="J1253">
        <v>4</v>
      </c>
      <c r="K1253">
        <f>Fato_Producao[[#This Row],[embalagens_danificadas]]+Fato_Producao[[#This Row],[peso_errado]]+Fato_Producao[[#This Row],[impressao]]</f>
        <v>216</v>
      </c>
      <c r="L1253" s="1" t="d">
        <v>2025-10-09</v>
      </c>
      <c r="M1253">
        <v>27</v>
      </c>
      <c r="N1253" s="7">
        <v>9.68</v>
      </c>
      <c r="O1253" s="4" t="str">
        <f t="shared" si="57"/>
        <v>novembro</v>
      </c>
      <c r="P1253" s="4">
        <f t="shared" si="58"/>
        <v>2025</v>
      </c>
      <c r="Q1253" s="4" t="str">
        <f t="shared" si="59"/>
        <v/>
      </c>
      <c r="R1253" t="s">
        <v>24</v>
      </c>
    </row>
    <row r="1254" spans="1:18" x14ac:dyDescent="0.3">
      <c r="A1254" s="1" t="d">
        <v>2025-11-06</v>
      </c>
      <c r="B1254">
        <v>45505</v>
      </c>
      <c r="C1254" t="str">
        <f>VLOOKUP(Fato_Producao[[#This Row],[referencia]], Dim_Produtos!A:B,2,FALSE)</f>
        <v>camarao</v>
      </c>
      <c r="D1254">
        <v>3795</v>
      </c>
      <c r="E1254">
        <v>3486</v>
      </c>
      <c r="F1254" s="5">
        <v>8.14E-2</v>
      </c>
      <c r="G1254" s="6">
        <v>92.7</v>
      </c>
      <c r="H1254">
        <v>65</v>
      </c>
      <c r="I1254">
        <v>238</v>
      </c>
      <c r="J1254">
        <v>6</v>
      </c>
      <c r="K1254">
        <f>Fato_Producao[[#This Row],[embalagens_danificadas]]+Fato_Producao[[#This Row],[peso_errado]]+Fato_Producao[[#This Row],[impressao]]</f>
        <v>309</v>
      </c>
      <c r="L1254" s="1" t="d">
        <v>2025-10-09</v>
      </c>
      <c r="M1254">
        <v>28</v>
      </c>
      <c r="N1254" s="7">
        <v>13.9</v>
      </c>
      <c r="O1254" s="4" t="str">
        <f t="shared" si="57"/>
        <v>novembro</v>
      </c>
      <c r="P1254" s="4">
        <f t="shared" si="58"/>
        <v>2025</v>
      </c>
      <c r="Q1254" s="4" t="str">
        <f t="shared" si="59"/>
        <v/>
      </c>
      <c r="R1254" t="s">
        <v>24</v>
      </c>
    </row>
    <row r="1255" spans="1:18" x14ac:dyDescent="0.3">
      <c r="A1255" s="1" t="d">
        <v>2025-11-06</v>
      </c>
      <c r="B1255">
        <v>45512</v>
      </c>
      <c r="C1255" t="str">
        <f>VLOOKUP(Fato_Producao[[#This Row],[referencia]], Dim_Produtos!A:B,2,FALSE)</f>
        <v>red-fish posta</v>
      </c>
      <c r="D1255">
        <v>3974</v>
      </c>
      <c r="E1255">
        <v>3727</v>
      </c>
      <c r="F1255" s="5">
        <v>6.2199999999999998E-2</v>
      </c>
      <c r="G1255" s="6">
        <v>83.98</v>
      </c>
      <c r="H1255">
        <v>7</v>
      </c>
      <c r="I1255">
        <v>237</v>
      </c>
      <c r="J1255">
        <v>3</v>
      </c>
      <c r="K1255">
        <f>Fato_Producao[[#This Row],[embalagens_danificadas]]+Fato_Producao[[#This Row],[peso_errado]]+Fato_Producao[[#This Row],[impressao]]</f>
        <v>247</v>
      </c>
      <c r="L1255" s="1" t="d">
        <v>2025-10-09</v>
      </c>
      <c r="M1255">
        <v>28</v>
      </c>
      <c r="N1255" s="7">
        <v>11.76</v>
      </c>
      <c r="O1255" s="4" t="str">
        <f t="shared" si="57"/>
        <v>novembro</v>
      </c>
      <c r="P1255" s="4">
        <f t="shared" si="58"/>
        <v>2025</v>
      </c>
      <c r="Q1255" s="4" t="str">
        <f t="shared" si="59"/>
        <v/>
      </c>
      <c r="R1255" t="s">
        <v>24</v>
      </c>
    </row>
    <row r="1256" spans="1:18" x14ac:dyDescent="0.3">
      <c r="A1256" s="1" t="d">
        <v>2025-11-07</v>
      </c>
      <c r="B1256">
        <v>45506</v>
      </c>
      <c r="C1256" t="str">
        <f>VLOOKUP(Fato_Producao[[#This Row],[referencia]], Dim_Produtos!A:B,2,FALSE)</f>
        <v>perca posta</v>
      </c>
      <c r="D1256">
        <v>2102</v>
      </c>
      <c r="E1256">
        <v>1951</v>
      </c>
      <c r="F1256" s="5">
        <v>7.1800000000000003E-2</v>
      </c>
      <c r="G1256" s="6">
        <v>52.85</v>
      </c>
      <c r="H1256">
        <v>6</v>
      </c>
      <c r="I1256">
        <v>141</v>
      </c>
      <c r="J1256">
        <v>4</v>
      </c>
      <c r="K1256">
        <f>Fato_Producao[[#This Row],[embalagens_danificadas]]+Fato_Producao[[#This Row],[peso_errado]]+Fato_Producao[[#This Row],[impressao]]</f>
        <v>151</v>
      </c>
      <c r="L1256" s="1" t="d">
        <v>2025-10-09</v>
      </c>
      <c r="M1256">
        <v>29</v>
      </c>
      <c r="N1256" s="7">
        <v>7.93</v>
      </c>
      <c r="O1256" s="4" t="str">
        <f t="shared" si="57"/>
        <v>novembro</v>
      </c>
      <c r="P1256" s="4">
        <f t="shared" si="58"/>
        <v>2025</v>
      </c>
      <c r="Q1256" s="4" t="str">
        <f t="shared" si="59"/>
        <v/>
      </c>
      <c r="R1256" t="s">
        <v>24</v>
      </c>
    </row>
    <row r="1257" spans="1:18" x14ac:dyDescent="0.3">
      <c r="A1257" s="1" t="d">
        <v>2025-11-07</v>
      </c>
      <c r="B1257">
        <v>45500</v>
      </c>
      <c r="C1257" t="str">
        <f>VLOOKUP(Fato_Producao[[#This Row],[referencia]], Dim_Produtos!A:B,2,FALSE)</f>
        <v>filete pescada</v>
      </c>
      <c r="D1257">
        <v>2919</v>
      </c>
      <c r="E1257">
        <v>2716</v>
      </c>
      <c r="F1257" s="5">
        <v>6.9500000000000006E-2</v>
      </c>
      <c r="G1257" s="6">
        <v>56.84</v>
      </c>
      <c r="H1257">
        <v>10</v>
      </c>
      <c r="I1257">
        <v>189</v>
      </c>
      <c r="J1257">
        <v>4</v>
      </c>
      <c r="K1257">
        <f>Fato_Producao[[#This Row],[embalagens_danificadas]]+Fato_Producao[[#This Row],[peso_errado]]+Fato_Producao[[#This Row],[impressao]]</f>
        <v>203</v>
      </c>
      <c r="L1257" s="1" t="d">
        <v>2025-10-09</v>
      </c>
      <c r="M1257">
        <v>29</v>
      </c>
      <c r="N1257" s="7">
        <v>6.82</v>
      </c>
      <c r="O1257" s="4" t="str">
        <f t="shared" si="57"/>
        <v>novembro</v>
      </c>
      <c r="P1257" s="4">
        <f t="shared" si="58"/>
        <v>2025</v>
      </c>
      <c r="Q1257" s="4" t="str">
        <f t="shared" si="59"/>
        <v/>
      </c>
      <c r="R1257" t="s">
        <v>24</v>
      </c>
    </row>
    <row r="1258" spans="1:18" x14ac:dyDescent="0.3">
      <c r="A1258" s="1" t="d">
        <v>2025-11-08</v>
      </c>
      <c r="B1258">
        <v>45505</v>
      </c>
      <c r="C1258" t="str">
        <f>VLOOKUP(Fato_Producao[[#This Row],[referencia]], Dim_Produtos!A:B,2,FALSE)</f>
        <v>camarao</v>
      </c>
      <c r="D1258">
        <v>3304</v>
      </c>
      <c r="E1258">
        <v>3032</v>
      </c>
      <c r="F1258" s="5">
        <v>8.2299999999999998E-2</v>
      </c>
      <c r="G1258" s="6">
        <v>81.599999999999994</v>
      </c>
      <c r="H1258">
        <v>85</v>
      </c>
      <c r="I1258">
        <v>70</v>
      </c>
      <c r="J1258">
        <v>117</v>
      </c>
      <c r="K1258">
        <f>Fato_Producao[[#This Row],[embalagens_danificadas]]+Fato_Producao[[#This Row],[peso_errado]]+Fato_Producao[[#This Row],[impressao]]</f>
        <v>272</v>
      </c>
      <c r="L1258" s="1" t="d">
        <v>2025-10-09</v>
      </c>
      <c r="M1258">
        <v>30</v>
      </c>
      <c r="N1258" s="7">
        <v>12.24</v>
      </c>
      <c r="O1258" s="4" t="str">
        <f t="shared" si="57"/>
        <v>novembro</v>
      </c>
      <c r="P1258" s="4">
        <f t="shared" si="58"/>
        <v>2025</v>
      </c>
      <c r="Q1258" s="4" t="str">
        <f t="shared" si="59"/>
        <v/>
      </c>
      <c r="R1258" t="s">
        <v>50</v>
      </c>
    </row>
    <row r="1259" spans="1:18" x14ac:dyDescent="0.3">
      <c r="A1259" s="1" t="d">
        <v>2025-11-08</v>
      </c>
      <c r="B1259">
        <v>45502</v>
      </c>
      <c r="C1259" t="str">
        <f>VLOOKUP(Fato_Producao[[#This Row],[referencia]], Dim_Produtos!A:B,2,FALSE)</f>
        <v>carapau pelim</v>
      </c>
      <c r="D1259">
        <v>3490</v>
      </c>
      <c r="E1259">
        <v>3220</v>
      </c>
      <c r="F1259" s="5">
        <v>7.7399999999999997E-2</v>
      </c>
      <c r="G1259" s="6">
        <v>81</v>
      </c>
      <c r="H1259">
        <v>53</v>
      </c>
      <c r="I1259">
        <v>214</v>
      </c>
      <c r="J1259">
        <v>3</v>
      </c>
      <c r="K1259">
        <f>Fato_Producao[[#This Row],[embalagens_danificadas]]+Fato_Producao[[#This Row],[peso_errado]]+Fato_Producao[[#This Row],[impressao]]</f>
        <v>270</v>
      </c>
      <c r="L1259" s="1" t="d">
        <v>2025-10-09</v>
      </c>
      <c r="M1259">
        <v>30</v>
      </c>
      <c r="N1259" s="7">
        <v>10.53</v>
      </c>
      <c r="O1259" s="4" t="str">
        <f t="shared" si="57"/>
        <v>novembro</v>
      </c>
      <c r="P1259" s="4">
        <f t="shared" si="58"/>
        <v>2025</v>
      </c>
      <c r="Q1259" s="4" t="str">
        <f t="shared" si="59"/>
        <v/>
      </c>
      <c r="R1259" t="s">
        <v>24</v>
      </c>
    </row>
    <row r="1260" spans="1:18" x14ac:dyDescent="0.3">
      <c r="A1260" s="1" t="d">
        <v>2025-11-09</v>
      </c>
      <c r="B1260">
        <v>45506</v>
      </c>
      <c r="C1260" t="str">
        <f>VLOOKUP(Fato_Producao[[#This Row],[referencia]], Dim_Produtos!A:B,2,FALSE)</f>
        <v>perca posta</v>
      </c>
      <c r="D1260">
        <v>3444</v>
      </c>
      <c r="E1260">
        <v>3244</v>
      </c>
      <c r="F1260" s="5">
        <v>5.8099999999999999E-2</v>
      </c>
      <c r="G1260" s="6">
        <v>70</v>
      </c>
      <c r="H1260">
        <v>2</v>
      </c>
      <c r="I1260">
        <v>192</v>
      </c>
      <c r="J1260">
        <v>6</v>
      </c>
      <c r="K1260">
        <f>Fato_Producao[[#This Row],[embalagens_danificadas]]+Fato_Producao[[#This Row],[peso_errado]]+Fato_Producao[[#This Row],[impressao]]</f>
        <v>200</v>
      </c>
      <c r="L1260" s="1" t="d">
        <v>2025-10-09</v>
      </c>
      <c r="M1260">
        <v>31</v>
      </c>
      <c r="N1260" s="7">
        <v>10.5</v>
      </c>
      <c r="O1260" s="4" t="str">
        <f t="shared" si="57"/>
        <v>novembro</v>
      </c>
      <c r="P1260" s="4">
        <f t="shared" si="58"/>
        <v>2025</v>
      </c>
      <c r="Q1260" s="4" t="str">
        <f t="shared" si="59"/>
        <v/>
      </c>
      <c r="R1260" t="s">
        <v>24</v>
      </c>
    </row>
    <row r="1261" spans="1:18" x14ac:dyDescent="0.3">
      <c r="A1261" s="1" t="d">
        <v>2025-11-09</v>
      </c>
      <c r="B1261">
        <v>45507</v>
      </c>
      <c r="C1261" t="str">
        <f>VLOOKUP(Fato_Producao[[#This Row],[referencia]], Dim_Produtos!A:B,2,FALSE)</f>
        <v>salmao posta</v>
      </c>
      <c r="D1261">
        <v>3998</v>
      </c>
      <c r="E1261">
        <v>3732</v>
      </c>
      <c r="F1261" s="5">
        <v>6.6500000000000004E-2</v>
      </c>
      <c r="G1261" s="6">
        <v>93.1</v>
      </c>
      <c r="H1261">
        <v>11</v>
      </c>
      <c r="I1261">
        <v>251</v>
      </c>
      <c r="J1261">
        <v>4</v>
      </c>
      <c r="K1261">
        <f>Fato_Producao[[#This Row],[embalagens_danificadas]]+Fato_Producao[[#This Row],[peso_errado]]+Fato_Producao[[#This Row],[impressao]]</f>
        <v>266</v>
      </c>
      <c r="L1261" s="1" t="d">
        <v>2025-10-09</v>
      </c>
      <c r="M1261">
        <v>31</v>
      </c>
      <c r="N1261" s="7">
        <v>14.9</v>
      </c>
      <c r="O1261" s="4" t="str">
        <f t="shared" si="57"/>
        <v>novembro</v>
      </c>
      <c r="P1261" s="4">
        <f t="shared" si="58"/>
        <v>2025</v>
      </c>
      <c r="Q1261" s="4" t="str">
        <f t="shared" si="59"/>
        <v/>
      </c>
      <c r="R1261" t="s">
        <v>24</v>
      </c>
    </row>
    <row r="1262" spans="1:18" x14ac:dyDescent="0.3">
      <c r="A1262" s="1" t="d">
        <v>2025-11-10</v>
      </c>
      <c r="B1262">
        <v>45507</v>
      </c>
      <c r="C1262" t="str">
        <f>VLOOKUP(Fato_Producao[[#This Row],[referencia]], Dim_Produtos!A:B,2,FALSE)</f>
        <v>salmao posta</v>
      </c>
      <c r="D1262">
        <v>3571</v>
      </c>
      <c r="E1262">
        <v>3303</v>
      </c>
      <c r="F1262" s="5">
        <v>7.4999999999999997E-2</v>
      </c>
      <c r="G1262" s="6">
        <v>93.8</v>
      </c>
      <c r="H1262">
        <v>19</v>
      </c>
      <c r="I1262">
        <v>246</v>
      </c>
      <c r="J1262">
        <v>3</v>
      </c>
      <c r="K1262">
        <f>Fato_Producao[[#This Row],[embalagens_danificadas]]+Fato_Producao[[#This Row],[peso_errado]]+Fato_Producao[[#This Row],[impressao]]</f>
        <v>268</v>
      </c>
      <c r="L1262" s="1" t="d">
        <v>2025-10-09</v>
      </c>
      <c r="M1262">
        <v>32</v>
      </c>
      <c r="N1262" s="7">
        <v>15.01</v>
      </c>
      <c r="O1262" s="4" t="str">
        <f t="shared" si="57"/>
        <v>novembro</v>
      </c>
      <c r="P1262" s="4">
        <f t="shared" si="58"/>
        <v>2025</v>
      </c>
      <c r="Q1262" s="4" t="str">
        <f t="shared" si="59"/>
        <v/>
      </c>
      <c r="R1262" t="s">
        <v>24</v>
      </c>
    </row>
    <row r="1263" spans="1:18" x14ac:dyDescent="0.3">
      <c r="A1263" s="1" t="d">
        <v>2025-11-11</v>
      </c>
      <c r="B1263">
        <v>45505</v>
      </c>
      <c r="C1263" t="str">
        <f>VLOOKUP(Fato_Producao[[#This Row],[referencia]], Dim_Produtos!A:B,2,FALSE)</f>
        <v>camarao</v>
      </c>
      <c r="D1263">
        <v>2442</v>
      </c>
      <c r="E1263">
        <v>2218</v>
      </c>
      <c r="F1263" s="5">
        <v>9.1700000000000004E-2</v>
      </c>
      <c r="G1263" s="6">
        <v>67.2</v>
      </c>
      <c r="H1263">
        <v>69</v>
      </c>
      <c r="I1263">
        <v>147</v>
      </c>
      <c r="J1263">
        <v>8</v>
      </c>
      <c r="K1263">
        <f>Fato_Producao[[#This Row],[embalagens_danificadas]]+Fato_Producao[[#This Row],[peso_errado]]+Fato_Producao[[#This Row],[impressao]]</f>
        <v>224</v>
      </c>
      <c r="L1263" s="1" t="d">
        <v>2025-10-09</v>
      </c>
      <c r="M1263">
        <v>33</v>
      </c>
      <c r="N1263" s="7">
        <v>10.08</v>
      </c>
      <c r="O1263" s="4" t="str">
        <f t="shared" si="57"/>
        <v>novembro</v>
      </c>
      <c r="P1263" s="4">
        <f t="shared" si="58"/>
        <v>2025</v>
      </c>
      <c r="Q1263" s="4" t="str">
        <f t="shared" si="59"/>
        <v/>
      </c>
      <c r="R1263" t="s">
        <v>24</v>
      </c>
    </row>
    <row r="1264" spans="1:18" x14ac:dyDescent="0.3">
      <c r="A1264" s="1" t="d">
        <v>2025-11-11</v>
      </c>
      <c r="B1264">
        <v>45506</v>
      </c>
      <c r="C1264" t="str">
        <f>VLOOKUP(Fato_Producao[[#This Row],[referencia]], Dim_Produtos!A:B,2,FALSE)</f>
        <v>perca posta</v>
      </c>
      <c r="D1264">
        <v>2277</v>
      </c>
      <c r="E1264">
        <v>2101</v>
      </c>
      <c r="F1264" s="5">
        <v>7.7299999999999994E-2</v>
      </c>
      <c r="G1264" s="6">
        <v>61.6</v>
      </c>
      <c r="H1264">
        <v>9</v>
      </c>
      <c r="I1264">
        <v>162</v>
      </c>
      <c r="J1264">
        <v>5</v>
      </c>
      <c r="K1264">
        <f>Fato_Producao[[#This Row],[embalagens_danificadas]]+Fato_Producao[[#This Row],[peso_errado]]+Fato_Producao[[#This Row],[impressao]]</f>
        <v>176</v>
      </c>
      <c r="L1264" s="1" t="d">
        <v>2025-10-09</v>
      </c>
      <c r="M1264">
        <v>33</v>
      </c>
      <c r="N1264" s="7">
        <v>9.24</v>
      </c>
      <c r="O1264" s="4" t="str">
        <f t="shared" si="57"/>
        <v>novembro</v>
      </c>
      <c r="P1264" s="4">
        <f t="shared" si="58"/>
        <v>2025</v>
      </c>
      <c r="Q1264" s="4" t="str">
        <f t="shared" si="59"/>
        <v/>
      </c>
      <c r="R1264" t="s">
        <v>24</v>
      </c>
    </row>
    <row r="1265" spans="1:18" x14ac:dyDescent="0.3">
      <c r="A1265" s="1" t="d">
        <v>2025-11-12</v>
      </c>
      <c r="B1265">
        <v>45511</v>
      </c>
      <c r="C1265" t="str">
        <f>VLOOKUP(Fato_Producao[[#This Row],[referencia]], Dim_Produtos!A:B,2,FALSE)</f>
        <v>lula limpa</v>
      </c>
      <c r="D1265">
        <v>1932</v>
      </c>
      <c r="E1265">
        <v>1767</v>
      </c>
      <c r="F1265" s="5">
        <v>8.5400000000000004E-2</v>
      </c>
      <c r="G1265" s="6">
        <v>52.8</v>
      </c>
      <c r="H1265">
        <v>61</v>
      </c>
      <c r="I1265">
        <v>18</v>
      </c>
      <c r="J1265">
        <v>86</v>
      </c>
      <c r="K1265">
        <f>Fato_Producao[[#This Row],[embalagens_danificadas]]+Fato_Producao[[#This Row],[peso_errado]]+Fato_Producao[[#This Row],[impressao]]</f>
        <v>165</v>
      </c>
      <c r="L1265" s="1" t="d">
        <v>2025-10-09</v>
      </c>
      <c r="M1265">
        <v>34</v>
      </c>
      <c r="N1265" s="7">
        <v>7.39</v>
      </c>
      <c r="O1265" s="4" t="str">
        <f t="shared" si="57"/>
        <v>novembro</v>
      </c>
      <c r="P1265" s="4">
        <f t="shared" si="58"/>
        <v>2025</v>
      </c>
      <c r="Q1265" s="4" t="str">
        <f t="shared" si="59"/>
        <v/>
      </c>
      <c r="R1265" t="s">
        <v>50</v>
      </c>
    </row>
    <row r="1266" spans="1:18" x14ac:dyDescent="0.3">
      <c r="A1266" s="1" t="d">
        <v>2025-11-12</v>
      </c>
      <c r="B1266">
        <v>45502</v>
      </c>
      <c r="C1266" t="str">
        <f>VLOOKUP(Fato_Producao[[#This Row],[referencia]], Dim_Produtos!A:B,2,FALSE)</f>
        <v>carapau pelim</v>
      </c>
      <c r="D1266">
        <v>3489</v>
      </c>
      <c r="E1266">
        <v>3212</v>
      </c>
      <c r="F1266" s="5">
        <v>7.9399999999999998E-2</v>
      </c>
      <c r="G1266" s="6">
        <v>83.1</v>
      </c>
      <c r="H1266">
        <v>51</v>
      </c>
      <c r="I1266">
        <v>223</v>
      </c>
      <c r="J1266">
        <v>3</v>
      </c>
      <c r="K1266">
        <f>Fato_Producao[[#This Row],[embalagens_danificadas]]+Fato_Producao[[#This Row],[peso_errado]]+Fato_Producao[[#This Row],[impressao]]</f>
        <v>277</v>
      </c>
      <c r="L1266" s="1" t="d">
        <v>2025-10-09</v>
      </c>
      <c r="M1266">
        <v>34</v>
      </c>
      <c r="N1266" s="7">
        <v>10.8</v>
      </c>
      <c r="O1266" s="4" t="str">
        <f t="shared" si="57"/>
        <v>novembro</v>
      </c>
      <c r="P1266" s="4">
        <f t="shared" si="58"/>
        <v>2025</v>
      </c>
      <c r="Q1266" s="4" t="str">
        <f t="shared" si="59"/>
        <v/>
      </c>
      <c r="R1266" t="s">
        <v>24</v>
      </c>
    </row>
    <row r="1267" spans="1:18" x14ac:dyDescent="0.3">
      <c r="A1267" s="1" t="d">
        <v>2025-11-13</v>
      </c>
      <c r="B1267">
        <v>45500</v>
      </c>
      <c r="C1267" t="str">
        <f>VLOOKUP(Fato_Producao[[#This Row],[referencia]], Dim_Produtos!A:B,2,FALSE)</f>
        <v>filete pescada</v>
      </c>
      <c r="D1267">
        <v>3712</v>
      </c>
      <c r="E1267">
        <v>3478</v>
      </c>
      <c r="F1267" s="5">
        <v>6.3E-2</v>
      </c>
      <c r="G1267" s="6">
        <v>65.52</v>
      </c>
      <c r="H1267">
        <v>17</v>
      </c>
      <c r="I1267">
        <v>213</v>
      </c>
      <c r="J1267">
        <v>4</v>
      </c>
      <c r="K1267">
        <f>Fato_Producao[[#This Row],[embalagens_danificadas]]+Fato_Producao[[#This Row],[peso_errado]]+Fato_Producao[[#This Row],[impressao]]</f>
        <v>234</v>
      </c>
      <c r="L1267" s="1" t="d">
        <v>2025-10-09</v>
      </c>
      <c r="M1267">
        <v>35</v>
      </c>
      <c r="N1267" s="7">
        <v>7.86</v>
      </c>
      <c r="O1267" s="4" t="str">
        <f t="shared" si="57"/>
        <v>novembro</v>
      </c>
      <c r="P1267" s="4">
        <f t="shared" si="58"/>
        <v>2025</v>
      </c>
      <c r="Q1267" s="4" t="str">
        <f t="shared" si="59"/>
        <v/>
      </c>
      <c r="R1267" t="s">
        <v>24</v>
      </c>
    </row>
    <row r="1268" spans="1:18" x14ac:dyDescent="0.3">
      <c r="A1268" s="1" t="d">
        <v>2025-11-13</v>
      </c>
      <c r="B1268">
        <v>45505</v>
      </c>
      <c r="C1268" t="str">
        <f>VLOOKUP(Fato_Producao[[#This Row],[referencia]], Dim_Produtos!A:B,2,FALSE)</f>
        <v>camarao</v>
      </c>
      <c r="D1268">
        <v>3974</v>
      </c>
      <c r="E1268">
        <v>3592</v>
      </c>
      <c r="F1268" s="5">
        <v>9.6100000000000005E-2</v>
      </c>
      <c r="G1268" s="6">
        <v>114.6</v>
      </c>
      <c r="H1268">
        <v>86</v>
      </c>
      <c r="I1268">
        <v>287</v>
      </c>
      <c r="J1268">
        <v>9</v>
      </c>
      <c r="K1268">
        <f>Fato_Producao[[#This Row],[embalagens_danificadas]]+Fato_Producao[[#This Row],[peso_errado]]+Fato_Producao[[#This Row],[impressao]]</f>
        <v>382</v>
      </c>
      <c r="L1268" s="1" t="d">
        <v>2025-10-09</v>
      </c>
      <c r="M1268">
        <v>35</v>
      </c>
      <c r="N1268" s="7">
        <v>17.190000000000001</v>
      </c>
      <c r="O1268" s="4" t="str">
        <f t="shared" si="57"/>
        <v>novembro</v>
      </c>
      <c r="P1268" s="4">
        <f t="shared" si="58"/>
        <v>2025</v>
      </c>
      <c r="Q1268" s="4" t="str">
        <f t="shared" si="59"/>
        <v/>
      </c>
      <c r="R1268" t="s">
        <v>24</v>
      </c>
    </row>
    <row r="1269" spans="1:18" x14ac:dyDescent="0.3">
      <c r="A1269" s="1" t="d">
        <v>2025-11-14</v>
      </c>
      <c r="B1269">
        <v>45512</v>
      </c>
      <c r="C1269" t="str">
        <f>VLOOKUP(Fato_Producao[[#This Row],[referencia]], Dim_Produtos!A:B,2,FALSE)</f>
        <v>red-fish posta</v>
      </c>
      <c r="D1269">
        <v>3498</v>
      </c>
      <c r="E1269">
        <v>3224</v>
      </c>
      <c r="F1269" s="5">
        <v>7.8299999999999995E-2</v>
      </c>
      <c r="G1269" s="6">
        <v>93.16</v>
      </c>
      <c r="H1269">
        <v>13</v>
      </c>
      <c r="I1269">
        <v>258</v>
      </c>
      <c r="J1269">
        <v>3</v>
      </c>
      <c r="K1269">
        <f>Fato_Producao[[#This Row],[embalagens_danificadas]]+Fato_Producao[[#This Row],[peso_errado]]+Fato_Producao[[#This Row],[impressao]]</f>
        <v>274</v>
      </c>
      <c r="L1269" s="1" t="d">
        <v>2025-10-09</v>
      </c>
      <c r="M1269">
        <v>36</v>
      </c>
      <c r="N1269" s="7">
        <v>13.04</v>
      </c>
      <c r="O1269" s="4" t="str">
        <f t="shared" si="57"/>
        <v>novembro</v>
      </c>
      <c r="P1269" s="4">
        <f t="shared" si="58"/>
        <v>2025</v>
      </c>
      <c r="Q1269" s="4" t="str">
        <f t="shared" si="59"/>
        <v/>
      </c>
      <c r="R1269" t="s">
        <v>24</v>
      </c>
    </row>
    <row r="1270" spans="1:18" x14ac:dyDescent="0.3">
      <c r="A1270" s="1" t="d">
        <v>2025-11-15</v>
      </c>
      <c r="B1270">
        <v>45504</v>
      </c>
      <c r="C1270" t="str">
        <f>VLOOKUP(Fato_Producao[[#This Row],[referencia]], Dim_Produtos!A:B,2,FALSE)</f>
        <v>pescada posta fritar</v>
      </c>
      <c r="D1270">
        <v>2515</v>
      </c>
      <c r="E1270">
        <v>2283</v>
      </c>
      <c r="F1270" s="5">
        <v>9.2200000000000004E-2</v>
      </c>
      <c r="G1270" s="6">
        <v>74.239999999999995</v>
      </c>
      <c r="H1270">
        <v>10</v>
      </c>
      <c r="I1270">
        <v>218</v>
      </c>
      <c r="J1270">
        <v>4</v>
      </c>
      <c r="K1270">
        <f>Fato_Producao[[#This Row],[embalagens_danificadas]]+Fato_Producao[[#This Row],[peso_errado]]+Fato_Producao[[#This Row],[impressao]]</f>
        <v>232</v>
      </c>
      <c r="L1270" s="1" t="d">
        <v>2025-10-09</v>
      </c>
      <c r="M1270">
        <v>37</v>
      </c>
      <c r="N1270" s="7">
        <v>10.39</v>
      </c>
      <c r="O1270" s="4" t="str">
        <f t="shared" si="57"/>
        <v>novembro</v>
      </c>
      <c r="P1270" s="4">
        <f t="shared" si="58"/>
        <v>2025</v>
      </c>
      <c r="Q1270" s="4" t="str">
        <f t="shared" si="59"/>
        <v/>
      </c>
      <c r="R1270" t="s">
        <v>24</v>
      </c>
    </row>
    <row r="1271" spans="1:18" x14ac:dyDescent="0.3">
      <c r="A1271" s="1" t="d">
        <v>2025-11-15</v>
      </c>
      <c r="B1271">
        <v>45506</v>
      </c>
      <c r="C1271" t="str">
        <f>VLOOKUP(Fato_Producao[[#This Row],[referencia]], Dim_Produtos!A:B,2,FALSE)</f>
        <v>perca posta</v>
      </c>
      <c r="D1271">
        <v>4059</v>
      </c>
      <c r="E1271">
        <v>3679</v>
      </c>
      <c r="F1271" s="5">
        <v>9.3600000000000003E-2</v>
      </c>
      <c r="G1271" s="6">
        <v>133</v>
      </c>
      <c r="H1271">
        <v>22</v>
      </c>
      <c r="I1271">
        <v>352</v>
      </c>
      <c r="J1271">
        <v>6</v>
      </c>
      <c r="K1271">
        <f>Fato_Producao[[#This Row],[embalagens_danificadas]]+Fato_Producao[[#This Row],[peso_errado]]+Fato_Producao[[#This Row],[impressao]]</f>
        <v>380</v>
      </c>
      <c r="L1271" s="1" t="d">
        <v>2025-10-09</v>
      </c>
      <c r="M1271">
        <v>37</v>
      </c>
      <c r="N1271" s="7">
        <v>19.95</v>
      </c>
      <c r="O1271" s="4" t="str">
        <f t="shared" si="57"/>
        <v>novembro</v>
      </c>
      <c r="P1271" s="4">
        <f t="shared" si="58"/>
        <v>2025</v>
      </c>
      <c r="Q1271" s="4" t="str">
        <f t="shared" si="59"/>
        <v/>
      </c>
      <c r="R1271" t="s">
        <v>24</v>
      </c>
    </row>
    <row r="1272" spans="1:18" x14ac:dyDescent="0.3">
      <c r="A1272" s="1" t="d">
        <v>2025-11-16</v>
      </c>
      <c r="B1272">
        <v>45507</v>
      </c>
      <c r="C1272" t="str">
        <f>VLOOKUP(Fato_Producao[[#This Row],[referencia]], Dim_Produtos!A:B,2,FALSE)</f>
        <v>salmao posta</v>
      </c>
      <c r="D1272">
        <v>3072</v>
      </c>
      <c r="E1272">
        <v>2866</v>
      </c>
      <c r="F1272" s="5">
        <v>6.7100000000000007E-2</v>
      </c>
      <c r="G1272" s="6">
        <v>72.099999999999994</v>
      </c>
      <c r="H1272">
        <v>13</v>
      </c>
      <c r="I1272">
        <v>188</v>
      </c>
      <c r="J1272">
        <v>5</v>
      </c>
      <c r="K1272">
        <f>Fato_Producao[[#This Row],[embalagens_danificadas]]+Fato_Producao[[#This Row],[peso_errado]]+Fato_Producao[[#This Row],[impressao]]</f>
        <v>206</v>
      </c>
      <c r="L1272" s="1" t="d">
        <v>2025-10-09</v>
      </c>
      <c r="M1272">
        <v>38</v>
      </c>
      <c r="N1272" s="7">
        <v>11.54</v>
      </c>
      <c r="O1272" s="4" t="str">
        <f t="shared" si="57"/>
        <v>novembro</v>
      </c>
      <c r="P1272" s="4">
        <f t="shared" si="58"/>
        <v>2025</v>
      </c>
      <c r="Q1272" s="4" t="str">
        <f t="shared" si="59"/>
        <v/>
      </c>
      <c r="R1272" t="s">
        <v>24</v>
      </c>
    </row>
    <row r="1273" spans="1:18" x14ac:dyDescent="0.3">
      <c r="A1273" s="1" t="d">
        <v>2025-11-16</v>
      </c>
      <c r="B1273">
        <v>45501</v>
      </c>
      <c r="C1273" t="str">
        <f>VLOOKUP(Fato_Producao[[#This Row],[referencia]], Dim_Produtos!A:B,2,FALSE)</f>
        <v>pescada posta cozer</v>
      </c>
      <c r="D1273">
        <v>2304</v>
      </c>
      <c r="E1273">
        <v>2119</v>
      </c>
      <c r="F1273" s="5">
        <v>8.0299999999999996E-2</v>
      </c>
      <c r="G1273" s="6">
        <v>59.2</v>
      </c>
      <c r="H1273">
        <v>6</v>
      </c>
      <c r="I1273">
        <v>176</v>
      </c>
      <c r="J1273">
        <v>3</v>
      </c>
      <c r="K1273">
        <f>Fato_Producao[[#This Row],[embalagens_danificadas]]+Fato_Producao[[#This Row],[peso_errado]]+Fato_Producao[[#This Row],[impressao]]</f>
        <v>185</v>
      </c>
      <c r="L1273" s="1" t="d">
        <v>2025-10-09</v>
      </c>
      <c r="M1273">
        <v>38</v>
      </c>
      <c r="N1273" s="7">
        <v>8.2899999999999991</v>
      </c>
      <c r="O1273" s="4" t="str">
        <f t="shared" si="57"/>
        <v>novembro</v>
      </c>
      <c r="P1273" s="4">
        <f t="shared" si="58"/>
        <v>2025</v>
      </c>
      <c r="Q1273" s="4" t="str">
        <f t="shared" si="59"/>
        <v/>
      </c>
      <c r="R1273" t="s">
        <v>24</v>
      </c>
    </row>
    <row r="1274" spans="1:18" x14ac:dyDescent="0.3">
      <c r="A1274" s="1" t="d">
        <v>2025-11-17</v>
      </c>
      <c r="B1274">
        <v>45506</v>
      </c>
      <c r="C1274" t="str">
        <f>VLOOKUP(Fato_Producao[[#This Row],[referencia]], Dim_Produtos!A:B,2,FALSE)</f>
        <v>perca posta</v>
      </c>
      <c r="D1274">
        <v>3023</v>
      </c>
      <c r="E1274">
        <v>2728</v>
      </c>
      <c r="F1274" s="5">
        <v>9.7600000000000006E-2</v>
      </c>
      <c r="G1274" s="6">
        <v>103.25</v>
      </c>
      <c r="H1274">
        <v>7</v>
      </c>
      <c r="I1274">
        <v>282</v>
      </c>
      <c r="J1274">
        <v>6</v>
      </c>
      <c r="K1274">
        <f>Fato_Producao[[#This Row],[embalagens_danificadas]]+Fato_Producao[[#This Row],[peso_errado]]+Fato_Producao[[#This Row],[impressao]]</f>
        <v>295</v>
      </c>
      <c r="L1274" s="1" t="d">
        <v>2025-10-09</v>
      </c>
      <c r="M1274">
        <v>39</v>
      </c>
      <c r="N1274" s="7">
        <v>15.49</v>
      </c>
      <c r="O1274" s="4" t="str">
        <f t="shared" si="57"/>
        <v>novembro</v>
      </c>
      <c r="P1274" s="4">
        <f t="shared" si="58"/>
        <v>2025</v>
      </c>
      <c r="Q1274" s="4" t="str">
        <f t="shared" si="59"/>
        <v/>
      </c>
      <c r="R1274" t="s">
        <v>24</v>
      </c>
    </row>
    <row r="1275" spans="1:18" x14ac:dyDescent="0.3">
      <c r="A1275" s="1" t="d">
        <v>2025-11-17</v>
      </c>
      <c r="B1275">
        <v>45502</v>
      </c>
      <c r="C1275" t="str">
        <f>VLOOKUP(Fato_Producao[[#This Row],[referencia]], Dim_Produtos!A:B,2,FALSE)</f>
        <v>carapau pelim</v>
      </c>
      <c r="D1275">
        <v>2215</v>
      </c>
      <c r="E1275">
        <v>2037</v>
      </c>
      <c r="F1275" s="5">
        <v>8.0399999999999999E-2</v>
      </c>
      <c r="G1275" s="6">
        <v>53.4</v>
      </c>
      <c r="H1275">
        <v>42</v>
      </c>
      <c r="I1275">
        <v>133</v>
      </c>
      <c r="J1275">
        <v>3</v>
      </c>
      <c r="K1275">
        <f>Fato_Producao[[#This Row],[embalagens_danificadas]]+Fato_Producao[[#This Row],[peso_errado]]+Fato_Producao[[#This Row],[impressao]]</f>
        <v>178</v>
      </c>
      <c r="L1275" s="1" t="d">
        <v>2025-10-09</v>
      </c>
      <c r="M1275">
        <v>39</v>
      </c>
      <c r="N1275" s="7">
        <v>6.94</v>
      </c>
      <c r="O1275" s="4" t="str">
        <f t="shared" si="57"/>
        <v>novembro</v>
      </c>
      <c r="P1275" s="4">
        <f t="shared" si="58"/>
        <v>2025</v>
      </c>
      <c r="Q1275" s="4" t="str">
        <f t="shared" si="59"/>
        <v/>
      </c>
      <c r="R1275" t="s">
        <v>24</v>
      </c>
    </row>
    <row r="1276" spans="1:18" x14ac:dyDescent="0.3">
      <c r="A1276" s="1" t="d">
        <v>2025-11-18</v>
      </c>
      <c r="B1276">
        <v>45504</v>
      </c>
      <c r="C1276" t="str">
        <f>VLOOKUP(Fato_Producao[[#This Row],[referencia]], Dim_Produtos!A:B,2,FALSE)</f>
        <v>pescada posta fritar</v>
      </c>
      <c r="D1276">
        <v>1860</v>
      </c>
      <c r="E1276">
        <v>1694</v>
      </c>
      <c r="F1276" s="5">
        <v>8.9200000000000002E-2</v>
      </c>
      <c r="G1276" s="6">
        <v>53.12</v>
      </c>
      <c r="H1276">
        <v>7</v>
      </c>
      <c r="I1276">
        <v>156</v>
      </c>
      <c r="J1276">
        <v>3</v>
      </c>
      <c r="K1276">
        <f>Fato_Producao[[#This Row],[embalagens_danificadas]]+Fato_Producao[[#This Row],[peso_errado]]+Fato_Producao[[#This Row],[impressao]]</f>
        <v>166</v>
      </c>
      <c r="L1276" s="1" t="d">
        <v>2025-10-09</v>
      </c>
      <c r="M1276">
        <v>40</v>
      </c>
      <c r="N1276" s="7">
        <v>7.44</v>
      </c>
      <c r="O1276" s="4" t="str">
        <f t="shared" si="57"/>
        <v>novembro</v>
      </c>
      <c r="P1276" s="4">
        <f t="shared" si="58"/>
        <v>2025</v>
      </c>
      <c r="Q1276" s="4" t="str">
        <f t="shared" si="59"/>
        <v/>
      </c>
      <c r="R1276" t="s">
        <v>24</v>
      </c>
    </row>
    <row r="1277" spans="1:18" x14ac:dyDescent="0.3">
      <c r="A1277" s="1" t="d">
        <v>2025-11-18</v>
      </c>
      <c r="B1277">
        <v>45508</v>
      </c>
      <c r="C1277" t="str">
        <f>VLOOKUP(Fato_Producao[[#This Row],[referencia]], Dim_Produtos!A:B,2,FALSE)</f>
        <v>lula suja</v>
      </c>
      <c r="D1277">
        <v>2272</v>
      </c>
      <c r="E1277">
        <v>2014</v>
      </c>
      <c r="F1277" s="5">
        <v>0.11360000000000001</v>
      </c>
      <c r="G1277" s="6">
        <v>82.56</v>
      </c>
      <c r="H1277">
        <v>22</v>
      </c>
      <c r="I1277">
        <v>232</v>
      </c>
      <c r="J1277">
        <v>4</v>
      </c>
      <c r="K1277">
        <f>Fato_Producao[[#This Row],[embalagens_danificadas]]+Fato_Producao[[#This Row],[peso_errado]]+Fato_Producao[[#This Row],[impressao]]</f>
        <v>258</v>
      </c>
      <c r="L1277" s="1" t="d">
        <v>2025-10-09</v>
      </c>
      <c r="M1277">
        <v>40</v>
      </c>
      <c r="N1277" s="7">
        <v>11.56</v>
      </c>
      <c r="O1277" s="4" t="str">
        <f t="shared" si="57"/>
        <v>novembro</v>
      </c>
      <c r="P1277" s="4">
        <f t="shared" si="58"/>
        <v>2025</v>
      </c>
      <c r="Q1277" s="4" t="str">
        <f t="shared" si="59"/>
        <v/>
      </c>
      <c r="R1277" t="s">
        <v>24</v>
      </c>
    </row>
    <row r="1278" spans="1:18" x14ac:dyDescent="0.3">
      <c r="A1278" s="1" t="d">
        <v>2025-11-19</v>
      </c>
      <c r="B1278">
        <v>45509</v>
      </c>
      <c r="C1278" t="str">
        <f>VLOOKUP(Fato_Producao[[#This Row],[referencia]], Dim_Produtos!A:B,2,FALSE)</f>
        <v>lascas bacalhau</v>
      </c>
      <c r="D1278">
        <v>1811</v>
      </c>
      <c r="E1278">
        <v>1654</v>
      </c>
      <c r="F1278" s="5">
        <v>8.6699999999999999E-2</v>
      </c>
      <c r="G1278" s="6">
        <v>43.96</v>
      </c>
      <c r="H1278">
        <v>5</v>
      </c>
      <c r="I1278">
        <v>150</v>
      </c>
      <c r="J1278">
        <v>2</v>
      </c>
      <c r="K1278">
        <f>Fato_Producao[[#This Row],[embalagens_danificadas]]+Fato_Producao[[#This Row],[peso_errado]]+Fato_Producao[[#This Row],[impressao]]</f>
        <v>157</v>
      </c>
      <c r="L1278" s="1" t="d">
        <v>2025-10-09</v>
      </c>
      <c r="M1278">
        <v>41</v>
      </c>
      <c r="N1278" s="7">
        <v>5.71</v>
      </c>
      <c r="O1278" s="4" t="str">
        <f t="shared" si="57"/>
        <v>novembro</v>
      </c>
      <c r="P1278" s="4">
        <f t="shared" si="58"/>
        <v>2025</v>
      </c>
      <c r="Q1278" s="4" t="str">
        <f t="shared" si="59"/>
        <v/>
      </c>
      <c r="R1278" t="s">
        <v>24</v>
      </c>
    </row>
    <row r="1279" spans="1:18" x14ac:dyDescent="0.3">
      <c r="A1279" s="1" t="d">
        <v>2025-11-19</v>
      </c>
      <c r="B1279">
        <v>45500</v>
      </c>
      <c r="C1279" t="str">
        <f>VLOOKUP(Fato_Producao[[#This Row],[referencia]], Dim_Produtos!A:B,2,FALSE)</f>
        <v>filete pescada</v>
      </c>
      <c r="D1279">
        <v>1861</v>
      </c>
      <c r="E1279">
        <v>1744</v>
      </c>
      <c r="F1279" s="5">
        <v>6.2899999999999998E-2</v>
      </c>
      <c r="G1279" s="6">
        <v>32.76</v>
      </c>
      <c r="H1279">
        <v>7</v>
      </c>
      <c r="I1279">
        <v>108</v>
      </c>
      <c r="J1279">
        <v>2</v>
      </c>
      <c r="K1279">
        <f>Fato_Producao[[#This Row],[embalagens_danificadas]]+Fato_Producao[[#This Row],[peso_errado]]+Fato_Producao[[#This Row],[impressao]]</f>
        <v>117</v>
      </c>
      <c r="L1279" s="1" t="d">
        <v>2025-10-09</v>
      </c>
      <c r="M1279">
        <v>41</v>
      </c>
      <c r="N1279" s="7">
        <v>3.93</v>
      </c>
      <c r="O1279" s="4" t="str">
        <f t="shared" si="57"/>
        <v>novembro</v>
      </c>
      <c r="P1279" s="4">
        <f t="shared" si="58"/>
        <v>2025</v>
      </c>
      <c r="Q1279" s="4" t="str">
        <f t="shared" si="59"/>
        <v/>
      </c>
      <c r="R1279" t="s">
        <v>24</v>
      </c>
    </row>
    <row r="1280" spans="1:18" x14ac:dyDescent="0.3">
      <c r="A1280" s="1" t="d">
        <v>2025-11-20</v>
      </c>
      <c r="B1280">
        <v>45505</v>
      </c>
      <c r="C1280" t="str">
        <f>VLOOKUP(Fato_Producao[[#This Row],[referencia]], Dim_Produtos!A:B,2,FALSE)</f>
        <v>camarao</v>
      </c>
      <c r="D1280">
        <v>2560</v>
      </c>
      <c r="E1280">
        <v>2326</v>
      </c>
      <c r="F1280" s="5">
        <v>9.1399999999999995E-2</v>
      </c>
      <c r="G1280" s="6">
        <v>70.2</v>
      </c>
      <c r="H1280">
        <v>63</v>
      </c>
      <c r="I1280">
        <v>163</v>
      </c>
      <c r="J1280">
        <v>8</v>
      </c>
      <c r="K1280">
        <f>Fato_Producao[[#This Row],[embalagens_danificadas]]+Fato_Producao[[#This Row],[peso_errado]]+Fato_Producao[[#This Row],[impressao]]</f>
        <v>234</v>
      </c>
      <c r="L1280" s="1" t="d">
        <v>2025-10-09</v>
      </c>
      <c r="M1280">
        <v>42</v>
      </c>
      <c r="N1280" s="7">
        <v>10.53</v>
      </c>
      <c r="O1280" s="4" t="str">
        <f t="shared" si="57"/>
        <v>novembro</v>
      </c>
      <c r="P1280" s="4">
        <f t="shared" si="58"/>
        <v>2025</v>
      </c>
      <c r="Q1280" s="4" t="str">
        <f t="shared" si="59"/>
        <v/>
      </c>
      <c r="R1280" t="s">
        <v>24</v>
      </c>
    </row>
    <row r="1281" spans="1:18" x14ac:dyDescent="0.3">
      <c r="A1281" s="1" t="d">
        <v>2025-11-20</v>
      </c>
      <c r="B1281">
        <v>45502</v>
      </c>
      <c r="C1281" t="str">
        <f>VLOOKUP(Fato_Producao[[#This Row],[referencia]], Dim_Produtos!A:B,2,FALSE)</f>
        <v>carapau pelim</v>
      </c>
      <c r="D1281">
        <v>3661</v>
      </c>
      <c r="E1281">
        <v>3362</v>
      </c>
      <c r="F1281" s="5">
        <v>8.1699999999999995E-2</v>
      </c>
      <c r="G1281" s="6">
        <v>89.7</v>
      </c>
      <c r="H1281">
        <v>81</v>
      </c>
      <c r="I1281">
        <v>212</v>
      </c>
      <c r="J1281">
        <v>6</v>
      </c>
      <c r="K1281">
        <f>Fato_Producao[[#This Row],[embalagens_danificadas]]+Fato_Producao[[#This Row],[peso_errado]]+Fato_Producao[[#This Row],[impressao]]</f>
        <v>299</v>
      </c>
      <c r="L1281" s="1" t="d">
        <v>2025-10-09</v>
      </c>
      <c r="M1281">
        <v>42</v>
      </c>
      <c r="N1281" s="7">
        <v>11.66</v>
      </c>
      <c r="O1281" s="4" t="str">
        <f t="shared" si="57"/>
        <v>novembro</v>
      </c>
      <c r="P1281" s="4">
        <f t="shared" si="58"/>
        <v>2025</v>
      </c>
      <c r="Q1281" s="4" t="str">
        <f t="shared" si="59"/>
        <v/>
      </c>
      <c r="R1281" t="s">
        <v>24</v>
      </c>
    </row>
    <row r="1282" spans="1:18" x14ac:dyDescent="0.3">
      <c r="A1282" s="1" t="d">
        <v>2025-11-21</v>
      </c>
      <c r="B1282">
        <v>45503</v>
      </c>
      <c r="C1282" t="str">
        <f>VLOOKUP(Fato_Producao[[#This Row],[referencia]], Dim_Produtos!A:B,2,FALSE)</f>
        <v>sardinha pequena</v>
      </c>
      <c r="D1282">
        <v>3003</v>
      </c>
      <c r="E1282">
        <v>2796</v>
      </c>
      <c r="F1282" s="5">
        <v>6.8900000000000003E-2</v>
      </c>
      <c r="G1282" s="6">
        <v>53.82</v>
      </c>
      <c r="H1282">
        <v>15</v>
      </c>
      <c r="I1282">
        <v>190</v>
      </c>
      <c r="J1282">
        <v>2</v>
      </c>
      <c r="K1282">
        <f>Fato_Producao[[#This Row],[embalagens_danificadas]]+Fato_Producao[[#This Row],[peso_errado]]+Fato_Producao[[#This Row],[impressao]]</f>
        <v>207</v>
      </c>
      <c r="L1282" s="1" t="d">
        <v>2025-10-09</v>
      </c>
      <c r="M1282">
        <v>43</v>
      </c>
      <c r="N1282" s="7">
        <v>5.92</v>
      </c>
      <c r="O1282" s="4" t="str">
        <f t="shared" ref="O1282:O1345" si="60">TEXT(A1282, "mmmm")</f>
        <v>novembro</v>
      </c>
      <c r="P1282" s="4">
        <f t="shared" ref="P1282:P1345" si="61">YEAR(A1282)</f>
        <v>2025</v>
      </c>
      <c r="Q1282" s="4" t="str">
        <f t="shared" ref="Q1282:Q1345" si="62">IF(M1283 &gt;= M1282, "", M1282)</f>
        <v/>
      </c>
      <c r="R1282" t="s">
        <v>24</v>
      </c>
    </row>
    <row r="1283" spans="1:18" x14ac:dyDescent="0.3">
      <c r="A1283" s="1" t="d">
        <v>2025-11-21</v>
      </c>
      <c r="B1283">
        <v>45506</v>
      </c>
      <c r="C1283" t="str">
        <f>VLOOKUP(Fato_Producao[[#This Row],[referencia]], Dim_Produtos!A:B,2,FALSE)</f>
        <v>perca posta</v>
      </c>
      <c r="D1283">
        <v>3896</v>
      </c>
      <c r="E1283">
        <v>3643</v>
      </c>
      <c r="F1283" s="5">
        <v>6.4899999999999999E-2</v>
      </c>
      <c r="G1283" s="6">
        <v>88.55</v>
      </c>
      <c r="H1283">
        <v>16</v>
      </c>
      <c r="I1283">
        <v>233</v>
      </c>
      <c r="J1283">
        <v>4</v>
      </c>
      <c r="K1283">
        <f>Fato_Producao[[#This Row],[embalagens_danificadas]]+Fato_Producao[[#This Row],[peso_errado]]+Fato_Producao[[#This Row],[impressao]]</f>
        <v>253</v>
      </c>
      <c r="L1283" s="1" t="d">
        <v>2025-10-09</v>
      </c>
      <c r="M1283">
        <v>43</v>
      </c>
      <c r="N1283" s="7">
        <v>13.28</v>
      </c>
      <c r="O1283" s="4" t="str">
        <f t="shared" si="60"/>
        <v>novembro</v>
      </c>
      <c r="P1283" s="4">
        <f t="shared" si="61"/>
        <v>2025</v>
      </c>
      <c r="Q1283" s="4" t="str">
        <f t="shared" si="62"/>
        <v/>
      </c>
      <c r="R1283" t="s">
        <v>24</v>
      </c>
    </row>
    <row r="1284" spans="1:18" x14ac:dyDescent="0.3">
      <c r="A1284" s="1" t="d">
        <v>2025-11-22</v>
      </c>
      <c r="B1284">
        <v>45500</v>
      </c>
      <c r="C1284" t="str">
        <f>VLOOKUP(Fato_Producao[[#This Row],[referencia]], Dim_Produtos!A:B,2,FALSE)</f>
        <v>filete pescada</v>
      </c>
      <c r="D1284">
        <v>2593</v>
      </c>
      <c r="E1284">
        <v>2412</v>
      </c>
      <c r="F1284" s="5">
        <v>6.9800000000000001E-2</v>
      </c>
      <c r="G1284" s="6">
        <v>50.68</v>
      </c>
      <c r="H1284">
        <v>7</v>
      </c>
      <c r="I1284">
        <v>170</v>
      </c>
      <c r="J1284">
        <v>4</v>
      </c>
      <c r="K1284">
        <f>Fato_Producao[[#This Row],[embalagens_danificadas]]+Fato_Producao[[#This Row],[peso_errado]]+Fato_Producao[[#This Row],[impressao]]</f>
        <v>181</v>
      </c>
      <c r="L1284" s="1" t="d">
        <v>2025-10-09</v>
      </c>
      <c r="M1284">
        <v>44</v>
      </c>
      <c r="N1284" s="7">
        <v>6.08</v>
      </c>
      <c r="O1284" s="4" t="str">
        <f t="shared" si="60"/>
        <v>novembro</v>
      </c>
      <c r="P1284" s="4">
        <f t="shared" si="61"/>
        <v>2025</v>
      </c>
      <c r="Q1284" s="4" t="str">
        <f t="shared" si="62"/>
        <v/>
      </c>
      <c r="R1284" t="s">
        <v>24</v>
      </c>
    </row>
    <row r="1285" spans="1:18" x14ac:dyDescent="0.3">
      <c r="A1285" s="1" t="d">
        <v>2025-11-23</v>
      </c>
      <c r="B1285">
        <v>45509</v>
      </c>
      <c r="C1285" t="str">
        <f>VLOOKUP(Fato_Producao[[#This Row],[referencia]], Dim_Produtos!A:B,2,FALSE)</f>
        <v>lascas bacalhau</v>
      </c>
      <c r="D1285">
        <v>2916</v>
      </c>
      <c r="E1285">
        <v>2667</v>
      </c>
      <c r="F1285" s="5">
        <v>8.5400000000000004E-2</v>
      </c>
      <c r="G1285" s="6">
        <v>69.72</v>
      </c>
      <c r="H1285">
        <v>12</v>
      </c>
      <c r="I1285">
        <v>231</v>
      </c>
      <c r="J1285">
        <v>6</v>
      </c>
      <c r="K1285">
        <f>Fato_Producao[[#This Row],[embalagens_danificadas]]+Fato_Producao[[#This Row],[peso_errado]]+Fato_Producao[[#This Row],[impressao]]</f>
        <v>249</v>
      </c>
      <c r="L1285" s="1" t="d">
        <v>2025-10-09</v>
      </c>
      <c r="M1285">
        <v>45</v>
      </c>
      <c r="N1285" s="7">
        <v>9.06</v>
      </c>
      <c r="O1285" s="4" t="str">
        <f t="shared" si="60"/>
        <v>novembro</v>
      </c>
      <c r="P1285" s="4">
        <f t="shared" si="61"/>
        <v>2025</v>
      </c>
      <c r="Q1285" s="4" t="str">
        <f t="shared" si="62"/>
        <v/>
      </c>
      <c r="R1285" t="s">
        <v>24</v>
      </c>
    </row>
    <row r="1286" spans="1:18" x14ac:dyDescent="0.3">
      <c r="A1286" s="1" t="d">
        <v>2025-11-23</v>
      </c>
      <c r="B1286">
        <v>45501</v>
      </c>
      <c r="C1286" t="str">
        <f>VLOOKUP(Fato_Producao[[#This Row],[referencia]], Dim_Produtos!A:B,2,FALSE)</f>
        <v>pescada posta cozer</v>
      </c>
      <c r="D1286">
        <v>2091</v>
      </c>
      <c r="E1286">
        <v>1911</v>
      </c>
      <c r="F1286" s="5">
        <v>8.6099999999999996E-2</v>
      </c>
      <c r="G1286" s="6">
        <v>57.6</v>
      </c>
      <c r="H1286">
        <v>7</v>
      </c>
      <c r="I1286">
        <v>168</v>
      </c>
      <c r="J1286">
        <v>5</v>
      </c>
      <c r="K1286">
        <f>Fato_Producao[[#This Row],[embalagens_danificadas]]+Fato_Producao[[#This Row],[peso_errado]]+Fato_Producao[[#This Row],[impressao]]</f>
        <v>180</v>
      </c>
      <c r="L1286" s="1" t="d">
        <v>2025-10-09</v>
      </c>
      <c r="M1286">
        <v>45</v>
      </c>
      <c r="N1286" s="7">
        <v>8.06</v>
      </c>
      <c r="O1286" s="4" t="str">
        <f t="shared" si="60"/>
        <v>novembro</v>
      </c>
      <c r="P1286" s="4">
        <f t="shared" si="61"/>
        <v>2025</v>
      </c>
      <c r="Q1286" s="4" t="str">
        <f t="shared" si="62"/>
        <v/>
      </c>
      <c r="R1286" t="s">
        <v>24</v>
      </c>
    </row>
    <row r="1287" spans="1:18" x14ac:dyDescent="0.3">
      <c r="A1287" s="1" t="d">
        <v>2025-11-24</v>
      </c>
      <c r="B1287">
        <v>45505</v>
      </c>
      <c r="C1287" t="str">
        <f>VLOOKUP(Fato_Producao[[#This Row],[referencia]], Dim_Produtos!A:B,2,FALSE)</f>
        <v>camarao</v>
      </c>
      <c r="D1287">
        <v>3741</v>
      </c>
      <c r="E1287">
        <v>3364</v>
      </c>
      <c r="F1287" s="5">
        <v>0.1008</v>
      </c>
      <c r="G1287" s="6">
        <v>113.1</v>
      </c>
      <c r="H1287">
        <v>80</v>
      </c>
      <c r="I1287">
        <v>287</v>
      </c>
      <c r="J1287">
        <v>10</v>
      </c>
      <c r="K1287">
        <f>Fato_Producao[[#This Row],[embalagens_danificadas]]+Fato_Producao[[#This Row],[peso_errado]]+Fato_Producao[[#This Row],[impressao]]</f>
        <v>377</v>
      </c>
      <c r="L1287" s="1" t="d">
        <v>2025-10-09</v>
      </c>
      <c r="M1287">
        <v>46</v>
      </c>
      <c r="N1287" s="7">
        <v>16.96</v>
      </c>
      <c r="O1287" s="4" t="str">
        <f t="shared" si="60"/>
        <v>novembro</v>
      </c>
      <c r="P1287" s="4">
        <f t="shared" si="61"/>
        <v>2025</v>
      </c>
      <c r="Q1287" s="4" t="str">
        <f t="shared" si="62"/>
        <v/>
      </c>
      <c r="R1287" t="s">
        <v>24</v>
      </c>
    </row>
    <row r="1288" spans="1:18" x14ac:dyDescent="0.3">
      <c r="A1288" s="1" t="d">
        <v>2025-11-25</v>
      </c>
      <c r="B1288">
        <v>45507</v>
      </c>
      <c r="C1288" t="str">
        <f>VLOOKUP(Fato_Producao[[#This Row],[referencia]], Dim_Produtos!A:B,2,FALSE)</f>
        <v>salmao posta</v>
      </c>
      <c r="D1288">
        <v>2570</v>
      </c>
      <c r="E1288">
        <v>2309</v>
      </c>
      <c r="F1288" s="5">
        <v>0.1016</v>
      </c>
      <c r="G1288" s="6">
        <v>91.35</v>
      </c>
      <c r="H1288">
        <v>6</v>
      </c>
      <c r="I1288">
        <v>250</v>
      </c>
      <c r="J1288">
        <v>5</v>
      </c>
      <c r="K1288">
        <f>Fato_Producao[[#This Row],[embalagens_danificadas]]+Fato_Producao[[#This Row],[peso_errado]]+Fato_Producao[[#This Row],[impressao]]</f>
        <v>261</v>
      </c>
      <c r="L1288" s="1" t="d">
        <v>2025-10-09</v>
      </c>
      <c r="M1288">
        <v>47</v>
      </c>
      <c r="N1288" s="7">
        <v>14.62</v>
      </c>
      <c r="O1288" s="4" t="str">
        <f t="shared" si="60"/>
        <v>novembro</v>
      </c>
      <c r="P1288" s="4">
        <f t="shared" si="61"/>
        <v>2025</v>
      </c>
      <c r="Q1288" s="4" t="str">
        <f t="shared" si="62"/>
        <v/>
      </c>
      <c r="R1288" t="s">
        <v>24</v>
      </c>
    </row>
    <row r="1289" spans="1:18" x14ac:dyDescent="0.3">
      <c r="A1289" s="1" t="d">
        <v>2025-11-26</v>
      </c>
      <c r="B1289">
        <v>45503</v>
      </c>
      <c r="C1289" t="str">
        <f>VLOOKUP(Fato_Producao[[#This Row],[referencia]], Dim_Produtos!A:B,2,FALSE)</f>
        <v>sardinha pequena</v>
      </c>
      <c r="D1289">
        <v>3491</v>
      </c>
      <c r="E1289">
        <v>3217</v>
      </c>
      <c r="F1289" s="5">
        <v>7.85E-2</v>
      </c>
      <c r="G1289" s="6">
        <v>71.239999999999995</v>
      </c>
      <c r="H1289">
        <v>17</v>
      </c>
      <c r="I1289">
        <v>252</v>
      </c>
      <c r="J1289">
        <v>5</v>
      </c>
      <c r="K1289">
        <f>Fato_Producao[[#This Row],[embalagens_danificadas]]+Fato_Producao[[#This Row],[peso_errado]]+Fato_Producao[[#This Row],[impressao]]</f>
        <v>274</v>
      </c>
      <c r="L1289" s="1" t="d">
        <v>2025-10-09</v>
      </c>
      <c r="M1289">
        <v>48</v>
      </c>
      <c r="N1289" s="7">
        <v>7.84</v>
      </c>
      <c r="O1289" s="4" t="str">
        <f t="shared" si="60"/>
        <v>novembro</v>
      </c>
      <c r="P1289" s="4">
        <f t="shared" si="61"/>
        <v>2025</v>
      </c>
      <c r="Q1289" s="4" t="str">
        <f t="shared" si="62"/>
        <v/>
      </c>
      <c r="R1289" t="s">
        <v>24</v>
      </c>
    </row>
    <row r="1290" spans="1:18" x14ac:dyDescent="0.3">
      <c r="A1290" s="1" t="d">
        <v>2025-11-27</v>
      </c>
      <c r="B1290">
        <v>45504</v>
      </c>
      <c r="C1290" t="str">
        <f>VLOOKUP(Fato_Producao[[#This Row],[referencia]], Dim_Produtos!A:B,2,FALSE)</f>
        <v>pescada posta fritar</v>
      </c>
      <c r="D1290">
        <v>2817</v>
      </c>
      <c r="E1290">
        <v>2588</v>
      </c>
      <c r="F1290" s="5">
        <v>8.1299999999999997E-2</v>
      </c>
      <c r="G1290" s="6">
        <v>73.28</v>
      </c>
      <c r="H1290">
        <v>9</v>
      </c>
      <c r="I1290">
        <v>217</v>
      </c>
      <c r="J1290">
        <v>3</v>
      </c>
      <c r="K1290">
        <f>Fato_Producao[[#This Row],[embalagens_danificadas]]+Fato_Producao[[#This Row],[peso_errado]]+Fato_Producao[[#This Row],[impressao]]</f>
        <v>229</v>
      </c>
      <c r="L1290" s="1" t="d">
        <v>2025-10-09</v>
      </c>
      <c r="M1290">
        <v>49</v>
      </c>
      <c r="N1290" s="7">
        <v>10.26</v>
      </c>
      <c r="O1290" s="4" t="str">
        <f t="shared" si="60"/>
        <v>novembro</v>
      </c>
      <c r="P1290" s="4">
        <f t="shared" si="61"/>
        <v>2025</v>
      </c>
      <c r="Q1290" s="4" t="str">
        <f t="shared" si="62"/>
        <v/>
      </c>
      <c r="R1290" t="s">
        <v>24</v>
      </c>
    </row>
    <row r="1291" spans="1:18" x14ac:dyDescent="0.3">
      <c r="A1291" s="1" t="d">
        <v>2025-11-27</v>
      </c>
      <c r="B1291">
        <v>45505</v>
      </c>
      <c r="C1291" t="str">
        <f>VLOOKUP(Fato_Producao[[#This Row],[referencia]], Dim_Produtos!A:B,2,FALSE)</f>
        <v>camarao</v>
      </c>
      <c r="D1291">
        <v>2208</v>
      </c>
      <c r="E1291">
        <v>1963</v>
      </c>
      <c r="F1291" s="5">
        <v>0.111</v>
      </c>
      <c r="G1291" s="6">
        <v>73.5</v>
      </c>
      <c r="H1291">
        <v>78</v>
      </c>
      <c r="I1291">
        <v>160</v>
      </c>
      <c r="J1291">
        <v>7</v>
      </c>
      <c r="K1291">
        <f>Fato_Producao[[#This Row],[embalagens_danificadas]]+Fato_Producao[[#This Row],[peso_errado]]+Fato_Producao[[#This Row],[impressao]]</f>
        <v>245</v>
      </c>
      <c r="L1291" s="1" t="d">
        <v>2025-10-09</v>
      </c>
      <c r="M1291">
        <v>49</v>
      </c>
      <c r="N1291" s="7">
        <v>11.03</v>
      </c>
      <c r="O1291" s="4" t="str">
        <f t="shared" si="60"/>
        <v>novembro</v>
      </c>
      <c r="P1291" s="4">
        <f t="shared" si="61"/>
        <v>2025</v>
      </c>
      <c r="Q1291" s="4">
        <f t="shared" si="62"/>
        <v>49</v>
      </c>
      <c r="R1291" t="s">
        <v>24</v>
      </c>
    </row>
    <row r="1292" spans="1:18" x14ac:dyDescent="0.3">
      <c r="A1292" s="1" t="d">
        <v>2025-11-28</v>
      </c>
      <c r="B1292">
        <v>45503</v>
      </c>
      <c r="C1292" t="str">
        <f>VLOOKUP(Fato_Producao[[#This Row],[referencia]], Dim_Produtos!A:B,2,FALSE)</f>
        <v>sardinha pequena</v>
      </c>
      <c r="D1292">
        <v>3782</v>
      </c>
      <c r="E1292">
        <v>3554</v>
      </c>
      <c r="F1292" s="5">
        <v>6.0299999999999999E-2</v>
      </c>
      <c r="G1292" s="6">
        <v>59.28</v>
      </c>
      <c r="H1292">
        <v>5</v>
      </c>
      <c r="I1292">
        <v>219</v>
      </c>
      <c r="J1292">
        <v>4</v>
      </c>
      <c r="K1292">
        <f>Fato_Producao[[#This Row],[embalagens_danificadas]]+Fato_Producao[[#This Row],[peso_errado]]+Fato_Producao[[#This Row],[impressao]]</f>
        <v>228</v>
      </c>
      <c r="L1292" s="1" t="d">
        <v>2025-11-28</v>
      </c>
      <c r="M1292">
        <v>0</v>
      </c>
      <c r="N1292" s="7">
        <v>6.52</v>
      </c>
      <c r="O1292" s="4" t="str">
        <f t="shared" si="60"/>
        <v>novembro</v>
      </c>
      <c r="P1292" s="4">
        <f t="shared" si="61"/>
        <v>2025</v>
      </c>
      <c r="Q1292" s="4" t="str">
        <f t="shared" si="62"/>
        <v/>
      </c>
      <c r="R1292" t="s">
        <v>24</v>
      </c>
    </row>
    <row r="1293" spans="1:18" x14ac:dyDescent="0.3">
      <c r="A1293" s="1" t="d">
        <v>2025-11-28</v>
      </c>
      <c r="B1293">
        <v>45505</v>
      </c>
      <c r="C1293" t="str">
        <f>VLOOKUP(Fato_Producao[[#This Row],[referencia]], Dim_Produtos!A:B,2,FALSE)</f>
        <v>camarao</v>
      </c>
      <c r="D1293">
        <v>1932</v>
      </c>
      <c r="E1293">
        <v>1843</v>
      </c>
      <c r="F1293" s="5">
        <v>4.6100000000000002E-2</v>
      </c>
      <c r="G1293" s="6">
        <v>26.7</v>
      </c>
      <c r="H1293">
        <v>23</v>
      </c>
      <c r="I1293">
        <v>63</v>
      </c>
      <c r="J1293">
        <v>3</v>
      </c>
      <c r="K1293">
        <f>Fato_Producao[[#This Row],[embalagens_danificadas]]+Fato_Producao[[#This Row],[peso_errado]]+Fato_Producao[[#This Row],[impressao]]</f>
        <v>89</v>
      </c>
      <c r="L1293" s="1" t="d">
        <v>2025-11-28</v>
      </c>
      <c r="M1293">
        <v>0</v>
      </c>
      <c r="N1293" s="7">
        <v>4</v>
      </c>
      <c r="O1293" s="4" t="str">
        <f t="shared" si="60"/>
        <v>novembro</v>
      </c>
      <c r="P1293" s="4">
        <f t="shared" si="61"/>
        <v>2025</v>
      </c>
      <c r="Q1293" s="4" t="str">
        <f t="shared" si="62"/>
        <v/>
      </c>
      <c r="R1293" t="s">
        <v>24</v>
      </c>
    </row>
    <row r="1294" spans="1:18" x14ac:dyDescent="0.3">
      <c r="A1294" s="1" t="d">
        <v>2025-11-29</v>
      </c>
      <c r="B1294">
        <v>45509</v>
      </c>
      <c r="C1294" t="str">
        <f>VLOOKUP(Fato_Producao[[#This Row],[referencia]], Dim_Produtos!A:B,2,FALSE)</f>
        <v>lascas bacalhau</v>
      </c>
      <c r="D1294">
        <v>3460</v>
      </c>
      <c r="E1294">
        <v>3240</v>
      </c>
      <c r="F1294" s="5">
        <v>6.3600000000000004E-2</v>
      </c>
      <c r="G1294" s="6">
        <v>61.6</v>
      </c>
      <c r="H1294">
        <v>7</v>
      </c>
      <c r="I1294">
        <v>211</v>
      </c>
      <c r="J1294">
        <v>2</v>
      </c>
      <c r="K1294">
        <f>Fato_Producao[[#This Row],[embalagens_danificadas]]+Fato_Producao[[#This Row],[peso_errado]]+Fato_Producao[[#This Row],[impressao]]</f>
        <v>220</v>
      </c>
      <c r="L1294" s="1" t="d">
        <v>2025-11-28</v>
      </c>
      <c r="M1294">
        <v>1</v>
      </c>
      <c r="N1294" s="7">
        <v>8.01</v>
      </c>
      <c r="O1294" s="4" t="str">
        <f t="shared" si="60"/>
        <v>novembro</v>
      </c>
      <c r="P1294" s="4">
        <f t="shared" si="61"/>
        <v>2025</v>
      </c>
      <c r="Q1294" s="4" t="str">
        <f t="shared" si="62"/>
        <v/>
      </c>
      <c r="R1294" t="s">
        <v>24</v>
      </c>
    </row>
    <row r="1295" spans="1:18" x14ac:dyDescent="0.3">
      <c r="A1295" s="1" t="d">
        <v>2025-11-29</v>
      </c>
      <c r="B1295">
        <v>45514</v>
      </c>
      <c r="C1295" t="str">
        <f>VLOOKUP(Fato_Producao[[#This Row],[referencia]], Dim_Produtos!A:B,2,FALSE)</f>
        <v>sardinha pequena</v>
      </c>
      <c r="D1295">
        <v>3714</v>
      </c>
      <c r="E1295">
        <v>3438</v>
      </c>
      <c r="F1295" s="5">
        <v>7.4300000000000005E-2</v>
      </c>
      <c r="G1295" s="6">
        <v>82.8</v>
      </c>
      <c r="H1295">
        <v>16</v>
      </c>
      <c r="I1295">
        <v>256</v>
      </c>
      <c r="J1295">
        <v>4</v>
      </c>
      <c r="K1295">
        <f>Fato_Producao[[#This Row],[embalagens_danificadas]]+Fato_Producao[[#This Row],[peso_errado]]+Fato_Producao[[#This Row],[impressao]]</f>
        <v>276</v>
      </c>
      <c r="L1295" s="1" t="d">
        <v>2025-11-28</v>
      </c>
      <c r="M1295">
        <v>1</v>
      </c>
      <c r="N1295" s="7">
        <v>9.94</v>
      </c>
      <c r="O1295" s="4" t="str">
        <f t="shared" si="60"/>
        <v>novembro</v>
      </c>
      <c r="P1295" s="4">
        <f t="shared" si="61"/>
        <v>2025</v>
      </c>
      <c r="Q1295" s="4" t="str">
        <f t="shared" si="62"/>
        <v/>
      </c>
      <c r="R1295" t="s">
        <v>24</v>
      </c>
    </row>
    <row r="1296" spans="1:18" x14ac:dyDescent="0.3">
      <c r="A1296" s="1" t="d">
        <v>2025-11-30</v>
      </c>
      <c r="B1296">
        <v>45512</v>
      </c>
      <c r="C1296" t="str">
        <f>VLOOKUP(Fato_Producao[[#This Row],[referencia]], Dim_Produtos!A:B,2,FALSE)</f>
        <v>red-fish posta</v>
      </c>
      <c r="D1296">
        <v>3979</v>
      </c>
      <c r="E1296">
        <v>3827</v>
      </c>
      <c r="F1296" s="5">
        <v>3.8199999999999998E-2</v>
      </c>
      <c r="G1296" s="6">
        <v>51.68</v>
      </c>
      <c r="H1296">
        <v>8</v>
      </c>
      <c r="I1296">
        <v>141</v>
      </c>
      <c r="J1296">
        <v>3</v>
      </c>
      <c r="K1296">
        <f>Fato_Producao[[#This Row],[embalagens_danificadas]]+Fato_Producao[[#This Row],[peso_errado]]+Fato_Producao[[#This Row],[impressao]]</f>
        <v>152</v>
      </c>
      <c r="L1296" s="1" t="d">
        <v>2025-11-28</v>
      </c>
      <c r="M1296">
        <v>2</v>
      </c>
      <c r="N1296" s="7">
        <v>7.24</v>
      </c>
      <c r="O1296" s="4" t="str">
        <f t="shared" si="60"/>
        <v>novembro</v>
      </c>
      <c r="P1296" s="4">
        <f t="shared" si="61"/>
        <v>2025</v>
      </c>
      <c r="Q1296" s="4" t="str">
        <f t="shared" si="62"/>
        <v/>
      </c>
      <c r="R1296" t="s">
        <v>24</v>
      </c>
    </row>
    <row r="1297" spans="1:18" x14ac:dyDescent="0.3">
      <c r="A1297" s="1" t="d">
        <v>2025-11-30</v>
      </c>
      <c r="B1297">
        <v>45510</v>
      </c>
      <c r="C1297" t="str">
        <f>VLOOKUP(Fato_Producao[[#This Row],[referencia]], Dim_Produtos!A:B,2,FALSE)</f>
        <v>tiras pota</v>
      </c>
      <c r="D1297">
        <v>1980</v>
      </c>
      <c r="E1297">
        <v>1838</v>
      </c>
      <c r="F1297" s="5">
        <v>7.17E-2</v>
      </c>
      <c r="G1297" s="6">
        <v>45.44</v>
      </c>
      <c r="H1297">
        <v>17</v>
      </c>
      <c r="I1297">
        <v>122</v>
      </c>
      <c r="J1297">
        <v>3</v>
      </c>
      <c r="K1297">
        <f>Fato_Producao[[#This Row],[embalagens_danificadas]]+Fato_Producao[[#This Row],[peso_errado]]+Fato_Producao[[#This Row],[impressao]]</f>
        <v>142</v>
      </c>
      <c r="L1297" s="1" t="d">
        <v>2025-11-28</v>
      </c>
      <c r="M1297">
        <v>2</v>
      </c>
      <c r="N1297" s="7">
        <v>6.36</v>
      </c>
      <c r="O1297" s="4" t="str">
        <f t="shared" si="60"/>
        <v>novembro</v>
      </c>
      <c r="P1297" s="4">
        <f t="shared" si="61"/>
        <v>2025</v>
      </c>
      <c r="Q1297" s="4" t="str">
        <f t="shared" si="62"/>
        <v/>
      </c>
      <c r="R1297" t="s">
        <v>24</v>
      </c>
    </row>
    <row r="1298" spans="1:18" x14ac:dyDescent="0.3">
      <c r="A1298" s="1" t="d">
        <v>2025-12-01</v>
      </c>
      <c r="B1298">
        <v>45513</v>
      </c>
      <c r="C1298" t="str">
        <f>VLOOKUP(Fato_Producao[[#This Row],[referencia]], Dim_Produtos!A:B,2,FALSE)</f>
        <v>filete pescada</v>
      </c>
      <c r="D1298">
        <v>3438</v>
      </c>
      <c r="E1298">
        <v>3232</v>
      </c>
      <c r="F1298" s="5">
        <v>5.9900000000000002E-2</v>
      </c>
      <c r="G1298" s="6">
        <v>65.92</v>
      </c>
      <c r="H1298">
        <v>11</v>
      </c>
      <c r="I1298">
        <v>190</v>
      </c>
      <c r="J1298">
        <v>5</v>
      </c>
      <c r="K1298">
        <f>Fato_Producao[[#This Row],[embalagens_danificadas]]+Fato_Producao[[#This Row],[peso_errado]]+Fato_Producao[[#This Row],[impressao]]</f>
        <v>206</v>
      </c>
      <c r="L1298" s="1" t="d">
        <v>2025-11-28</v>
      </c>
      <c r="M1298">
        <v>3</v>
      </c>
      <c r="N1298" s="7">
        <v>8.57</v>
      </c>
      <c r="O1298" s="4" t="str">
        <f t="shared" si="60"/>
        <v>dezembro</v>
      </c>
      <c r="P1298" s="4">
        <f t="shared" si="61"/>
        <v>2025</v>
      </c>
      <c r="Q1298" s="4" t="str">
        <f t="shared" si="62"/>
        <v/>
      </c>
      <c r="R1298" t="s">
        <v>24</v>
      </c>
    </row>
    <row r="1299" spans="1:18" x14ac:dyDescent="0.3">
      <c r="A1299" s="1" t="d">
        <v>2025-12-01</v>
      </c>
      <c r="B1299">
        <v>45508</v>
      </c>
      <c r="C1299" t="str">
        <f>VLOOKUP(Fato_Producao[[#This Row],[referencia]], Dim_Produtos!A:B,2,FALSE)</f>
        <v>lula suja</v>
      </c>
      <c r="D1299">
        <v>3469</v>
      </c>
      <c r="E1299">
        <v>3158</v>
      </c>
      <c r="F1299" s="5">
        <v>8.9700000000000002E-2</v>
      </c>
      <c r="G1299" s="6">
        <v>99.52</v>
      </c>
      <c r="H1299">
        <v>29</v>
      </c>
      <c r="I1299">
        <v>278</v>
      </c>
      <c r="J1299">
        <v>4</v>
      </c>
      <c r="K1299">
        <f>Fato_Producao[[#This Row],[embalagens_danificadas]]+Fato_Producao[[#This Row],[peso_errado]]+Fato_Producao[[#This Row],[impressao]]</f>
        <v>311</v>
      </c>
      <c r="L1299" s="1" t="d">
        <v>2025-11-28</v>
      </c>
      <c r="M1299">
        <v>3</v>
      </c>
      <c r="N1299" s="7">
        <v>13.93</v>
      </c>
      <c r="O1299" s="4" t="str">
        <f t="shared" si="60"/>
        <v>dezembro</v>
      </c>
      <c r="P1299" s="4">
        <f t="shared" si="61"/>
        <v>2025</v>
      </c>
      <c r="Q1299" s="4" t="str">
        <f t="shared" si="62"/>
        <v/>
      </c>
      <c r="R1299" t="s">
        <v>24</v>
      </c>
    </row>
    <row r="1300" spans="1:18" x14ac:dyDescent="0.3">
      <c r="A1300" s="1" t="d">
        <v>2025-12-02</v>
      </c>
      <c r="B1300">
        <v>45514</v>
      </c>
      <c r="C1300" t="str">
        <f>VLOOKUP(Fato_Producao[[#This Row],[referencia]], Dim_Produtos!A:B,2,FALSE)</f>
        <v>sardinha pequena</v>
      </c>
      <c r="D1300">
        <v>4096</v>
      </c>
      <c r="E1300">
        <v>3896</v>
      </c>
      <c r="F1300" s="5">
        <v>4.8800000000000003E-2</v>
      </c>
      <c r="G1300" s="6">
        <v>60</v>
      </c>
      <c r="H1300">
        <v>13</v>
      </c>
      <c r="I1300">
        <v>185</v>
      </c>
      <c r="J1300">
        <v>2</v>
      </c>
      <c r="K1300">
        <f>Fato_Producao[[#This Row],[embalagens_danificadas]]+Fato_Producao[[#This Row],[peso_errado]]+Fato_Producao[[#This Row],[impressao]]</f>
        <v>200</v>
      </c>
      <c r="L1300" s="1" t="d">
        <v>2025-11-28</v>
      </c>
      <c r="M1300">
        <v>4</v>
      </c>
      <c r="N1300" s="7">
        <v>7.2</v>
      </c>
      <c r="O1300" s="4" t="str">
        <f t="shared" si="60"/>
        <v>dezembro</v>
      </c>
      <c r="P1300" s="4">
        <f t="shared" si="61"/>
        <v>2025</v>
      </c>
      <c r="Q1300" s="4" t="str">
        <f t="shared" si="62"/>
        <v/>
      </c>
      <c r="R1300" t="s">
        <v>24</v>
      </c>
    </row>
    <row r="1301" spans="1:18" x14ac:dyDescent="0.3">
      <c r="A1301" s="1" t="d">
        <v>2025-12-03</v>
      </c>
      <c r="B1301">
        <v>45501</v>
      </c>
      <c r="C1301" t="str">
        <f>VLOOKUP(Fato_Producao[[#This Row],[referencia]], Dim_Produtos!A:B,2,FALSE)</f>
        <v>pescada posta cozer</v>
      </c>
      <c r="D1301">
        <v>3033</v>
      </c>
      <c r="E1301">
        <v>2865</v>
      </c>
      <c r="F1301" s="5">
        <v>5.5399999999999998E-2</v>
      </c>
      <c r="G1301" s="6">
        <v>53.76</v>
      </c>
      <c r="H1301">
        <v>9</v>
      </c>
      <c r="I1301">
        <v>156</v>
      </c>
      <c r="J1301">
        <v>3</v>
      </c>
      <c r="K1301">
        <f>Fato_Producao[[#This Row],[embalagens_danificadas]]+Fato_Producao[[#This Row],[peso_errado]]+Fato_Producao[[#This Row],[impressao]]</f>
        <v>168</v>
      </c>
      <c r="L1301" s="1" t="d">
        <v>2025-11-28</v>
      </c>
      <c r="M1301">
        <v>5</v>
      </c>
      <c r="N1301" s="7">
        <v>7.53</v>
      </c>
      <c r="O1301" s="4" t="str">
        <f t="shared" si="60"/>
        <v>dezembro</v>
      </c>
      <c r="P1301" s="4">
        <f t="shared" si="61"/>
        <v>2025</v>
      </c>
      <c r="Q1301" s="4" t="str">
        <f t="shared" si="62"/>
        <v/>
      </c>
      <c r="R1301" t="s">
        <v>24</v>
      </c>
    </row>
    <row r="1302" spans="1:18" x14ac:dyDescent="0.3">
      <c r="A1302" s="1" t="d">
        <v>2025-12-04</v>
      </c>
      <c r="B1302">
        <v>45512</v>
      </c>
      <c r="C1302" t="str">
        <f>VLOOKUP(Fato_Producao[[#This Row],[referencia]], Dim_Produtos!A:B,2,FALSE)</f>
        <v>red-fish posta</v>
      </c>
      <c r="D1302">
        <v>3927</v>
      </c>
      <c r="E1302">
        <v>3717</v>
      </c>
      <c r="F1302" s="5">
        <v>5.3499999999999999E-2</v>
      </c>
      <c r="G1302" s="6">
        <v>71.400000000000006</v>
      </c>
      <c r="H1302">
        <v>9</v>
      </c>
      <c r="I1302">
        <v>198</v>
      </c>
      <c r="J1302">
        <v>3</v>
      </c>
      <c r="K1302">
        <f>Fato_Producao[[#This Row],[embalagens_danificadas]]+Fato_Producao[[#This Row],[peso_errado]]+Fato_Producao[[#This Row],[impressao]]</f>
        <v>210</v>
      </c>
      <c r="L1302" s="1" t="d">
        <v>2025-11-28</v>
      </c>
      <c r="M1302">
        <v>6</v>
      </c>
      <c r="N1302" s="7">
        <v>10</v>
      </c>
      <c r="O1302" s="4" t="str">
        <f t="shared" si="60"/>
        <v>dezembro</v>
      </c>
      <c r="P1302" s="4">
        <f t="shared" si="61"/>
        <v>2025</v>
      </c>
      <c r="Q1302" s="4" t="str">
        <f t="shared" si="62"/>
        <v/>
      </c>
      <c r="R1302" t="s">
        <v>24</v>
      </c>
    </row>
    <row r="1303" spans="1:18" x14ac:dyDescent="0.3">
      <c r="A1303" s="1" t="d">
        <v>2025-12-04</v>
      </c>
      <c r="B1303">
        <v>45500</v>
      </c>
      <c r="C1303" t="str">
        <f>VLOOKUP(Fato_Producao[[#This Row],[referencia]], Dim_Produtos!A:B,2,FALSE)</f>
        <v>filete pescada</v>
      </c>
      <c r="D1303">
        <v>2118</v>
      </c>
      <c r="E1303">
        <v>2036</v>
      </c>
      <c r="F1303" s="5">
        <v>3.8699999999999998E-2</v>
      </c>
      <c r="G1303" s="6">
        <v>22.96</v>
      </c>
      <c r="H1303">
        <v>2</v>
      </c>
      <c r="I1303">
        <v>78</v>
      </c>
      <c r="J1303">
        <v>2</v>
      </c>
      <c r="K1303">
        <f>Fato_Producao[[#This Row],[embalagens_danificadas]]+Fato_Producao[[#This Row],[peso_errado]]+Fato_Producao[[#This Row],[impressao]]</f>
        <v>82</v>
      </c>
      <c r="L1303" s="1" t="d">
        <v>2025-11-28</v>
      </c>
      <c r="M1303">
        <v>6</v>
      </c>
      <c r="N1303" s="7">
        <v>2.76</v>
      </c>
      <c r="O1303" s="4" t="str">
        <f t="shared" si="60"/>
        <v>dezembro</v>
      </c>
      <c r="P1303" s="4">
        <f t="shared" si="61"/>
        <v>2025</v>
      </c>
      <c r="Q1303" s="4" t="str">
        <f t="shared" si="62"/>
        <v/>
      </c>
      <c r="R1303" t="s">
        <v>24</v>
      </c>
    </row>
    <row r="1304" spans="1:18" x14ac:dyDescent="0.3">
      <c r="A1304" s="1" t="d">
        <v>2025-12-05</v>
      </c>
      <c r="B1304">
        <v>45504</v>
      </c>
      <c r="C1304" t="str">
        <f>VLOOKUP(Fato_Producao[[#This Row],[referencia]], Dim_Produtos!A:B,2,FALSE)</f>
        <v>pescada posta fritar</v>
      </c>
      <c r="D1304">
        <v>2212</v>
      </c>
      <c r="E1304">
        <v>2134</v>
      </c>
      <c r="F1304" s="5">
        <v>3.5299999999999998E-2</v>
      </c>
      <c r="G1304" s="6">
        <v>24.96</v>
      </c>
      <c r="H1304">
        <v>4</v>
      </c>
      <c r="I1304">
        <v>73</v>
      </c>
      <c r="J1304">
        <v>1</v>
      </c>
      <c r="K1304">
        <f>Fato_Producao[[#This Row],[embalagens_danificadas]]+Fato_Producao[[#This Row],[peso_errado]]+Fato_Producao[[#This Row],[impressao]]</f>
        <v>78</v>
      </c>
      <c r="L1304" s="1" t="d">
        <v>2025-11-28</v>
      </c>
      <c r="M1304">
        <v>7</v>
      </c>
      <c r="N1304" s="7">
        <v>3.49</v>
      </c>
      <c r="O1304" s="4" t="str">
        <f t="shared" si="60"/>
        <v>dezembro</v>
      </c>
      <c r="P1304" s="4">
        <f t="shared" si="61"/>
        <v>2025</v>
      </c>
      <c r="Q1304" s="4" t="str">
        <f t="shared" si="62"/>
        <v/>
      </c>
      <c r="R1304" t="s">
        <v>24</v>
      </c>
    </row>
    <row r="1305" spans="1:18" x14ac:dyDescent="0.3">
      <c r="A1305" s="1" t="d">
        <v>2025-12-05</v>
      </c>
      <c r="B1305">
        <v>45511</v>
      </c>
      <c r="C1305" t="str">
        <f>VLOOKUP(Fato_Producao[[#This Row],[referencia]], Dim_Produtos!A:B,2,FALSE)</f>
        <v>lula limpa</v>
      </c>
      <c r="D1305">
        <v>4145</v>
      </c>
      <c r="E1305">
        <v>3810</v>
      </c>
      <c r="F1305" s="5">
        <v>8.0799999999999997E-2</v>
      </c>
      <c r="G1305" s="6">
        <v>107.2</v>
      </c>
      <c r="H1305">
        <v>46</v>
      </c>
      <c r="I1305">
        <v>285</v>
      </c>
      <c r="J1305">
        <v>4</v>
      </c>
      <c r="K1305">
        <f>Fato_Producao[[#This Row],[embalagens_danificadas]]+Fato_Producao[[#This Row],[peso_errado]]+Fato_Producao[[#This Row],[impressao]]</f>
        <v>335</v>
      </c>
      <c r="L1305" s="1" t="d">
        <v>2025-11-28</v>
      </c>
      <c r="M1305">
        <v>7</v>
      </c>
      <c r="N1305" s="7">
        <v>15.01</v>
      </c>
      <c r="O1305" s="4" t="str">
        <f t="shared" si="60"/>
        <v>dezembro</v>
      </c>
      <c r="P1305" s="4">
        <f t="shared" si="61"/>
        <v>2025</v>
      </c>
      <c r="Q1305" s="4" t="str">
        <f t="shared" si="62"/>
        <v/>
      </c>
      <c r="R1305" t="s">
        <v>24</v>
      </c>
    </row>
    <row r="1306" spans="1:18" x14ac:dyDescent="0.3">
      <c r="A1306" s="1" t="d">
        <v>2025-12-06</v>
      </c>
      <c r="B1306">
        <v>45514</v>
      </c>
      <c r="C1306" t="str">
        <f>VLOOKUP(Fato_Producao[[#This Row],[referencia]], Dim_Produtos!A:B,2,FALSE)</f>
        <v>sardinha pequena</v>
      </c>
      <c r="D1306">
        <v>2538</v>
      </c>
      <c r="E1306">
        <v>2359</v>
      </c>
      <c r="F1306" s="5">
        <v>7.0499999999999993E-2</v>
      </c>
      <c r="G1306" s="6">
        <v>53.7</v>
      </c>
      <c r="H1306">
        <v>10</v>
      </c>
      <c r="I1306">
        <v>167</v>
      </c>
      <c r="J1306">
        <v>2</v>
      </c>
      <c r="K1306">
        <f>Fato_Producao[[#This Row],[embalagens_danificadas]]+Fato_Producao[[#This Row],[peso_errado]]+Fato_Producao[[#This Row],[impressao]]</f>
        <v>179</v>
      </c>
      <c r="L1306" s="1" t="d">
        <v>2025-11-28</v>
      </c>
      <c r="M1306">
        <v>8</v>
      </c>
      <c r="N1306" s="7">
        <v>6.44</v>
      </c>
      <c r="O1306" s="4" t="str">
        <f t="shared" si="60"/>
        <v>dezembro</v>
      </c>
      <c r="P1306" s="4">
        <f t="shared" si="61"/>
        <v>2025</v>
      </c>
      <c r="Q1306" s="4" t="str">
        <f t="shared" si="62"/>
        <v/>
      </c>
      <c r="R1306" t="s">
        <v>24</v>
      </c>
    </row>
    <row r="1307" spans="1:18" x14ac:dyDescent="0.3">
      <c r="A1307" s="1" t="d">
        <v>2025-12-07</v>
      </c>
      <c r="B1307">
        <v>45506</v>
      </c>
      <c r="C1307" t="str">
        <f>VLOOKUP(Fato_Producao[[#This Row],[referencia]], Dim_Produtos!A:B,2,FALSE)</f>
        <v>perca posta</v>
      </c>
      <c r="D1307">
        <v>1920</v>
      </c>
      <c r="E1307">
        <v>1824</v>
      </c>
      <c r="F1307" s="5">
        <v>0.05</v>
      </c>
      <c r="G1307" s="6">
        <v>33.6</v>
      </c>
      <c r="H1307">
        <v>6</v>
      </c>
      <c r="I1307">
        <v>88</v>
      </c>
      <c r="J1307">
        <v>2</v>
      </c>
      <c r="K1307">
        <f>Fato_Producao[[#This Row],[embalagens_danificadas]]+Fato_Producao[[#This Row],[peso_errado]]+Fato_Producao[[#This Row],[impressao]]</f>
        <v>96</v>
      </c>
      <c r="L1307" s="1" t="d">
        <v>2025-11-28</v>
      </c>
      <c r="M1307">
        <v>9</v>
      </c>
      <c r="N1307" s="7">
        <v>5.04</v>
      </c>
      <c r="O1307" s="4" t="str">
        <f t="shared" si="60"/>
        <v>dezembro</v>
      </c>
      <c r="P1307" s="4">
        <f t="shared" si="61"/>
        <v>2025</v>
      </c>
      <c r="Q1307" s="4" t="str">
        <f t="shared" si="62"/>
        <v/>
      </c>
      <c r="R1307" t="s">
        <v>24</v>
      </c>
    </row>
    <row r="1308" spans="1:18" x14ac:dyDescent="0.3">
      <c r="A1308" s="1" t="d">
        <v>2025-12-08</v>
      </c>
      <c r="B1308">
        <v>45513</v>
      </c>
      <c r="C1308" t="str">
        <f>VLOOKUP(Fato_Producao[[#This Row],[referencia]], Dim_Produtos!A:B,2,FALSE)</f>
        <v>filete pescada</v>
      </c>
      <c r="D1308">
        <v>3269</v>
      </c>
      <c r="E1308">
        <v>3138</v>
      </c>
      <c r="F1308" s="5">
        <v>4.0099999999999997E-2</v>
      </c>
      <c r="G1308" s="6">
        <v>41.92</v>
      </c>
      <c r="H1308">
        <v>6</v>
      </c>
      <c r="I1308">
        <v>124</v>
      </c>
      <c r="J1308">
        <v>1</v>
      </c>
      <c r="K1308">
        <f>Fato_Producao[[#This Row],[embalagens_danificadas]]+Fato_Producao[[#This Row],[peso_errado]]+Fato_Producao[[#This Row],[impressao]]</f>
        <v>131</v>
      </c>
      <c r="L1308" s="1" t="d">
        <v>2025-11-28</v>
      </c>
      <c r="M1308">
        <v>10</v>
      </c>
      <c r="N1308" s="7">
        <v>5.45</v>
      </c>
      <c r="O1308" s="4" t="str">
        <f t="shared" si="60"/>
        <v>dezembro</v>
      </c>
      <c r="P1308" s="4">
        <f t="shared" si="61"/>
        <v>2025</v>
      </c>
      <c r="Q1308" s="4" t="str">
        <f t="shared" si="62"/>
        <v/>
      </c>
      <c r="R1308" t="s">
        <v>24</v>
      </c>
    </row>
    <row r="1309" spans="1:18" x14ac:dyDescent="0.3">
      <c r="A1309" s="1" t="d">
        <v>2025-12-09</v>
      </c>
      <c r="B1309">
        <v>45505</v>
      </c>
      <c r="C1309" t="str">
        <f>VLOOKUP(Fato_Producao[[#This Row],[referencia]], Dim_Produtos!A:B,2,FALSE)</f>
        <v>camarao</v>
      </c>
      <c r="D1309">
        <v>3532</v>
      </c>
      <c r="E1309">
        <v>3299</v>
      </c>
      <c r="F1309" s="5">
        <v>6.6000000000000003E-2</v>
      </c>
      <c r="G1309" s="6">
        <v>69.900000000000006</v>
      </c>
      <c r="H1309">
        <v>63</v>
      </c>
      <c r="I1309">
        <v>167</v>
      </c>
      <c r="J1309">
        <v>3</v>
      </c>
      <c r="K1309">
        <f>Fato_Producao[[#This Row],[embalagens_danificadas]]+Fato_Producao[[#This Row],[peso_errado]]+Fato_Producao[[#This Row],[impressao]]</f>
        <v>233</v>
      </c>
      <c r="L1309" s="1" t="d">
        <v>2025-11-28</v>
      </c>
      <c r="M1309">
        <v>11</v>
      </c>
      <c r="N1309" s="7">
        <v>10.49</v>
      </c>
      <c r="O1309" s="4" t="str">
        <f t="shared" si="60"/>
        <v>dezembro</v>
      </c>
      <c r="P1309" s="4">
        <f t="shared" si="61"/>
        <v>2025</v>
      </c>
      <c r="Q1309" s="4" t="str">
        <f t="shared" si="62"/>
        <v/>
      </c>
      <c r="R1309" t="s">
        <v>24</v>
      </c>
    </row>
    <row r="1310" spans="1:18" x14ac:dyDescent="0.3">
      <c r="A1310" s="1" t="d">
        <v>2025-12-09</v>
      </c>
      <c r="B1310">
        <v>45502</v>
      </c>
      <c r="C1310" t="str">
        <f>VLOOKUP(Fato_Producao[[#This Row],[referencia]], Dim_Produtos!A:B,2,FALSE)</f>
        <v>carapau pelim</v>
      </c>
      <c r="D1310">
        <v>3515</v>
      </c>
      <c r="E1310">
        <v>3275</v>
      </c>
      <c r="F1310" s="5">
        <v>6.83E-2</v>
      </c>
      <c r="G1310" s="6">
        <v>72</v>
      </c>
      <c r="H1310">
        <v>50</v>
      </c>
      <c r="I1310">
        <v>186</v>
      </c>
      <c r="J1310">
        <v>4</v>
      </c>
      <c r="K1310">
        <f>Fato_Producao[[#This Row],[embalagens_danificadas]]+Fato_Producao[[#This Row],[peso_errado]]+Fato_Producao[[#This Row],[impressao]]</f>
        <v>240</v>
      </c>
      <c r="L1310" s="1" t="d">
        <v>2025-11-28</v>
      </c>
      <c r="M1310">
        <v>11</v>
      </c>
      <c r="N1310" s="7">
        <v>9.36</v>
      </c>
      <c r="O1310" s="4" t="str">
        <f t="shared" si="60"/>
        <v>dezembro</v>
      </c>
      <c r="P1310" s="4">
        <f t="shared" si="61"/>
        <v>2025</v>
      </c>
      <c r="Q1310" s="4" t="str">
        <f t="shared" si="62"/>
        <v/>
      </c>
      <c r="R1310" t="s">
        <v>24</v>
      </c>
    </row>
    <row r="1311" spans="1:18" x14ac:dyDescent="0.3">
      <c r="A1311" s="1" t="d">
        <v>2025-12-10</v>
      </c>
      <c r="B1311">
        <v>45507</v>
      </c>
      <c r="C1311" t="str">
        <f>VLOOKUP(Fato_Producao[[#This Row],[referencia]], Dim_Produtos!A:B,2,FALSE)</f>
        <v>salmao posta</v>
      </c>
      <c r="D1311">
        <v>4120</v>
      </c>
      <c r="E1311">
        <v>3882</v>
      </c>
      <c r="F1311" s="5">
        <v>5.7799999999999997E-2</v>
      </c>
      <c r="G1311" s="6">
        <v>83.3</v>
      </c>
      <c r="H1311">
        <v>8</v>
      </c>
      <c r="I1311">
        <v>224</v>
      </c>
      <c r="J1311">
        <v>6</v>
      </c>
      <c r="K1311">
        <f>Fato_Producao[[#This Row],[embalagens_danificadas]]+Fato_Producao[[#This Row],[peso_errado]]+Fato_Producao[[#This Row],[impressao]]</f>
        <v>238</v>
      </c>
      <c r="L1311" s="1" t="d">
        <v>2025-11-28</v>
      </c>
      <c r="M1311">
        <v>12</v>
      </c>
      <c r="N1311" s="7">
        <v>13.33</v>
      </c>
      <c r="O1311" s="4" t="str">
        <f t="shared" si="60"/>
        <v>dezembro</v>
      </c>
      <c r="P1311" s="4">
        <f t="shared" si="61"/>
        <v>2025</v>
      </c>
      <c r="Q1311" s="4" t="str">
        <f t="shared" si="62"/>
        <v/>
      </c>
      <c r="R1311" t="s">
        <v>24</v>
      </c>
    </row>
    <row r="1312" spans="1:18" x14ac:dyDescent="0.3">
      <c r="A1312" s="1" t="d">
        <v>2025-12-10</v>
      </c>
      <c r="B1312">
        <v>45507</v>
      </c>
      <c r="C1312" t="str">
        <f>VLOOKUP(Fato_Producao[[#This Row],[referencia]], Dim_Produtos!A:B,2,FALSE)</f>
        <v>salmao posta</v>
      </c>
      <c r="D1312">
        <v>4006</v>
      </c>
      <c r="E1312">
        <v>3760</v>
      </c>
      <c r="F1312" s="5">
        <v>6.1400000000000003E-2</v>
      </c>
      <c r="G1312" s="6">
        <v>86.1</v>
      </c>
      <c r="H1312">
        <v>91</v>
      </c>
      <c r="I1312">
        <v>49</v>
      </c>
      <c r="J1312">
        <v>106</v>
      </c>
      <c r="K1312">
        <f>Fato_Producao[[#This Row],[embalagens_danificadas]]+Fato_Producao[[#This Row],[peso_errado]]+Fato_Producao[[#This Row],[impressao]]</f>
        <v>246</v>
      </c>
      <c r="L1312" s="1" t="d">
        <v>2025-11-28</v>
      </c>
      <c r="M1312">
        <v>12</v>
      </c>
      <c r="N1312" s="7">
        <v>13.78</v>
      </c>
      <c r="O1312" s="4" t="str">
        <f t="shared" si="60"/>
        <v>dezembro</v>
      </c>
      <c r="P1312" s="4">
        <f t="shared" si="61"/>
        <v>2025</v>
      </c>
      <c r="Q1312" s="4" t="str">
        <f t="shared" si="62"/>
        <v/>
      </c>
      <c r="R1312" t="s">
        <v>50</v>
      </c>
    </row>
    <row r="1313" spans="1:18" x14ac:dyDescent="0.3">
      <c r="A1313" s="1" t="d">
        <v>2025-12-11</v>
      </c>
      <c r="B1313">
        <v>45504</v>
      </c>
      <c r="C1313" t="str">
        <f>VLOOKUP(Fato_Producao[[#This Row],[referencia]], Dim_Produtos!A:B,2,FALSE)</f>
        <v>pescada posta fritar</v>
      </c>
      <c r="D1313">
        <v>3056</v>
      </c>
      <c r="E1313">
        <v>2872</v>
      </c>
      <c r="F1313" s="5">
        <v>6.0199999999999997E-2</v>
      </c>
      <c r="G1313" s="6">
        <v>58.88</v>
      </c>
      <c r="H1313">
        <v>11</v>
      </c>
      <c r="I1313">
        <v>171</v>
      </c>
      <c r="J1313">
        <v>2</v>
      </c>
      <c r="K1313">
        <f>Fato_Producao[[#This Row],[embalagens_danificadas]]+Fato_Producao[[#This Row],[peso_errado]]+Fato_Producao[[#This Row],[impressao]]</f>
        <v>184</v>
      </c>
      <c r="L1313" s="1" t="d">
        <v>2025-11-28</v>
      </c>
      <c r="M1313">
        <v>13</v>
      </c>
      <c r="N1313" s="7">
        <v>8.24</v>
      </c>
      <c r="O1313" s="4" t="str">
        <f t="shared" si="60"/>
        <v>dezembro</v>
      </c>
      <c r="P1313" s="4">
        <f t="shared" si="61"/>
        <v>2025</v>
      </c>
      <c r="Q1313" s="4" t="str">
        <f t="shared" si="62"/>
        <v/>
      </c>
      <c r="R1313" t="s">
        <v>24</v>
      </c>
    </row>
    <row r="1314" spans="1:18" x14ac:dyDescent="0.3">
      <c r="A1314" s="1" t="d">
        <v>2025-12-11</v>
      </c>
      <c r="B1314">
        <v>45506</v>
      </c>
      <c r="C1314" t="str">
        <f>VLOOKUP(Fato_Producao[[#This Row],[referencia]], Dim_Produtos!A:B,2,FALSE)</f>
        <v>perca posta</v>
      </c>
      <c r="D1314">
        <v>2852</v>
      </c>
      <c r="E1314">
        <v>2684</v>
      </c>
      <c r="F1314" s="5">
        <v>5.8900000000000001E-2</v>
      </c>
      <c r="G1314" s="6">
        <v>58.8</v>
      </c>
      <c r="H1314">
        <v>8</v>
      </c>
      <c r="I1314">
        <v>157</v>
      </c>
      <c r="J1314">
        <v>3</v>
      </c>
      <c r="K1314">
        <f>Fato_Producao[[#This Row],[embalagens_danificadas]]+Fato_Producao[[#This Row],[peso_errado]]+Fato_Producao[[#This Row],[impressao]]</f>
        <v>168</v>
      </c>
      <c r="L1314" s="1" t="d">
        <v>2025-11-28</v>
      </c>
      <c r="M1314">
        <v>13</v>
      </c>
      <c r="N1314" s="7">
        <v>8.82</v>
      </c>
      <c r="O1314" s="4" t="str">
        <f t="shared" si="60"/>
        <v>dezembro</v>
      </c>
      <c r="P1314" s="4">
        <f t="shared" si="61"/>
        <v>2025</v>
      </c>
      <c r="Q1314" s="4" t="str">
        <f t="shared" si="62"/>
        <v/>
      </c>
      <c r="R1314" t="s">
        <v>24</v>
      </c>
    </row>
    <row r="1315" spans="1:18" x14ac:dyDescent="0.3">
      <c r="A1315" s="1" t="d">
        <v>2025-12-12</v>
      </c>
      <c r="B1315">
        <v>45500</v>
      </c>
      <c r="C1315" t="str">
        <f>VLOOKUP(Fato_Producao[[#This Row],[referencia]], Dim_Produtos!A:B,2,FALSE)</f>
        <v>filete pescada</v>
      </c>
      <c r="D1315">
        <v>2740</v>
      </c>
      <c r="E1315">
        <v>2543</v>
      </c>
      <c r="F1315" s="5">
        <v>7.1900000000000006E-2</v>
      </c>
      <c r="G1315" s="6">
        <v>55.16</v>
      </c>
      <c r="H1315">
        <v>12</v>
      </c>
      <c r="I1315">
        <v>180</v>
      </c>
      <c r="J1315">
        <v>5</v>
      </c>
      <c r="K1315">
        <f>Fato_Producao[[#This Row],[embalagens_danificadas]]+Fato_Producao[[#This Row],[peso_errado]]+Fato_Producao[[#This Row],[impressao]]</f>
        <v>197</v>
      </c>
      <c r="L1315" s="1" t="d">
        <v>2025-11-28</v>
      </c>
      <c r="M1315">
        <v>14</v>
      </c>
      <c r="N1315" s="7">
        <v>6.62</v>
      </c>
      <c r="O1315" s="4" t="str">
        <f t="shared" si="60"/>
        <v>dezembro</v>
      </c>
      <c r="P1315" s="4">
        <f t="shared" si="61"/>
        <v>2025</v>
      </c>
      <c r="Q1315" s="4" t="str">
        <f t="shared" si="62"/>
        <v/>
      </c>
      <c r="R1315" t="s">
        <v>24</v>
      </c>
    </row>
    <row r="1316" spans="1:18" x14ac:dyDescent="0.3">
      <c r="A1316" s="1" t="d">
        <v>2025-12-13</v>
      </c>
      <c r="B1316">
        <v>45502</v>
      </c>
      <c r="C1316" t="str">
        <f>VLOOKUP(Fato_Producao[[#This Row],[referencia]], Dim_Produtos!A:B,2,FALSE)</f>
        <v>carapau pelim</v>
      </c>
      <c r="D1316">
        <v>1938</v>
      </c>
      <c r="E1316">
        <v>1798</v>
      </c>
      <c r="F1316" s="5">
        <v>7.22E-2</v>
      </c>
      <c r="G1316" s="6">
        <v>42</v>
      </c>
      <c r="H1316">
        <v>33</v>
      </c>
      <c r="I1316">
        <v>102</v>
      </c>
      <c r="J1316">
        <v>5</v>
      </c>
      <c r="K1316">
        <f>Fato_Producao[[#This Row],[embalagens_danificadas]]+Fato_Producao[[#This Row],[peso_errado]]+Fato_Producao[[#This Row],[impressao]]</f>
        <v>140</v>
      </c>
      <c r="L1316" s="1" t="d">
        <v>2025-11-28</v>
      </c>
      <c r="M1316">
        <v>15</v>
      </c>
      <c r="N1316" s="7">
        <v>5.46</v>
      </c>
      <c r="O1316" s="4" t="str">
        <f t="shared" si="60"/>
        <v>dezembro</v>
      </c>
      <c r="P1316" s="4">
        <f t="shared" si="61"/>
        <v>2025</v>
      </c>
      <c r="Q1316" s="4" t="str">
        <f t="shared" si="62"/>
        <v/>
      </c>
      <c r="R1316" t="s">
        <v>24</v>
      </c>
    </row>
    <row r="1317" spans="1:18" x14ac:dyDescent="0.3">
      <c r="A1317" s="1" t="d">
        <v>2025-12-13</v>
      </c>
      <c r="B1317">
        <v>45507</v>
      </c>
      <c r="C1317" t="str">
        <f>VLOOKUP(Fato_Producao[[#This Row],[referencia]], Dim_Produtos!A:B,2,FALSE)</f>
        <v>salmao posta</v>
      </c>
      <c r="D1317">
        <v>2892</v>
      </c>
      <c r="E1317">
        <v>2726</v>
      </c>
      <c r="F1317" s="5">
        <v>5.74E-2</v>
      </c>
      <c r="G1317" s="6">
        <v>58.1</v>
      </c>
      <c r="H1317">
        <v>4</v>
      </c>
      <c r="I1317">
        <v>158</v>
      </c>
      <c r="J1317">
        <v>4</v>
      </c>
      <c r="K1317">
        <f>Fato_Producao[[#This Row],[embalagens_danificadas]]+Fato_Producao[[#This Row],[peso_errado]]+Fato_Producao[[#This Row],[impressao]]</f>
        <v>166</v>
      </c>
      <c r="L1317" s="1" t="d">
        <v>2025-11-28</v>
      </c>
      <c r="M1317">
        <v>15</v>
      </c>
      <c r="N1317" s="7">
        <v>9.3000000000000007</v>
      </c>
      <c r="O1317" s="4" t="str">
        <f t="shared" si="60"/>
        <v>dezembro</v>
      </c>
      <c r="P1317" s="4">
        <f t="shared" si="61"/>
        <v>2025</v>
      </c>
      <c r="Q1317" s="4" t="str">
        <f t="shared" si="62"/>
        <v/>
      </c>
      <c r="R1317" t="s">
        <v>24</v>
      </c>
    </row>
    <row r="1318" spans="1:18" x14ac:dyDescent="0.3">
      <c r="A1318" s="1" t="d">
        <v>2025-12-14</v>
      </c>
      <c r="B1318">
        <v>45505</v>
      </c>
      <c r="C1318" t="str">
        <f>VLOOKUP(Fato_Producao[[#This Row],[referencia]], Dim_Produtos!A:B,2,FALSE)</f>
        <v>camarao</v>
      </c>
      <c r="D1318">
        <v>3001</v>
      </c>
      <c r="E1318">
        <v>2787</v>
      </c>
      <c r="F1318" s="5">
        <v>7.1300000000000002E-2</v>
      </c>
      <c r="G1318" s="6">
        <v>64.2</v>
      </c>
      <c r="H1318">
        <v>59</v>
      </c>
      <c r="I1318">
        <v>151</v>
      </c>
      <c r="J1318">
        <v>4</v>
      </c>
      <c r="K1318">
        <f>Fato_Producao[[#This Row],[embalagens_danificadas]]+Fato_Producao[[#This Row],[peso_errado]]+Fato_Producao[[#This Row],[impressao]]</f>
        <v>214</v>
      </c>
      <c r="L1318" s="1" t="d">
        <v>2025-11-28</v>
      </c>
      <c r="M1318">
        <v>16</v>
      </c>
      <c r="N1318" s="7">
        <v>9.6300000000000008</v>
      </c>
      <c r="O1318" s="4" t="str">
        <f t="shared" si="60"/>
        <v>dezembro</v>
      </c>
      <c r="P1318" s="4">
        <f t="shared" si="61"/>
        <v>2025</v>
      </c>
      <c r="Q1318" s="4" t="str">
        <f t="shared" si="62"/>
        <v/>
      </c>
      <c r="R1318" t="s">
        <v>24</v>
      </c>
    </row>
    <row r="1319" spans="1:18" x14ac:dyDescent="0.3">
      <c r="A1319" s="1" t="d">
        <v>2025-12-14</v>
      </c>
      <c r="B1319">
        <v>45511</v>
      </c>
      <c r="C1319" t="str">
        <f>VLOOKUP(Fato_Producao[[#This Row],[referencia]], Dim_Produtos!A:B,2,FALSE)</f>
        <v>lula limpa</v>
      </c>
      <c r="D1319">
        <v>2461</v>
      </c>
      <c r="E1319">
        <v>2255</v>
      </c>
      <c r="F1319" s="5">
        <v>8.3699999999999997E-2</v>
      </c>
      <c r="G1319" s="6">
        <v>65.92</v>
      </c>
      <c r="H1319">
        <v>21</v>
      </c>
      <c r="I1319">
        <v>181</v>
      </c>
      <c r="J1319">
        <v>4</v>
      </c>
      <c r="K1319">
        <f>Fato_Producao[[#This Row],[embalagens_danificadas]]+Fato_Producao[[#This Row],[peso_errado]]+Fato_Producao[[#This Row],[impressao]]</f>
        <v>206</v>
      </c>
      <c r="L1319" s="1" t="d">
        <v>2025-11-28</v>
      </c>
      <c r="M1319">
        <v>16</v>
      </c>
      <c r="N1319" s="7">
        <v>9.23</v>
      </c>
      <c r="O1319" s="4" t="str">
        <f t="shared" si="60"/>
        <v>dezembro</v>
      </c>
      <c r="P1319" s="4">
        <f t="shared" si="61"/>
        <v>2025</v>
      </c>
      <c r="Q1319" s="4" t="str">
        <f t="shared" si="62"/>
        <v/>
      </c>
      <c r="R1319" t="s">
        <v>24</v>
      </c>
    </row>
    <row r="1320" spans="1:18" x14ac:dyDescent="0.3">
      <c r="A1320" s="1" t="d">
        <v>2025-12-15</v>
      </c>
      <c r="B1320">
        <v>45509</v>
      </c>
      <c r="C1320" t="str">
        <f>VLOOKUP(Fato_Producao[[#This Row],[referencia]], Dim_Produtos!A:B,2,FALSE)</f>
        <v>lascas bacalhau</v>
      </c>
      <c r="D1320">
        <v>1945</v>
      </c>
      <c r="E1320">
        <v>1828</v>
      </c>
      <c r="F1320" s="5">
        <v>6.0199999999999997E-2</v>
      </c>
      <c r="G1320" s="6">
        <v>32.76</v>
      </c>
      <c r="H1320">
        <v>9</v>
      </c>
      <c r="I1320">
        <v>107</v>
      </c>
      <c r="J1320">
        <v>1</v>
      </c>
      <c r="K1320">
        <f>Fato_Producao[[#This Row],[embalagens_danificadas]]+Fato_Producao[[#This Row],[peso_errado]]+Fato_Producao[[#This Row],[impressao]]</f>
        <v>117</v>
      </c>
      <c r="L1320" s="1" t="d">
        <v>2025-11-28</v>
      </c>
      <c r="M1320">
        <v>17</v>
      </c>
      <c r="N1320" s="7">
        <v>4.26</v>
      </c>
      <c r="O1320" s="4" t="str">
        <f t="shared" si="60"/>
        <v>dezembro</v>
      </c>
      <c r="P1320" s="4">
        <f t="shared" si="61"/>
        <v>2025</v>
      </c>
      <c r="Q1320" s="4" t="str">
        <f t="shared" si="62"/>
        <v/>
      </c>
      <c r="R1320" t="s">
        <v>24</v>
      </c>
    </row>
    <row r="1321" spans="1:18" x14ac:dyDescent="0.3">
      <c r="A1321" s="1" t="d">
        <v>2025-12-15</v>
      </c>
      <c r="B1321">
        <v>45508</v>
      </c>
      <c r="C1321" t="str">
        <f>VLOOKUP(Fato_Producao[[#This Row],[referencia]], Dim_Produtos!A:B,2,FALSE)</f>
        <v>lula suja</v>
      </c>
      <c r="D1321">
        <v>2181</v>
      </c>
      <c r="E1321">
        <v>1991</v>
      </c>
      <c r="F1321" s="5">
        <v>8.7099999999999997E-2</v>
      </c>
      <c r="G1321" s="6">
        <v>60.8</v>
      </c>
      <c r="H1321">
        <v>22</v>
      </c>
      <c r="I1321">
        <v>163</v>
      </c>
      <c r="J1321">
        <v>5</v>
      </c>
      <c r="K1321">
        <f>Fato_Producao[[#This Row],[embalagens_danificadas]]+Fato_Producao[[#This Row],[peso_errado]]+Fato_Producao[[#This Row],[impressao]]</f>
        <v>190</v>
      </c>
      <c r="L1321" s="1" t="d">
        <v>2025-11-28</v>
      </c>
      <c r="M1321">
        <v>17</v>
      </c>
      <c r="N1321" s="7">
        <v>8.51</v>
      </c>
      <c r="O1321" s="4" t="str">
        <f t="shared" si="60"/>
        <v>dezembro</v>
      </c>
      <c r="P1321" s="4">
        <f t="shared" si="61"/>
        <v>2025</v>
      </c>
      <c r="Q1321" s="4" t="str">
        <f t="shared" si="62"/>
        <v/>
      </c>
      <c r="R1321" t="s">
        <v>24</v>
      </c>
    </row>
    <row r="1322" spans="1:18" x14ac:dyDescent="0.3">
      <c r="A1322" s="1" t="d">
        <v>2025-12-16</v>
      </c>
      <c r="B1322">
        <v>45504</v>
      </c>
      <c r="C1322" t="str">
        <f>VLOOKUP(Fato_Producao[[#This Row],[referencia]], Dim_Produtos!A:B,2,FALSE)</f>
        <v>pescada posta fritar</v>
      </c>
      <c r="D1322">
        <v>3159</v>
      </c>
      <c r="E1322">
        <v>2938</v>
      </c>
      <c r="F1322" s="5">
        <v>7.0000000000000007E-2</v>
      </c>
      <c r="G1322" s="6">
        <v>70.72</v>
      </c>
      <c r="H1322">
        <v>16</v>
      </c>
      <c r="I1322">
        <v>202</v>
      </c>
      <c r="J1322">
        <v>3</v>
      </c>
      <c r="K1322">
        <f>Fato_Producao[[#This Row],[embalagens_danificadas]]+Fato_Producao[[#This Row],[peso_errado]]+Fato_Producao[[#This Row],[impressao]]</f>
        <v>221</v>
      </c>
      <c r="L1322" s="1" t="d">
        <v>2025-11-28</v>
      </c>
      <c r="M1322">
        <v>18</v>
      </c>
      <c r="N1322" s="7">
        <v>9.9</v>
      </c>
      <c r="O1322" s="4" t="str">
        <f t="shared" si="60"/>
        <v>dezembro</v>
      </c>
      <c r="P1322" s="4">
        <f t="shared" si="61"/>
        <v>2025</v>
      </c>
      <c r="Q1322" s="4" t="str">
        <f t="shared" si="62"/>
        <v/>
      </c>
      <c r="R1322" t="s">
        <v>24</v>
      </c>
    </row>
    <row r="1323" spans="1:18" x14ac:dyDescent="0.3">
      <c r="A1323" s="1" t="d">
        <v>2025-12-17</v>
      </c>
      <c r="B1323">
        <v>45504</v>
      </c>
      <c r="C1323" t="str">
        <f>VLOOKUP(Fato_Producao[[#This Row],[referencia]], Dim_Produtos!A:B,2,FALSE)</f>
        <v>pescada posta fritar</v>
      </c>
      <c r="D1323">
        <v>3700</v>
      </c>
      <c r="E1323">
        <v>3391</v>
      </c>
      <c r="F1323" s="5">
        <v>8.3500000000000005E-2</v>
      </c>
      <c r="G1323" s="6">
        <v>98.88</v>
      </c>
      <c r="H1323">
        <v>17</v>
      </c>
      <c r="I1323">
        <v>287</v>
      </c>
      <c r="J1323">
        <v>5</v>
      </c>
      <c r="K1323">
        <f>Fato_Producao[[#This Row],[embalagens_danificadas]]+Fato_Producao[[#This Row],[peso_errado]]+Fato_Producao[[#This Row],[impressao]]</f>
        <v>309</v>
      </c>
      <c r="L1323" s="1" t="d">
        <v>2025-11-28</v>
      </c>
      <c r="M1323">
        <v>19</v>
      </c>
      <c r="N1323" s="7">
        <v>13.84</v>
      </c>
      <c r="O1323" s="4" t="str">
        <f t="shared" si="60"/>
        <v>dezembro</v>
      </c>
      <c r="P1323" s="4">
        <f t="shared" si="61"/>
        <v>2025</v>
      </c>
      <c r="Q1323" s="4" t="str">
        <f t="shared" si="62"/>
        <v/>
      </c>
      <c r="R1323" t="s">
        <v>24</v>
      </c>
    </row>
    <row r="1324" spans="1:18" x14ac:dyDescent="0.3">
      <c r="A1324" s="1" t="d">
        <v>2025-12-17</v>
      </c>
      <c r="B1324">
        <v>45507</v>
      </c>
      <c r="C1324" t="str">
        <f>VLOOKUP(Fato_Producao[[#This Row],[referencia]], Dim_Produtos!A:B,2,FALSE)</f>
        <v>salmao posta</v>
      </c>
      <c r="D1324">
        <v>2258</v>
      </c>
      <c r="E1324">
        <v>2104</v>
      </c>
      <c r="F1324" s="5">
        <v>6.8199999999999997E-2</v>
      </c>
      <c r="G1324" s="6">
        <v>53.9</v>
      </c>
      <c r="H1324">
        <v>11</v>
      </c>
      <c r="I1324">
        <v>141</v>
      </c>
      <c r="J1324">
        <v>2</v>
      </c>
      <c r="K1324">
        <f>Fato_Producao[[#This Row],[embalagens_danificadas]]+Fato_Producao[[#This Row],[peso_errado]]+Fato_Producao[[#This Row],[impressao]]</f>
        <v>154</v>
      </c>
      <c r="L1324" s="1" t="d">
        <v>2025-11-28</v>
      </c>
      <c r="M1324">
        <v>19</v>
      </c>
      <c r="N1324" s="7">
        <v>8.6199999999999992</v>
      </c>
      <c r="O1324" s="4" t="str">
        <f t="shared" si="60"/>
        <v>dezembro</v>
      </c>
      <c r="P1324" s="4">
        <f t="shared" si="61"/>
        <v>2025</v>
      </c>
      <c r="Q1324" s="4" t="str">
        <f t="shared" si="62"/>
        <v/>
      </c>
      <c r="R1324" t="s">
        <v>24</v>
      </c>
    </row>
    <row r="1325" spans="1:18" x14ac:dyDescent="0.3">
      <c r="A1325" s="1" t="d">
        <v>2025-12-18</v>
      </c>
      <c r="B1325">
        <v>45509</v>
      </c>
      <c r="C1325" t="str">
        <f>VLOOKUP(Fato_Producao[[#This Row],[referencia]], Dim_Produtos!A:B,2,FALSE)</f>
        <v>lascas bacalhau</v>
      </c>
      <c r="D1325">
        <v>2216</v>
      </c>
      <c r="E1325">
        <v>2097</v>
      </c>
      <c r="F1325" s="5">
        <v>5.3699999999999998E-2</v>
      </c>
      <c r="G1325" s="6">
        <v>33.32</v>
      </c>
      <c r="H1325">
        <v>5</v>
      </c>
      <c r="I1325">
        <v>113</v>
      </c>
      <c r="J1325">
        <v>1</v>
      </c>
      <c r="K1325">
        <f>Fato_Producao[[#This Row],[embalagens_danificadas]]+Fato_Producao[[#This Row],[peso_errado]]+Fato_Producao[[#This Row],[impressao]]</f>
        <v>119</v>
      </c>
      <c r="L1325" s="1" t="d">
        <v>2025-11-28</v>
      </c>
      <c r="M1325">
        <v>20</v>
      </c>
      <c r="N1325" s="7">
        <v>4.33</v>
      </c>
      <c r="O1325" s="4" t="str">
        <f t="shared" si="60"/>
        <v>dezembro</v>
      </c>
      <c r="P1325" s="4">
        <f t="shared" si="61"/>
        <v>2025</v>
      </c>
      <c r="Q1325" s="4" t="str">
        <f t="shared" si="62"/>
        <v/>
      </c>
      <c r="R1325" t="s">
        <v>24</v>
      </c>
    </row>
    <row r="1326" spans="1:18" x14ac:dyDescent="0.3">
      <c r="A1326" s="1" t="d">
        <v>2025-12-19</v>
      </c>
      <c r="B1326">
        <v>45511</v>
      </c>
      <c r="C1326" t="str">
        <f>VLOOKUP(Fato_Producao[[#This Row],[referencia]], Dim_Produtos!A:B,2,FALSE)</f>
        <v>lula limpa</v>
      </c>
      <c r="D1326">
        <v>2620</v>
      </c>
      <c r="E1326">
        <v>2400</v>
      </c>
      <c r="F1326" s="5">
        <v>8.4000000000000005E-2</v>
      </c>
      <c r="G1326" s="6">
        <v>70.400000000000006</v>
      </c>
      <c r="H1326">
        <v>23</v>
      </c>
      <c r="I1326">
        <v>194</v>
      </c>
      <c r="J1326">
        <v>3</v>
      </c>
      <c r="K1326">
        <f>Fato_Producao[[#This Row],[embalagens_danificadas]]+Fato_Producao[[#This Row],[peso_errado]]+Fato_Producao[[#This Row],[impressao]]</f>
        <v>220</v>
      </c>
      <c r="L1326" s="1" t="d">
        <v>2025-11-28</v>
      </c>
      <c r="M1326">
        <v>21</v>
      </c>
      <c r="N1326" s="7">
        <v>9.86</v>
      </c>
      <c r="O1326" s="4" t="str">
        <f t="shared" si="60"/>
        <v>dezembro</v>
      </c>
      <c r="P1326" s="4">
        <f t="shared" si="61"/>
        <v>2025</v>
      </c>
      <c r="Q1326" s="4" t="str">
        <f t="shared" si="62"/>
        <v/>
      </c>
      <c r="R1326" t="s">
        <v>24</v>
      </c>
    </row>
    <row r="1327" spans="1:18" x14ac:dyDescent="0.3">
      <c r="A1327" s="1" t="d">
        <v>2025-12-19</v>
      </c>
      <c r="B1327">
        <v>45504</v>
      </c>
      <c r="C1327" t="str">
        <f>VLOOKUP(Fato_Producao[[#This Row],[referencia]], Dim_Produtos!A:B,2,FALSE)</f>
        <v>pescada posta fritar</v>
      </c>
      <c r="D1327">
        <v>1956</v>
      </c>
      <c r="E1327">
        <v>1801</v>
      </c>
      <c r="F1327" s="5">
        <v>7.9200000000000007E-2</v>
      </c>
      <c r="G1327" s="6">
        <v>49.6</v>
      </c>
      <c r="H1327">
        <v>9</v>
      </c>
      <c r="I1327">
        <v>142</v>
      </c>
      <c r="J1327">
        <v>4</v>
      </c>
      <c r="K1327">
        <f>Fato_Producao[[#This Row],[embalagens_danificadas]]+Fato_Producao[[#This Row],[peso_errado]]+Fato_Producao[[#This Row],[impressao]]</f>
        <v>155</v>
      </c>
      <c r="L1327" s="1" t="d">
        <v>2025-11-28</v>
      </c>
      <c r="M1327">
        <v>21</v>
      </c>
      <c r="N1327" s="7">
        <v>6.94</v>
      </c>
      <c r="O1327" s="4" t="str">
        <f t="shared" si="60"/>
        <v>dezembro</v>
      </c>
      <c r="P1327" s="4">
        <f t="shared" si="61"/>
        <v>2025</v>
      </c>
      <c r="Q1327" s="4" t="str">
        <f t="shared" si="62"/>
        <v/>
      </c>
      <c r="R1327" t="s">
        <v>24</v>
      </c>
    </row>
    <row r="1328" spans="1:18" x14ac:dyDescent="0.3">
      <c r="A1328" s="1" t="d">
        <v>2025-12-20</v>
      </c>
      <c r="B1328">
        <v>45503</v>
      </c>
      <c r="C1328" t="str">
        <f>VLOOKUP(Fato_Producao[[#This Row],[referencia]], Dim_Produtos!A:B,2,FALSE)</f>
        <v>sardinha pequena</v>
      </c>
      <c r="D1328">
        <v>2391</v>
      </c>
      <c r="E1328">
        <v>2195</v>
      </c>
      <c r="F1328" s="5">
        <v>8.2000000000000003E-2</v>
      </c>
      <c r="G1328" s="6">
        <v>50.96</v>
      </c>
      <c r="H1328">
        <v>8</v>
      </c>
      <c r="I1328">
        <v>183</v>
      </c>
      <c r="J1328">
        <v>5</v>
      </c>
      <c r="K1328">
        <f>Fato_Producao[[#This Row],[embalagens_danificadas]]+Fato_Producao[[#This Row],[peso_errado]]+Fato_Producao[[#This Row],[impressao]]</f>
        <v>196</v>
      </c>
      <c r="L1328" s="1" t="d">
        <v>2025-11-28</v>
      </c>
      <c r="M1328">
        <v>22</v>
      </c>
      <c r="N1328" s="7">
        <v>5.61</v>
      </c>
      <c r="O1328" s="4" t="str">
        <f t="shared" si="60"/>
        <v>dezembro</v>
      </c>
      <c r="P1328" s="4">
        <f t="shared" si="61"/>
        <v>2025</v>
      </c>
      <c r="Q1328" s="4" t="str">
        <f t="shared" si="62"/>
        <v/>
      </c>
      <c r="R1328" t="s">
        <v>24</v>
      </c>
    </row>
    <row r="1329" spans="1:18" x14ac:dyDescent="0.3">
      <c r="A1329" s="1" t="d">
        <v>2025-12-21</v>
      </c>
      <c r="B1329">
        <v>45505</v>
      </c>
      <c r="C1329" t="str">
        <f>VLOOKUP(Fato_Producao[[#This Row],[referencia]], Dim_Produtos!A:B,2,FALSE)</f>
        <v>camarao</v>
      </c>
      <c r="D1329">
        <v>3400</v>
      </c>
      <c r="E1329">
        <v>3252</v>
      </c>
      <c r="F1329" s="5">
        <v>4.3499999999999997E-2</v>
      </c>
      <c r="G1329" s="6">
        <v>44.4</v>
      </c>
      <c r="H1329">
        <v>41</v>
      </c>
      <c r="I1329">
        <v>103</v>
      </c>
      <c r="J1329">
        <v>4</v>
      </c>
      <c r="K1329">
        <f>Fato_Producao[[#This Row],[embalagens_danificadas]]+Fato_Producao[[#This Row],[peso_errado]]+Fato_Producao[[#This Row],[impressao]]</f>
        <v>148</v>
      </c>
      <c r="L1329" s="1" t="d">
        <v>2025-11-28</v>
      </c>
      <c r="M1329">
        <v>23</v>
      </c>
      <c r="N1329" s="7">
        <v>6.66</v>
      </c>
      <c r="O1329" s="4" t="str">
        <f t="shared" si="60"/>
        <v>dezembro</v>
      </c>
      <c r="P1329" s="4">
        <f t="shared" si="61"/>
        <v>2025</v>
      </c>
      <c r="Q1329" s="4" t="str">
        <f t="shared" si="62"/>
        <v/>
      </c>
      <c r="R1329" t="s">
        <v>24</v>
      </c>
    </row>
    <row r="1330" spans="1:18" x14ac:dyDescent="0.3">
      <c r="A1330" s="1" t="d">
        <v>2025-12-21</v>
      </c>
      <c r="B1330">
        <v>45501</v>
      </c>
      <c r="C1330" t="str">
        <f>VLOOKUP(Fato_Producao[[#This Row],[referencia]], Dim_Produtos!A:B,2,FALSE)</f>
        <v>pescada posta cozer</v>
      </c>
      <c r="D1330">
        <v>1898</v>
      </c>
      <c r="E1330">
        <v>1802</v>
      </c>
      <c r="F1330" s="5">
        <v>5.0599999999999999E-2</v>
      </c>
      <c r="G1330" s="6">
        <v>30.72</v>
      </c>
      <c r="H1330">
        <v>5</v>
      </c>
      <c r="I1330">
        <v>90</v>
      </c>
      <c r="J1330">
        <v>1</v>
      </c>
      <c r="K1330">
        <f>Fato_Producao[[#This Row],[embalagens_danificadas]]+Fato_Producao[[#This Row],[peso_errado]]+Fato_Producao[[#This Row],[impressao]]</f>
        <v>96</v>
      </c>
      <c r="L1330" s="1" t="d">
        <v>2025-11-28</v>
      </c>
      <c r="M1330">
        <v>23</v>
      </c>
      <c r="N1330" s="7">
        <v>4.3</v>
      </c>
      <c r="O1330" s="4" t="str">
        <f t="shared" si="60"/>
        <v>dezembro</v>
      </c>
      <c r="P1330" s="4">
        <f t="shared" si="61"/>
        <v>2025</v>
      </c>
      <c r="Q1330" s="4" t="str">
        <f t="shared" si="62"/>
        <v/>
      </c>
      <c r="R1330" t="s">
        <v>24</v>
      </c>
    </row>
    <row r="1331" spans="1:18" x14ac:dyDescent="0.3">
      <c r="A1331" s="1" t="d">
        <v>2025-12-22</v>
      </c>
      <c r="B1331">
        <v>45512</v>
      </c>
      <c r="C1331" t="str">
        <f>VLOOKUP(Fato_Producao[[#This Row],[referencia]], Dim_Produtos!A:B,2,FALSE)</f>
        <v>red-fish posta</v>
      </c>
      <c r="D1331">
        <v>2868</v>
      </c>
      <c r="E1331">
        <v>2698</v>
      </c>
      <c r="F1331" s="5">
        <v>5.9299999999999999E-2</v>
      </c>
      <c r="G1331" s="6">
        <v>57.8</v>
      </c>
      <c r="H1331">
        <v>10</v>
      </c>
      <c r="I1331">
        <v>155</v>
      </c>
      <c r="J1331">
        <v>5</v>
      </c>
      <c r="K1331">
        <f>Fato_Producao[[#This Row],[embalagens_danificadas]]+Fato_Producao[[#This Row],[peso_errado]]+Fato_Producao[[#This Row],[impressao]]</f>
        <v>170</v>
      </c>
      <c r="L1331" s="1" t="d">
        <v>2025-11-28</v>
      </c>
      <c r="M1331">
        <v>24</v>
      </c>
      <c r="N1331" s="7">
        <v>8.09</v>
      </c>
      <c r="O1331" s="4" t="str">
        <f t="shared" si="60"/>
        <v>dezembro</v>
      </c>
      <c r="P1331" s="4">
        <f t="shared" si="61"/>
        <v>2025</v>
      </c>
      <c r="Q1331" s="4" t="str">
        <f t="shared" si="62"/>
        <v/>
      </c>
      <c r="R1331" t="s">
        <v>24</v>
      </c>
    </row>
    <row r="1332" spans="1:18" x14ac:dyDescent="0.3">
      <c r="A1332" s="1" t="d">
        <v>2025-12-23</v>
      </c>
      <c r="B1332">
        <v>45505</v>
      </c>
      <c r="C1332" t="str">
        <f>VLOOKUP(Fato_Producao[[#This Row],[referencia]], Dim_Produtos!A:B,2,FALSE)</f>
        <v>camarao</v>
      </c>
      <c r="D1332">
        <v>4019</v>
      </c>
      <c r="E1332">
        <v>3765</v>
      </c>
      <c r="F1332" s="5">
        <v>6.3200000000000006E-2</v>
      </c>
      <c r="G1332" s="6">
        <v>76.2</v>
      </c>
      <c r="H1332">
        <v>80</v>
      </c>
      <c r="I1332">
        <v>166</v>
      </c>
      <c r="J1332">
        <v>8</v>
      </c>
      <c r="K1332">
        <f>Fato_Producao[[#This Row],[embalagens_danificadas]]+Fato_Producao[[#This Row],[peso_errado]]+Fato_Producao[[#This Row],[impressao]]</f>
        <v>254</v>
      </c>
      <c r="L1332" s="1" t="d">
        <v>2025-11-28</v>
      </c>
      <c r="M1332">
        <v>25</v>
      </c>
      <c r="N1332" s="7">
        <v>11.43</v>
      </c>
      <c r="O1332" s="4" t="str">
        <f t="shared" si="60"/>
        <v>dezembro</v>
      </c>
      <c r="P1332" s="4">
        <f t="shared" si="61"/>
        <v>2025</v>
      </c>
      <c r="Q1332" s="4" t="str">
        <f t="shared" si="62"/>
        <v/>
      </c>
      <c r="R1332" t="s">
        <v>24</v>
      </c>
    </row>
    <row r="1333" spans="1:18" x14ac:dyDescent="0.3">
      <c r="A1333" s="1" t="d">
        <v>2025-12-23</v>
      </c>
      <c r="B1333">
        <v>45507</v>
      </c>
      <c r="C1333" t="str">
        <f>VLOOKUP(Fato_Producao[[#This Row],[referencia]], Dim_Produtos!A:B,2,FALSE)</f>
        <v>salmao posta</v>
      </c>
      <c r="D1333">
        <v>2842</v>
      </c>
      <c r="E1333">
        <v>2634</v>
      </c>
      <c r="F1333" s="5">
        <v>7.3200000000000001E-2</v>
      </c>
      <c r="G1333" s="6">
        <v>72.8</v>
      </c>
      <c r="H1333">
        <v>15</v>
      </c>
      <c r="I1333">
        <v>191</v>
      </c>
      <c r="J1333">
        <v>2</v>
      </c>
      <c r="K1333">
        <f>Fato_Producao[[#This Row],[embalagens_danificadas]]+Fato_Producao[[#This Row],[peso_errado]]+Fato_Producao[[#This Row],[impressao]]</f>
        <v>208</v>
      </c>
      <c r="L1333" s="1" t="d">
        <v>2025-11-28</v>
      </c>
      <c r="M1333">
        <v>25</v>
      </c>
      <c r="N1333" s="7">
        <v>11.65</v>
      </c>
      <c r="O1333" s="4" t="str">
        <f t="shared" si="60"/>
        <v>dezembro</v>
      </c>
      <c r="P1333" s="4">
        <f t="shared" si="61"/>
        <v>2025</v>
      </c>
      <c r="Q1333" s="4" t="str">
        <f t="shared" si="62"/>
        <v/>
      </c>
      <c r="R1333" t="s">
        <v>24</v>
      </c>
    </row>
    <row r="1334" spans="1:18" x14ac:dyDescent="0.3">
      <c r="A1334" s="1" t="d">
        <v>2025-12-24</v>
      </c>
      <c r="B1334">
        <v>45507</v>
      </c>
      <c r="C1334" t="str">
        <f>VLOOKUP(Fato_Producao[[#This Row],[referencia]], Dim_Produtos!A:B,2,FALSE)</f>
        <v>salmao posta</v>
      </c>
      <c r="D1334">
        <v>4068</v>
      </c>
      <c r="E1334">
        <v>3778</v>
      </c>
      <c r="F1334" s="5">
        <v>7.1300000000000002E-2</v>
      </c>
      <c r="G1334" s="6">
        <v>101.5</v>
      </c>
      <c r="H1334">
        <v>12</v>
      </c>
      <c r="I1334">
        <v>272</v>
      </c>
      <c r="J1334">
        <v>6</v>
      </c>
      <c r="K1334">
        <f>Fato_Producao[[#This Row],[embalagens_danificadas]]+Fato_Producao[[#This Row],[peso_errado]]+Fato_Producao[[#This Row],[impressao]]</f>
        <v>290</v>
      </c>
      <c r="L1334" s="1" t="d">
        <v>2025-11-28</v>
      </c>
      <c r="M1334">
        <v>26</v>
      </c>
      <c r="N1334" s="7">
        <v>16.239999999999998</v>
      </c>
      <c r="O1334" s="4" t="str">
        <f t="shared" si="60"/>
        <v>dezembro</v>
      </c>
      <c r="P1334" s="4">
        <f t="shared" si="61"/>
        <v>2025</v>
      </c>
      <c r="Q1334" s="4" t="str">
        <f t="shared" si="62"/>
        <v/>
      </c>
      <c r="R1334" t="s">
        <v>24</v>
      </c>
    </row>
    <row r="1335" spans="1:18" x14ac:dyDescent="0.3">
      <c r="A1335" s="1" t="d">
        <v>2025-12-24</v>
      </c>
      <c r="B1335">
        <v>45503</v>
      </c>
      <c r="C1335" t="str">
        <f>VLOOKUP(Fato_Producao[[#This Row],[referencia]], Dim_Produtos!A:B,2,FALSE)</f>
        <v>sardinha pequena</v>
      </c>
      <c r="D1335">
        <v>3214</v>
      </c>
      <c r="E1335">
        <v>2974</v>
      </c>
      <c r="F1335" s="5">
        <v>7.4700000000000003E-2</v>
      </c>
      <c r="G1335" s="6">
        <v>62.4</v>
      </c>
      <c r="H1335">
        <v>19</v>
      </c>
      <c r="I1335">
        <v>219</v>
      </c>
      <c r="J1335">
        <v>2</v>
      </c>
      <c r="K1335">
        <f>Fato_Producao[[#This Row],[embalagens_danificadas]]+Fato_Producao[[#This Row],[peso_errado]]+Fato_Producao[[#This Row],[impressao]]</f>
        <v>240</v>
      </c>
      <c r="L1335" s="1" t="d">
        <v>2025-11-28</v>
      </c>
      <c r="M1335">
        <v>26</v>
      </c>
      <c r="N1335" s="7">
        <v>6.86</v>
      </c>
      <c r="O1335" s="4" t="str">
        <f t="shared" si="60"/>
        <v>dezembro</v>
      </c>
      <c r="P1335" s="4">
        <f t="shared" si="61"/>
        <v>2025</v>
      </c>
      <c r="Q1335" s="4" t="str">
        <f t="shared" si="62"/>
        <v/>
      </c>
      <c r="R1335" t="s">
        <v>24</v>
      </c>
    </row>
    <row r="1336" spans="1:18" x14ac:dyDescent="0.3">
      <c r="A1336" s="1" t="d">
        <v>2025-12-25</v>
      </c>
      <c r="B1336">
        <v>45503</v>
      </c>
      <c r="C1336" t="str">
        <f>VLOOKUP(Fato_Producao[[#This Row],[referencia]], Dim_Produtos!A:B,2,FALSE)</f>
        <v>sardinha pequena</v>
      </c>
      <c r="D1336">
        <v>2554</v>
      </c>
      <c r="E1336">
        <v>2370</v>
      </c>
      <c r="F1336" s="5">
        <v>7.1999999999999995E-2</v>
      </c>
      <c r="G1336" s="6">
        <v>47.84</v>
      </c>
      <c r="H1336">
        <v>7</v>
      </c>
      <c r="I1336">
        <v>174</v>
      </c>
      <c r="J1336">
        <v>3</v>
      </c>
      <c r="K1336">
        <f>Fato_Producao[[#This Row],[embalagens_danificadas]]+Fato_Producao[[#This Row],[peso_errado]]+Fato_Producao[[#This Row],[impressao]]</f>
        <v>184</v>
      </c>
      <c r="L1336" s="1" t="d">
        <v>2025-11-28</v>
      </c>
      <c r="M1336">
        <v>27</v>
      </c>
      <c r="N1336" s="7">
        <v>5.26</v>
      </c>
      <c r="O1336" s="4" t="str">
        <f t="shared" si="60"/>
        <v>dezembro</v>
      </c>
      <c r="P1336" s="4">
        <f t="shared" si="61"/>
        <v>2025</v>
      </c>
      <c r="Q1336" s="4" t="str">
        <f t="shared" si="62"/>
        <v/>
      </c>
      <c r="R1336" t="s">
        <v>24</v>
      </c>
    </row>
    <row r="1337" spans="1:18" x14ac:dyDescent="0.3">
      <c r="A1337" s="1" t="d">
        <v>2025-12-25</v>
      </c>
      <c r="B1337">
        <v>45503</v>
      </c>
      <c r="C1337" t="str">
        <f>VLOOKUP(Fato_Producao[[#This Row],[referencia]], Dim_Produtos!A:B,2,FALSE)</f>
        <v>sardinha pequena</v>
      </c>
      <c r="D1337">
        <v>3477</v>
      </c>
      <c r="E1337">
        <v>3190</v>
      </c>
      <c r="F1337" s="5">
        <v>8.2500000000000004E-2</v>
      </c>
      <c r="G1337" s="6">
        <v>74.62</v>
      </c>
      <c r="H1337">
        <v>8</v>
      </c>
      <c r="I1337">
        <v>274</v>
      </c>
      <c r="J1337">
        <v>5</v>
      </c>
      <c r="K1337">
        <f>Fato_Producao[[#This Row],[embalagens_danificadas]]+Fato_Producao[[#This Row],[peso_errado]]+Fato_Producao[[#This Row],[impressao]]</f>
        <v>287</v>
      </c>
      <c r="L1337" s="1" t="d">
        <v>2025-11-28</v>
      </c>
      <c r="M1337">
        <v>27</v>
      </c>
      <c r="N1337" s="7">
        <v>8.2100000000000009</v>
      </c>
      <c r="O1337" s="4" t="str">
        <f t="shared" si="60"/>
        <v>dezembro</v>
      </c>
      <c r="P1337" s="4">
        <f t="shared" si="61"/>
        <v>2025</v>
      </c>
      <c r="Q1337" s="4" t="str">
        <f t="shared" si="62"/>
        <v/>
      </c>
      <c r="R1337" t="s">
        <v>24</v>
      </c>
    </row>
    <row r="1338" spans="1:18" x14ac:dyDescent="0.3">
      <c r="A1338" s="1" t="d">
        <v>2025-12-26</v>
      </c>
      <c r="B1338">
        <v>45507</v>
      </c>
      <c r="C1338" t="str">
        <f>VLOOKUP(Fato_Producao[[#This Row],[referencia]], Dim_Produtos!A:B,2,FALSE)</f>
        <v>salmao posta</v>
      </c>
      <c r="D1338">
        <v>2874</v>
      </c>
      <c r="E1338">
        <v>2687</v>
      </c>
      <c r="F1338" s="5">
        <v>6.5100000000000005E-2</v>
      </c>
      <c r="G1338" s="6">
        <v>65.45</v>
      </c>
      <c r="H1338">
        <v>12</v>
      </c>
      <c r="I1338">
        <v>172</v>
      </c>
      <c r="J1338">
        <v>3</v>
      </c>
      <c r="K1338">
        <f>Fato_Producao[[#This Row],[embalagens_danificadas]]+Fato_Producao[[#This Row],[peso_errado]]+Fato_Producao[[#This Row],[impressao]]</f>
        <v>187</v>
      </c>
      <c r="L1338" s="1" t="d">
        <v>2025-11-28</v>
      </c>
      <c r="M1338">
        <v>28</v>
      </c>
      <c r="N1338" s="7">
        <v>10.47</v>
      </c>
      <c r="O1338" s="4" t="str">
        <f t="shared" si="60"/>
        <v>dezembro</v>
      </c>
      <c r="P1338" s="4">
        <f t="shared" si="61"/>
        <v>2025</v>
      </c>
      <c r="Q1338" s="4" t="str">
        <f t="shared" si="62"/>
        <v/>
      </c>
      <c r="R1338" t="s">
        <v>24</v>
      </c>
    </row>
    <row r="1339" spans="1:18" x14ac:dyDescent="0.3">
      <c r="A1339" s="1" t="d">
        <v>2025-12-26</v>
      </c>
      <c r="B1339">
        <v>45514</v>
      </c>
      <c r="C1339" t="str">
        <f>VLOOKUP(Fato_Producao[[#This Row],[referencia]], Dim_Produtos!A:B,2,FALSE)</f>
        <v>sardinha pequena</v>
      </c>
      <c r="D1339">
        <v>3298</v>
      </c>
      <c r="E1339">
        <v>3081</v>
      </c>
      <c r="F1339" s="5">
        <v>6.5799999999999997E-2</v>
      </c>
      <c r="G1339" s="6">
        <v>65.099999999999994</v>
      </c>
      <c r="H1339">
        <v>14</v>
      </c>
      <c r="I1339">
        <v>198</v>
      </c>
      <c r="J1339">
        <v>5</v>
      </c>
      <c r="K1339">
        <f>Fato_Producao[[#This Row],[embalagens_danificadas]]+Fato_Producao[[#This Row],[peso_errado]]+Fato_Producao[[#This Row],[impressao]]</f>
        <v>217</v>
      </c>
      <c r="L1339" s="1" t="d">
        <v>2025-11-28</v>
      </c>
      <c r="M1339">
        <v>28</v>
      </c>
      <c r="N1339" s="7">
        <v>7.81</v>
      </c>
      <c r="O1339" s="4" t="str">
        <f t="shared" si="60"/>
        <v>dezembro</v>
      </c>
      <c r="P1339" s="4">
        <f t="shared" si="61"/>
        <v>2025</v>
      </c>
      <c r="Q1339" s="4" t="str">
        <f t="shared" si="62"/>
        <v/>
      </c>
      <c r="R1339" t="s">
        <v>24</v>
      </c>
    </row>
    <row r="1340" spans="1:18" x14ac:dyDescent="0.3">
      <c r="A1340" s="1" t="d">
        <v>2025-12-27</v>
      </c>
      <c r="B1340">
        <v>45511</v>
      </c>
      <c r="C1340" t="str">
        <f>VLOOKUP(Fato_Producao[[#This Row],[referencia]], Dim_Produtos!A:B,2,FALSE)</f>
        <v>lula limpa</v>
      </c>
      <c r="D1340">
        <v>2592</v>
      </c>
      <c r="E1340">
        <v>2346</v>
      </c>
      <c r="F1340" s="5">
        <v>9.4899999999999998E-2</v>
      </c>
      <c r="G1340" s="6">
        <v>78.72</v>
      </c>
      <c r="H1340">
        <v>37</v>
      </c>
      <c r="I1340">
        <v>205</v>
      </c>
      <c r="J1340">
        <v>4</v>
      </c>
      <c r="K1340">
        <f>Fato_Producao[[#This Row],[embalagens_danificadas]]+Fato_Producao[[#This Row],[peso_errado]]+Fato_Producao[[#This Row],[impressao]]</f>
        <v>246</v>
      </c>
      <c r="L1340" s="1" t="d">
        <v>2025-11-28</v>
      </c>
      <c r="M1340">
        <v>29</v>
      </c>
      <c r="N1340" s="7">
        <v>11.02</v>
      </c>
      <c r="O1340" s="4" t="str">
        <f t="shared" si="60"/>
        <v>dezembro</v>
      </c>
      <c r="P1340" s="4">
        <f t="shared" si="61"/>
        <v>2025</v>
      </c>
      <c r="Q1340" s="4" t="str">
        <f t="shared" si="62"/>
        <v/>
      </c>
      <c r="R1340" t="s">
        <v>24</v>
      </c>
    </row>
    <row r="1341" spans="1:18" x14ac:dyDescent="0.3">
      <c r="A1341" s="1" t="d">
        <v>2025-12-28</v>
      </c>
      <c r="B1341">
        <v>45501</v>
      </c>
      <c r="C1341" t="str">
        <f>VLOOKUP(Fato_Producao[[#This Row],[referencia]], Dim_Produtos!A:B,2,FALSE)</f>
        <v>pescada posta cozer</v>
      </c>
      <c r="D1341">
        <v>3982</v>
      </c>
      <c r="E1341">
        <v>3745</v>
      </c>
      <c r="F1341" s="5">
        <v>5.9499999999999997E-2</v>
      </c>
      <c r="G1341" s="6">
        <v>75.84</v>
      </c>
      <c r="H1341">
        <v>8</v>
      </c>
      <c r="I1341">
        <v>223</v>
      </c>
      <c r="J1341">
        <v>6</v>
      </c>
      <c r="K1341">
        <f>Fato_Producao[[#This Row],[embalagens_danificadas]]+Fato_Producao[[#This Row],[peso_errado]]+Fato_Producao[[#This Row],[impressao]]</f>
        <v>237</v>
      </c>
      <c r="L1341" s="1" t="d">
        <v>2025-11-28</v>
      </c>
      <c r="M1341">
        <v>30</v>
      </c>
      <c r="N1341" s="7">
        <v>10.62</v>
      </c>
      <c r="O1341" s="4" t="str">
        <f t="shared" si="60"/>
        <v>dezembro</v>
      </c>
      <c r="P1341" s="4">
        <f t="shared" si="61"/>
        <v>2025</v>
      </c>
      <c r="Q1341" s="4" t="str">
        <f t="shared" si="62"/>
        <v/>
      </c>
      <c r="R1341" t="s">
        <v>24</v>
      </c>
    </row>
    <row r="1342" spans="1:18" x14ac:dyDescent="0.3">
      <c r="A1342" s="1" t="d">
        <v>2025-12-29</v>
      </c>
      <c r="B1342">
        <v>45507</v>
      </c>
      <c r="C1342" t="str">
        <f>VLOOKUP(Fato_Producao[[#This Row],[referencia]], Dim_Produtos!A:B,2,FALSE)</f>
        <v>salmao posta</v>
      </c>
      <c r="D1342">
        <v>2879</v>
      </c>
      <c r="E1342">
        <v>2707</v>
      </c>
      <c r="F1342" s="5">
        <v>5.9700000000000003E-2</v>
      </c>
      <c r="G1342" s="6">
        <v>60.2</v>
      </c>
      <c r="H1342">
        <v>10</v>
      </c>
      <c r="I1342">
        <v>158</v>
      </c>
      <c r="J1342">
        <v>4</v>
      </c>
      <c r="K1342">
        <f>Fato_Producao[[#This Row],[embalagens_danificadas]]+Fato_Producao[[#This Row],[peso_errado]]+Fato_Producao[[#This Row],[impressao]]</f>
        <v>172</v>
      </c>
      <c r="L1342" s="1" t="d">
        <v>2025-11-28</v>
      </c>
      <c r="M1342">
        <v>31</v>
      </c>
      <c r="N1342" s="7">
        <v>9.6300000000000008</v>
      </c>
      <c r="O1342" s="4" t="str">
        <f t="shared" si="60"/>
        <v>dezembro</v>
      </c>
      <c r="P1342" s="4">
        <f t="shared" si="61"/>
        <v>2025</v>
      </c>
      <c r="Q1342" s="4" t="str">
        <f t="shared" si="62"/>
        <v/>
      </c>
      <c r="R1342" t="s">
        <v>24</v>
      </c>
    </row>
    <row r="1343" spans="1:18" x14ac:dyDescent="0.3">
      <c r="A1343" s="1" t="d">
        <v>2025-12-29</v>
      </c>
      <c r="B1343">
        <v>45512</v>
      </c>
      <c r="C1343" t="str">
        <f>VLOOKUP(Fato_Producao[[#This Row],[referencia]], Dim_Produtos!A:B,2,FALSE)</f>
        <v>red-fish posta</v>
      </c>
      <c r="D1343">
        <v>3558</v>
      </c>
      <c r="E1343">
        <v>3294</v>
      </c>
      <c r="F1343" s="5">
        <v>7.4200000000000002E-2</v>
      </c>
      <c r="G1343" s="6">
        <v>89.76</v>
      </c>
      <c r="H1343">
        <v>11</v>
      </c>
      <c r="I1343">
        <v>247</v>
      </c>
      <c r="J1343">
        <v>6</v>
      </c>
      <c r="K1343">
        <f>Fato_Producao[[#This Row],[embalagens_danificadas]]+Fato_Producao[[#This Row],[peso_errado]]+Fato_Producao[[#This Row],[impressao]]</f>
        <v>264</v>
      </c>
      <c r="L1343" s="1" t="d">
        <v>2025-11-28</v>
      </c>
      <c r="M1343">
        <v>31</v>
      </c>
      <c r="N1343" s="7">
        <v>12.57</v>
      </c>
      <c r="O1343" s="4" t="str">
        <f t="shared" si="60"/>
        <v>dezembro</v>
      </c>
      <c r="P1343" s="4">
        <f t="shared" si="61"/>
        <v>2025</v>
      </c>
      <c r="Q1343" s="4" t="str">
        <f t="shared" si="62"/>
        <v/>
      </c>
      <c r="R1343" t="s">
        <v>24</v>
      </c>
    </row>
    <row r="1344" spans="1:18" x14ac:dyDescent="0.3">
      <c r="A1344" s="1" t="d">
        <v>2025-12-30</v>
      </c>
      <c r="B1344">
        <v>45504</v>
      </c>
      <c r="C1344" t="str">
        <f>VLOOKUP(Fato_Producao[[#This Row],[referencia]], Dim_Produtos!A:B,2,FALSE)</f>
        <v>pescada posta fritar</v>
      </c>
      <c r="D1344">
        <v>2030</v>
      </c>
      <c r="E1344">
        <v>1856</v>
      </c>
      <c r="F1344" s="5">
        <v>8.5699999999999998E-2</v>
      </c>
      <c r="G1344" s="6">
        <v>55.68</v>
      </c>
      <c r="H1344">
        <v>13</v>
      </c>
      <c r="I1344">
        <v>159</v>
      </c>
      <c r="J1344">
        <v>2</v>
      </c>
      <c r="K1344">
        <f>Fato_Producao[[#This Row],[embalagens_danificadas]]+Fato_Producao[[#This Row],[peso_errado]]+Fato_Producao[[#This Row],[impressao]]</f>
        <v>174</v>
      </c>
      <c r="L1344" s="1" t="d">
        <v>2025-11-28</v>
      </c>
      <c r="M1344">
        <v>32</v>
      </c>
      <c r="N1344" s="7">
        <v>7.8</v>
      </c>
      <c r="O1344" s="4" t="str">
        <f t="shared" si="60"/>
        <v>dezembro</v>
      </c>
      <c r="P1344" s="4">
        <f t="shared" si="61"/>
        <v>2025</v>
      </c>
      <c r="Q1344" s="4" t="str">
        <f t="shared" si="62"/>
        <v/>
      </c>
      <c r="R1344" t="s">
        <v>24</v>
      </c>
    </row>
    <row r="1345" spans="1:18" x14ac:dyDescent="0.3">
      <c r="A1345" s="1" t="d">
        <v>2025-12-30</v>
      </c>
      <c r="B1345">
        <v>45511</v>
      </c>
      <c r="C1345" t="str">
        <f>VLOOKUP(Fato_Producao[[#This Row],[referencia]], Dim_Produtos!A:B,2,FALSE)</f>
        <v>lula limpa</v>
      </c>
      <c r="D1345">
        <v>3227</v>
      </c>
      <c r="E1345">
        <v>2982</v>
      </c>
      <c r="F1345" s="5">
        <v>7.5899999999999995E-2</v>
      </c>
      <c r="G1345" s="6">
        <v>78.400000000000006</v>
      </c>
      <c r="H1345">
        <v>34</v>
      </c>
      <c r="I1345">
        <v>205</v>
      </c>
      <c r="J1345">
        <v>6</v>
      </c>
      <c r="K1345">
        <f>Fato_Producao[[#This Row],[embalagens_danificadas]]+Fato_Producao[[#This Row],[peso_errado]]+Fato_Producao[[#This Row],[impressao]]</f>
        <v>245</v>
      </c>
      <c r="L1345" s="1" t="d">
        <v>2025-11-28</v>
      </c>
      <c r="M1345">
        <v>32</v>
      </c>
      <c r="N1345" s="7">
        <v>10.98</v>
      </c>
      <c r="O1345" s="4" t="str">
        <f t="shared" si="60"/>
        <v>dezembro</v>
      </c>
      <c r="P1345" s="4">
        <f t="shared" si="61"/>
        <v>2025</v>
      </c>
      <c r="Q1345" s="4" t="str">
        <f t="shared" si="62"/>
        <v/>
      </c>
      <c r="R1345" t="s">
        <v>24</v>
      </c>
    </row>
    <row r="1346" spans="1:18" x14ac:dyDescent="0.3">
      <c r="A1346" s="1" t="d">
        <v>2025-12-31</v>
      </c>
      <c r="B1346">
        <v>45500</v>
      </c>
      <c r="C1346" t="str">
        <f>VLOOKUP(Fato_Producao[[#This Row],[referencia]], Dim_Produtos!A:B,2,FALSE)</f>
        <v>filete pescada</v>
      </c>
      <c r="D1346">
        <v>3836</v>
      </c>
      <c r="E1346">
        <v>3609</v>
      </c>
      <c r="F1346" s="5">
        <v>5.9200000000000003E-2</v>
      </c>
      <c r="G1346" s="6">
        <v>63.56</v>
      </c>
      <c r="H1346">
        <v>15</v>
      </c>
      <c r="I1346">
        <v>208</v>
      </c>
      <c r="J1346">
        <v>4</v>
      </c>
      <c r="K1346">
        <f>Fato_Producao[[#This Row],[embalagens_danificadas]]+Fato_Producao[[#This Row],[peso_errado]]+Fato_Producao[[#This Row],[impressao]]</f>
        <v>227</v>
      </c>
      <c r="L1346" s="1" t="d">
        <v>2025-11-28</v>
      </c>
      <c r="M1346">
        <v>33</v>
      </c>
      <c r="N1346" s="7">
        <v>7.63</v>
      </c>
      <c r="O1346" s="4" t="str">
        <f t="shared" ref="O1346:O1409" si="63">TEXT(A1346, "mmmm")</f>
        <v>dezembro</v>
      </c>
      <c r="P1346" s="4">
        <f t="shared" ref="P1346:P1409" si="64">YEAR(A1346)</f>
        <v>2025</v>
      </c>
      <c r="Q1346" s="4" t="str">
        <f t="shared" ref="Q1346:Q1409" si="65">IF(M1347 &gt;= M1346, "", M1346)</f>
        <v/>
      </c>
      <c r="R1346" t="s">
        <v>24</v>
      </c>
    </row>
    <row r="1347" spans="1:18" x14ac:dyDescent="0.3">
      <c r="A1347" s="1" t="d">
        <v>2026-01-01</v>
      </c>
      <c r="B1347">
        <v>45510</v>
      </c>
      <c r="C1347" t="str">
        <f>VLOOKUP(Fato_Producao[[#This Row],[referencia]], Dim_Produtos!A:B,2,FALSE)</f>
        <v>tiras pota</v>
      </c>
      <c r="D1347">
        <v>1971</v>
      </c>
      <c r="E1347">
        <v>1809</v>
      </c>
      <c r="F1347" s="5">
        <v>8.2199999999999995E-2</v>
      </c>
      <c r="G1347" s="6">
        <v>51.84</v>
      </c>
      <c r="H1347">
        <v>21</v>
      </c>
      <c r="I1347">
        <v>139</v>
      </c>
      <c r="J1347">
        <v>2</v>
      </c>
      <c r="K1347">
        <f>Fato_Producao[[#This Row],[embalagens_danificadas]]+Fato_Producao[[#This Row],[peso_errado]]+Fato_Producao[[#This Row],[impressao]]</f>
        <v>162</v>
      </c>
      <c r="L1347" s="1" t="d">
        <v>2025-11-28</v>
      </c>
      <c r="M1347">
        <v>34</v>
      </c>
      <c r="N1347" s="7">
        <v>7.26</v>
      </c>
      <c r="O1347" s="4" t="str">
        <f t="shared" si="63"/>
        <v>janeiro</v>
      </c>
      <c r="P1347" s="4">
        <f t="shared" si="64"/>
        <v>2026</v>
      </c>
      <c r="Q1347" s="4" t="str">
        <f t="shared" si="65"/>
        <v/>
      </c>
      <c r="R1347" t="s">
        <v>24</v>
      </c>
    </row>
    <row r="1348" spans="1:18" x14ac:dyDescent="0.3">
      <c r="A1348" s="1" t="d">
        <v>2026-01-02</v>
      </c>
      <c r="B1348">
        <v>45503</v>
      </c>
      <c r="C1348" t="str">
        <f>VLOOKUP(Fato_Producao[[#This Row],[referencia]], Dim_Produtos!A:B,2,FALSE)</f>
        <v>sardinha pequena</v>
      </c>
      <c r="D1348">
        <v>2556</v>
      </c>
      <c r="E1348">
        <v>2378</v>
      </c>
      <c r="F1348" s="5">
        <v>6.9599999999999995E-2</v>
      </c>
      <c r="G1348" s="6">
        <v>46.28</v>
      </c>
      <c r="H1348">
        <v>9</v>
      </c>
      <c r="I1348">
        <v>166</v>
      </c>
      <c r="J1348">
        <v>3</v>
      </c>
      <c r="K1348">
        <f>Fato_Producao[[#This Row],[embalagens_danificadas]]+Fato_Producao[[#This Row],[peso_errado]]+Fato_Producao[[#This Row],[impressao]]</f>
        <v>178</v>
      </c>
      <c r="L1348" s="1" t="d">
        <v>2025-11-28</v>
      </c>
      <c r="M1348">
        <v>35</v>
      </c>
      <c r="N1348" s="7">
        <v>5.09</v>
      </c>
      <c r="O1348" s="4" t="str">
        <f t="shared" si="63"/>
        <v>janeiro</v>
      </c>
      <c r="P1348" s="4">
        <f t="shared" si="64"/>
        <v>2026</v>
      </c>
      <c r="Q1348" s="4" t="str">
        <f t="shared" si="65"/>
        <v/>
      </c>
      <c r="R1348" t="s">
        <v>24</v>
      </c>
    </row>
    <row r="1349" spans="1:18" x14ac:dyDescent="0.3">
      <c r="A1349" s="1" t="d">
        <v>2026-01-02</v>
      </c>
      <c r="B1349">
        <v>45505</v>
      </c>
      <c r="C1349" t="str">
        <f>VLOOKUP(Fato_Producao[[#This Row],[referencia]], Dim_Produtos!A:B,2,FALSE)</f>
        <v>camarao</v>
      </c>
      <c r="D1349">
        <v>2045</v>
      </c>
      <c r="E1349">
        <v>1873</v>
      </c>
      <c r="F1349" s="5">
        <v>8.4099999999999994E-2</v>
      </c>
      <c r="G1349" s="6">
        <v>51.6</v>
      </c>
      <c r="H1349">
        <v>48</v>
      </c>
      <c r="I1349">
        <v>122</v>
      </c>
      <c r="J1349">
        <v>2</v>
      </c>
      <c r="K1349">
        <f>Fato_Producao[[#This Row],[embalagens_danificadas]]+Fato_Producao[[#This Row],[peso_errado]]+Fato_Producao[[#This Row],[impressao]]</f>
        <v>172</v>
      </c>
      <c r="L1349" s="1" t="d">
        <v>2025-11-28</v>
      </c>
      <c r="M1349">
        <v>35</v>
      </c>
      <c r="N1349" s="7">
        <v>7.74</v>
      </c>
      <c r="O1349" s="4" t="str">
        <f t="shared" si="63"/>
        <v>janeiro</v>
      </c>
      <c r="P1349" s="4">
        <f t="shared" si="64"/>
        <v>2026</v>
      </c>
      <c r="Q1349" s="4" t="str">
        <f t="shared" si="65"/>
        <v/>
      </c>
      <c r="R1349" t="s">
        <v>24</v>
      </c>
    </row>
    <row r="1350" spans="1:18" x14ac:dyDescent="0.3">
      <c r="A1350" s="1" t="d">
        <v>2026-01-03</v>
      </c>
      <c r="B1350">
        <v>45505</v>
      </c>
      <c r="C1350" t="str">
        <f>VLOOKUP(Fato_Producao[[#This Row],[referencia]], Dim_Produtos!A:B,2,FALSE)</f>
        <v>camarao</v>
      </c>
      <c r="D1350">
        <v>3160</v>
      </c>
      <c r="E1350">
        <v>2881</v>
      </c>
      <c r="F1350" s="5">
        <v>8.8300000000000003E-2</v>
      </c>
      <c r="G1350" s="6">
        <v>83.7</v>
      </c>
      <c r="H1350">
        <v>78</v>
      </c>
      <c r="I1350">
        <v>196</v>
      </c>
      <c r="J1350">
        <v>5</v>
      </c>
      <c r="K1350">
        <f>Fato_Producao[[#This Row],[embalagens_danificadas]]+Fato_Producao[[#This Row],[peso_errado]]+Fato_Producao[[#This Row],[impressao]]</f>
        <v>279</v>
      </c>
      <c r="L1350" s="1" t="d">
        <v>2025-11-28</v>
      </c>
      <c r="M1350">
        <v>36</v>
      </c>
      <c r="N1350" s="7">
        <v>12.55</v>
      </c>
      <c r="O1350" s="4" t="str">
        <f t="shared" si="63"/>
        <v>janeiro</v>
      </c>
      <c r="P1350" s="4">
        <f t="shared" si="64"/>
        <v>2026</v>
      </c>
      <c r="Q1350" s="4" t="str">
        <f t="shared" si="65"/>
        <v/>
      </c>
      <c r="R1350" t="s">
        <v>24</v>
      </c>
    </row>
    <row r="1351" spans="1:18" x14ac:dyDescent="0.3">
      <c r="A1351" s="1" t="d">
        <v>2026-01-03</v>
      </c>
      <c r="B1351">
        <v>45512</v>
      </c>
      <c r="C1351" t="str">
        <f>VLOOKUP(Fato_Producao[[#This Row],[referencia]], Dim_Produtos!A:B,2,FALSE)</f>
        <v>red-fish posta</v>
      </c>
      <c r="D1351">
        <v>3904</v>
      </c>
      <c r="E1351">
        <v>3665</v>
      </c>
      <c r="F1351" s="5">
        <v>6.1199999999999997E-2</v>
      </c>
      <c r="G1351" s="6">
        <v>81.260000000000005</v>
      </c>
      <c r="H1351">
        <v>14</v>
      </c>
      <c r="I1351">
        <v>221</v>
      </c>
      <c r="J1351">
        <v>4</v>
      </c>
      <c r="K1351">
        <f>Fato_Producao[[#This Row],[embalagens_danificadas]]+Fato_Producao[[#This Row],[peso_errado]]+Fato_Producao[[#This Row],[impressao]]</f>
        <v>239</v>
      </c>
      <c r="L1351" s="1" t="d">
        <v>2025-11-28</v>
      </c>
      <c r="M1351">
        <v>36</v>
      </c>
      <c r="N1351" s="7">
        <v>11.38</v>
      </c>
      <c r="O1351" s="4" t="str">
        <f t="shared" si="63"/>
        <v>janeiro</v>
      </c>
      <c r="P1351" s="4">
        <f t="shared" si="64"/>
        <v>2026</v>
      </c>
      <c r="Q1351" s="4" t="str">
        <f t="shared" si="65"/>
        <v/>
      </c>
      <c r="R1351" t="s">
        <v>24</v>
      </c>
    </row>
    <row r="1352" spans="1:18" x14ac:dyDescent="0.3">
      <c r="A1352" s="1" t="d">
        <v>2026-01-04</v>
      </c>
      <c r="B1352">
        <v>45511</v>
      </c>
      <c r="C1352" t="str">
        <f>VLOOKUP(Fato_Producao[[#This Row],[referencia]], Dim_Produtos!A:B,2,FALSE)</f>
        <v>lula limpa</v>
      </c>
      <c r="D1352">
        <v>2373</v>
      </c>
      <c r="E1352">
        <v>2131</v>
      </c>
      <c r="F1352" s="5">
        <v>0.10199999999999999</v>
      </c>
      <c r="G1352" s="6">
        <v>77.44</v>
      </c>
      <c r="H1352">
        <v>27</v>
      </c>
      <c r="I1352">
        <v>209</v>
      </c>
      <c r="J1352">
        <v>6</v>
      </c>
      <c r="K1352">
        <f>Fato_Producao[[#This Row],[embalagens_danificadas]]+Fato_Producao[[#This Row],[peso_errado]]+Fato_Producao[[#This Row],[impressao]]</f>
        <v>242</v>
      </c>
      <c r="L1352" s="1" t="d">
        <v>2025-11-28</v>
      </c>
      <c r="M1352">
        <v>37</v>
      </c>
      <c r="N1352" s="7">
        <v>10.84</v>
      </c>
      <c r="O1352" s="4" t="str">
        <f t="shared" si="63"/>
        <v>janeiro</v>
      </c>
      <c r="P1352" s="4">
        <f t="shared" si="64"/>
        <v>2026</v>
      </c>
      <c r="Q1352" s="4" t="str">
        <f t="shared" si="65"/>
        <v/>
      </c>
      <c r="R1352" t="s">
        <v>24</v>
      </c>
    </row>
    <row r="1353" spans="1:18" x14ac:dyDescent="0.3">
      <c r="A1353" s="1" t="d">
        <v>2026-01-05</v>
      </c>
      <c r="B1353">
        <v>45504</v>
      </c>
      <c r="C1353" t="str">
        <f>VLOOKUP(Fato_Producao[[#This Row],[referencia]], Dim_Produtos!A:B,2,FALSE)</f>
        <v>pescada posta fritar</v>
      </c>
      <c r="D1353">
        <v>3996</v>
      </c>
      <c r="E1353">
        <v>3625</v>
      </c>
      <c r="F1353" s="5">
        <v>9.2799999999999994E-2</v>
      </c>
      <c r="G1353" s="6">
        <v>118.72</v>
      </c>
      <c r="H1353">
        <v>13</v>
      </c>
      <c r="I1353">
        <v>354</v>
      </c>
      <c r="J1353">
        <v>4</v>
      </c>
      <c r="K1353">
        <f>Fato_Producao[[#This Row],[embalagens_danificadas]]+Fato_Producao[[#This Row],[peso_errado]]+Fato_Producao[[#This Row],[impressao]]</f>
        <v>371</v>
      </c>
      <c r="L1353" s="1" t="d">
        <v>2025-11-28</v>
      </c>
      <c r="M1353">
        <v>38</v>
      </c>
      <c r="N1353" s="7">
        <v>16.62</v>
      </c>
      <c r="O1353" s="4" t="str">
        <f t="shared" si="63"/>
        <v>janeiro</v>
      </c>
      <c r="P1353" s="4">
        <f t="shared" si="64"/>
        <v>2026</v>
      </c>
      <c r="Q1353" s="4" t="str">
        <f t="shared" si="65"/>
        <v/>
      </c>
      <c r="R1353" t="s">
        <v>24</v>
      </c>
    </row>
    <row r="1354" spans="1:18" x14ac:dyDescent="0.3">
      <c r="A1354" s="1" t="d">
        <v>2026-01-05</v>
      </c>
      <c r="B1354">
        <v>45500</v>
      </c>
      <c r="C1354" t="str">
        <f>VLOOKUP(Fato_Producao[[#This Row],[referencia]], Dim_Produtos!A:B,2,FALSE)</f>
        <v>filete pescada</v>
      </c>
      <c r="D1354">
        <v>2354</v>
      </c>
      <c r="E1354">
        <v>2192</v>
      </c>
      <c r="F1354" s="5">
        <v>6.88E-2</v>
      </c>
      <c r="G1354" s="6">
        <v>45.36</v>
      </c>
      <c r="H1354">
        <v>9</v>
      </c>
      <c r="I1354">
        <v>149</v>
      </c>
      <c r="J1354">
        <v>4</v>
      </c>
      <c r="K1354">
        <f>Fato_Producao[[#This Row],[embalagens_danificadas]]+Fato_Producao[[#This Row],[peso_errado]]+Fato_Producao[[#This Row],[impressao]]</f>
        <v>162</v>
      </c>
      <c r="L1354" s="1" t="d">
        <v>2025-11-28</v>
      </c>
      <c r="M1354">
        <v>38</v>
      </c>
      <c r="N1354" s="7">
        <v>5.44</v>
      </c>
      <c r="O1354" s="4" t="str">
        <f t="shared" si="63"/>
        <v>janeiro</v>
      </c>
      <c r="P1354" s="4">
        <f t="shared" si="64"/>
        <v>2026</v>
      </c>
      <c r="Q1354" s="4" t="str">
        <f t="shared" si="65"/>
        <v/>
      </c>
      <c r="R1354" t="s">
        <v>24</v>
      </c>
    </row>
    <row r="1355" spans="1:18" x14ac:dyDescent="0.3">
      <c r="A1355" s="1" t="d">
        <v>2026-01-06</v>
      </c>
      <c r="B1355">
        <v>45511</v>
      </c>
      <c r="C1355" t="str">
        <f>VLOOKUP(Fato_Producao[[#This Row],[referencia]], Dim_Produtos!A:B,2,FALSE)</f>
        <v>lula limpa</v>
      </c>
      <c r="D1355">
        <v>3743</v>
      </c>
      <c r="E1355">
        <v>3323</v>
      </c>
      <c r="F1355" s="5">
        <v>0.11219999999999999</v>
      </c>
      <c r="G1355" s="6">
        <v>134.4</v>
      </c>
      <c r="H1355">
        <v>38</v>
      </c>
      <c r="I1355">
        <v>371</v>
      </c>
      <c r="J1355">
        <v>11</v>
      </c>
      <c r="K1355">
        <f>Fato_Producao[[#This Row],[embalagens_danificadas]]+Fato_Producao[[#This Row],[peso_errado]]+Fato_Producao[[#This Row],[impressao]]</f>
        <v>420</v>
      </c>
      <c r="L1355" s="1" t="d">
        <v>2025-11-28</v>
      </c>
      <c r="M1355">
        <v>39</v>
      </c>
      <c r="N1355" s="7">
        <v>18.82</v>
      </c>
      <c r="O1355" s="4" t="str">
        <f t="shared" si="63"/>
        <v>janeiro</v>
      </c>
      <c r="P1355" s="4">
        <f t="shared" si="64"/>
        <v>2026</v>
      </c>
      <c r="Q1355" s="4" t="str">
        <f t="shared" si="65"/>
        <v/>
      </c>
      <c r="R1355" t="s">
        <v>24</v>
      </c>
    </row>
    <row r="1356" spans="1:18" x14ac:dyDescent="0.3">
      <c r="A1356" s="1" t="d">
        <v>2026-01-06</v>
      </c>
      <c r="B1356">
        <v>45507</v>
      </c>
      <c r="C1356" t="str">
        <f>VLOOKUP(Fato_Producao[[#This Row],[referencia]], Dim_Produtos!A:B,2,FALSE)</f>
        <v>salmao posta</v>
      </c>
      <c r="D1356">
        <v>2775</v>
      </c>
      <c r="E1356">
        <v>2582</v>
      </c>
      <c r="F1356" s="5">
        <v>6.9500000000000006E-2</v>
      </c>
      <c r="G1356" s="6">
        <v>67.55</v>
      </c>
      <c r="H1356">
        <v>11</v>
      </c>
      <c r="I1356">
        <v>177</v>
      </c>
      <c r="J1356">
        <v>5</v>
      </c>
      <c r="K1356">
        <f>Fato_Producao[[#This Row],[embalagens_danificadas]]+Fato_Producao[[#This Row],[peso_errado]]+Fato_Producao[[#This Row],[impressao]]</f>
        <v>193</v>
      </c>
      <c r="L1356" s="1" t="d">
        <v>2025-11-28</v>
      </c>
      <c r="M1356">
        <v>39</v>
      </c>
      <c r="N1356" s="7">
        <v>10.81</v>
      </c>
      <c r="O1356" s="4" t="str">
        <f t="shared" si="63"/>
        <v>janeiro</v>
      </c>
      <c r="P1356" s="4">
        <f t="shared" si="64"/>
        <v>2026</v>
      </c>
      <c r="Q1356" s="4" t="str">
        <f t="shared" si="65"/>
        <v/>
      </c>
      <c r="R1356" t="s">
        <v>24</v>
      </c>
    </row>
    <row r="1357" spans="1:18" x14ac:dyDescent="0.3">
      <c r="A1357" s="1" t="d">
        <v>2026-01-07</v>
      </c>
      <c r="B1357">
        <v>45513</v>
      </c>
      <c r="C1357" t="str">
        <f>VLOOKUP(Fato_Producao[[#This Row],[referencia]], Dim_Produtos!A:B,2,FALSE)</f>
        <v>filete pescada</v>
      </c>
      <c r="D1357">
        <v>4118</v>
      </c>
      <c r="E1357">
        <v>3758</v>
      </c>
      <c r="F1357" s="5">
        <v>8.7400000000000005E-2</v>
      </c>
      <c r="G1357" s="6">
        <v>115.2</v>
      </c>
      <c r="H1357">
        <v>16</v>
      </c>
      <c r="I1357">
        <v>340</v>
      </c>
      <c r="J1357">
        <v>4</v>
      </c>
      <c r="K1357">
        <f>Fato_Producao[[#This Row],[embalagens_danificadas]]+Fato_Producao[[#This Row],[peso_errado]]+Fato_Producao[[#This Row],[impressao]]</f>
        <v>360</v>
      </c>
      <c r="L1357" s="1" t="d">
        <v>2025-11-28</v>
      </c>
      <c r="M1357">
        <v>40</v>
      </c>
      <c r="N1357" s="7">
        <v>14.98</v>
      </c>
      <c r="O1357" s="4" t="str">
        <f t="shared" si="63"/>
        <v>janeiro</v>
      </c>
      <c r="P1357" s="4">
        <f t="shared" si="64"/>
        <v>2026</v>
      </c>
      <c r="Q1357" s="4" t="str">
        <f t="shared" si="65"/>
        <v/>
      </c>
      <c r="R1357" t="s">
        <v>24</v>
      </c>
    </row>
    <row r="1358" spans="1:18" x14ac:dyDescent="0.3">
      <c r="A1358" s="1" t="d">
        <v>2026-01-08</v>
      </c>
      <c r="B1358">
        <v>45510</v>
      </c>
      <c r="C1358" t="str">
        <f>VLOOKUP(Fato_Producao[[#This Row],[referencia]], Dim_Produtos!A:B,2,FALSE)</f>
        <v>tiras pota</v>
      </c>
      <c r="D1358">
        <v>3294</v>
      </c>
      <c r="E1358">
        <v>2980</v>
      </c>
      <c r="F1358" s="5">
        <v>9.5299999999999996E-2</v>
      </c>
      <c r="G1358" s="6">
        <v>100.48</v>
      </c>
      <c r="H1358">
        <v>39</v>
      </c>
      <c r="I1358">
        <v>266</v>
      </c>
      <c r="J1358">
        <v>9</v>
      </c>
      <c r="K1358">
        <f>Fato_Producao[[#This Row],[embalagens_danificadas]]+Fato_Producao[[#This Row],[peso_errado]]+Fato_Producao[[#This Row],[impressao]]</f>
        <v>314</v>
      </c>
      <c r="L1358" s="1" t="d">
        <v>2025-11-28</v>
      </c>
      <c r="M1358">
        <v>41</v>
      </c>
      <c r="N1358" s="7">
        <v>14.07</v>
      </c>
      <c r="O1358" s="4" t="str">
        <f t="shared" si="63"/>
        <v>janeiro</v>
      </c>
      <c r="P1358" s="4">
        <f t="shared" si="64"/>
        <v>2026</v>
      </c>
      <c r="Q1358" s="4" t="str">
        <f t="shared" si="65"/>
        <v/>
      </c>
      <c r="R1358" t="s">
        <v>24</v>
      </c>
    </row>
    <row r="1359" spans="1:18" x14ac:dyDescent="0.3">
      <c r="A1359" s="1" t="d">
        <v>2026-01-08</v>
      </c>
      <c r="B1359">
        <v>45510</v>
      </c>
      <c r="C1359" t="str">
        <f>VLOOKUP(Fato_Producao[[#This Row],[referencia]], Dim_Produtos!A:B,2,FALSE)</f>
        <v>tiras pota</v>
      </c>
      <c r="D1359">
        <v>2446</v>
      </c>
      <c r="E1359">
        <v>2194</v>
      </c>
      <c r="F1359" s="5">
        <v>0.10299999999999999</v>
      </c>
      <c r="G1359" s="6">
        <v>80.64</v>
      </c>
      <c r="H1359">
        <v>29</v>
      </c>
      <c r="I1359">
        <v>219</v>
      </c>
      <c r="J1359">
        <v>4</v>
      </c>
      <c r="K1359">
        <f>Fato_Producao[[#This Row],[embalagens_danificadas]]+Fato_Producao[[#This Row],[peso_errado]]+Fato_Producao[[#This Row],[impressao]]</f>
        <v>252</v>
      </c>
      <c r="L1359" s="1" t="d">
        <v>2025-11-28</v>
      </c>
      <c r="M1359">
        <v>41</v>
      </c>
      <c r="N1359" s="7">
        <v>11.29</v>
      </c>
      <c r="O1359" s="4" t="str">
        <f t="shared" si="63"/>
        <v>janeiro</v>
      </c>
      <c r="P1359" s="4">
        <f t="shared" si="64"/>
        <v>2026</v>
      </c>
      <c r="Q1359" s="4" t="str">
        <f t="shared" si="65"/>
        <v/>
      </c>
      <c r="R1359" t="s">
        <v>24</v>
      </c>
    </row>
    <row r="1360" spans="1:18" x14ac:dyDescent="0.3">
      <c r="A1360" s="1" t="d">
        <v>2026-01-09</v>
      </c>
      <c r="B1360">
        <v>45511</v>
      </c>
      <c r="C1360" t="str">
        <f>VLOOKUP(Fato_Producao[[#This Row],[referencia]], Dim_Produtos!A:B,2,FALSE)</f>
        <v>lula limpa</v>
      </c>
      <c r="D1360">
        <v>2135</v>
      </c>
      <c r="E1360">
        <v>1949</v>
      </c>
      <c r="F1360" s="5">
        <v>8.7099999999999997E-2</v>
      </c>
      <c r="G1360" s="6">
        <v>59.52</v>
      </c>
      <c r="H1360">
        <v>18</v>
      </c>
      <c r="I1360">
        <v>162</v>
      </c>
      <c r="J1360">
        <v>6</v>
      </c>
      <c r="K1360">
        <f>Fato_Producao[[#This Row],[embalagens_danificadas]]+Fato_Producao[[#This Row],[peso_errado]]+Fato_Producao[[#This Row],[impressao]]</f>
        <v>186</v>
      </c>
      <c r="L1360" s="1" t="d">
        <v>2025-11-28</v>
      </c>
      <c r="M1360">
        <v>42</v>
      </c>
      <c r="N1360" s="7">
        <v>8.33</v>
      </c>
      <c r="O1360" s="4" t="str">
        <f t="shared" si="63"/>
        <v>janeiro</v>
      </c>
      <c r="P1360" s="4">
        <f t="shared" si="64"/>
        <v>2026</v>
      </c>
      <c r="Q1360" s="4" t="str">
        <f t="shared" si="65"/>
        <v/>
      </c>
      <c r="R1360" t="s">
        <v>24</v>
      </c>
    </row>
    <row r="1361" spans="1:18" x14ac:dyDescent="0.3">
      <c r="A1361" s="1" t="d">
        <v>2026-01-10</v>
      </c>
      <c r="B1361">
        <v>45504</v>
      </c>
      <c r="C1361" t="str">
        <f>VLOOKUP(Fato_Producao[[#This Row],[referencia]], Dim_Produtos!A:B,2,FALSE)</f>
        <v>pescada posta fritar</v>
      </c>
      <c r="D1361">
        <v>4059</v>
      </c>
      <c r="E1361">
        <v>3719</v>
      </c>
      <c r="F1361" s="5">
        <v>8.3799999999999999E-2</v>
      </c>
      <c r="G1361" s="6">
        <v>108.8</v>
      </c>
      <c r="H1361">
        <v>22</v>
      </c>
      <c r="I1361">
        <v>312</v>
      </c>
      <c r="J1361">
        <v>6</v>
      </c>
      <c r="K1361">
        <f>Fato_Producao[[#This Row],[embalagens_danificadas]]+Fato_Producao[[#This Row],[peso_errado]]+Fato_Producao[[#This Row],[impressao]]</f>
        <v>340</v>
      </c>
      <c r="L1361" s="1" t="d">
        <v>2025-11-28</v>
      </c>
      <c r="M1361">
        <v>43</v>
      </c>
      <c r="N1361" s="7">
        <v>15.23</v>
      </c>
      <c r="O1361" s="4" t="str">
        <f t="shared" si="63"/>
        <v>janeiro</v>
      </c>
      <c r="P1361" s="4">
        <f t="shared" si="64"/>
        <v>2026</v>
      </c>
      <c r="Q1361" s="4" t="str">
        <f t="shared" si="65"/>
        <v/>
      </c>
      <c r="R1361" t="s">
        <v>24</v>
      </c>
    </row>
    <row r="1362" spans="1:18" x14ac:dyDescent="0.3">
      <c r="A1362" s="1" t="d">
        <v>2026-01-11</v>
      </c>
      <c r="B1362">
        <v>45514</v>
      </c>
      <c r="C1362" t="str">
        <f>VLOOKUP(Fato_Producao[[#This Row],[referencia]], Dim_Produtos!A:B,2,FALSE)</f>
        <v>sardinha pequena</v>
      </c>
      <c r="D1362">
        <v>2360</v>
      </c>
      <c r="E1362">
        <v>2140</v>
      </c>
      <c r="F1362" s="5">
        <v>9.3200000000000005E-2</v>
      </c>
      <c r="G1362" s="6">
        <v>66</v>
      </c>
      <c r="H1362">
        <v>6</v>
      </c>
      <c r="I1362">
        <v>209</v>
      </c>
      <c r="J1362">
        <v>5</v>
      </c>
      <c r="K1362">
        <f>Fato_Producao[[#This Row],[embalagens_danificadas]]+Fato_Producao[[#This Row],[peso_errado]]+Fato_Producao[[#This Row],[impressao]]</f>
        <v>220</v>
      </c>
      <c r="L1362" s="1" t="d">
        <v>2025-11-28</v>
      </c>
      <c r="M1362">
        <v>44</v>
      </c>
      <c r="N1362" s="7">
        <v>7.92</v>
      </c>
      <c r="O1362" s="4" t="str">
        <f t="shared" si="63"/>
        <v>janeiro</v>
      </c>
      <c r="P1362" s="4">
        <f t="shared" si="64"/>
        <v>2026</v>
      </c>
      <c r="Q1362" s="4" t="str">
        <f t="shared" si="65"/>
        <v/>
      </c>
      <c r="R1362" t="s">
        <v>24</v>
      </c>
    </row>
    <row r="1363" spans="1:18" x14ac:dyDescent="0.3">
      <c r="A1363" s="1" t="d">
        <v>2026-01-12</v>
      </c>
      <c r="B1363">
        <v>45511</v>
      </c>
      <c r="C1363" t="str">
        <f>VLOOKUP(Fato_Producao[[#This Row],[referencia]], Dim_Produtos!A:B,2,FALSE)</f>
        <v>lula limpa</v>
      </c>
      <c r="D1363">
        <v>3082</v>
      </c>
      <c r="E1363">
        <v>2757</v>
      </c>
      <c r="F1363" s="5">
        <v>0.1055</v>
      </c>
      <c r="G1363" s="6">
        <v>104</v>
      </c>
      <c r="H1363">
        <v>39</v>
      </c>
      <c r="I1363">
        <v>278</v>
      </c>
      <c r="J1363">
        <v>8</v>
      </c>
      <c r="K1363">
        <f>Fato_Producao[[#This Row],[embalagens_danificadas]]+Fato_Producao[[#This Row],[peso_errado]]+Fato_Producao[[#This Row],[impressao]]</f>
        <v>325</v>
      </c>
      <c r="L1363" s="1" t="d">
        <v>2025-11-28</v>
      </c>
      <c r="M1363">
        <v>45</v>
      </c>
      <c r="N1363" s="7">
        <v>14.56</v>
      </c>
      <c r="O1363" s="4" t="str">
        <f t="shared" si="63"/>
        <v>janeiro</v>
      </c>
      <c r="P1363" s="4">
        <f t="shared" si="64"/>
        <v>2026</v>
      </c>
      <c r="Q1363" s="4">
        <f t="shared" si="65"/>
        <v>45</v>
      </c>
      <c r="R1363" t="s">
        <v>24</v>
      </c>
    </row>
    <row r="1364" spans="1:18" x14ac:dyDescent="0.3">
      <c r="A1364" s="1" t="d">
        <v>2026-01-13</v>
      </c>
      <c r="B1364">
        <v>45510</v>
      </c>
      <c r="C1364" t="str">
        <f>VLOOKUP(Fato_Producao[[#This Row],[referencia]], Dim_Produtos!A:B,2,FALSE)</f>
        <v>tiras pota</v>
      </c>
      <c r="D1364">
        <v>4012</v>
      </c>
      <c r="E1364">
        <v>3759</v>
      </c>
      <c r="F1364" s="5">
        <v>6.3100000000000003E-2</v>
      </c>
      <c r="G1364" s="6">
        <v>80.959999999999994</v>
      </c>
      <c r="H1364">
        <v>20</v>
      </c>
      <c r="I1364">
        <v>228</v>
      </c>
      <c r="J1364">
        <v>5</v>
      </c>
      <c r="K1364">
        <f>Fato_Producao[[#This Row],[embalagens_danificadas]]+Fato_Producao[[#This Row],[peso_errado]]+Fato_Producao[[#This Row],[impressao]]</f>
        <v>253</v>
      </c>
      <c r="L1364" s="1" t="d">
        <v>2026-01-13</v>
      </c>
      <c r="M1364">
        <v>0</v>
      </c>
      <c r="N1364" s="7">
        <v>11.33</v>
      </c>
      <c r="O1364" s="4" t="str">
        <f t="shared" si="63"/>
        <v>janeiro</v>
      </c>
      <c r="P1364" s="4">
        <f t="shared" si="64"/>
        <v>2026</v>
      </c>
      <c r="Q1364" s="4" t="str">
        <f t="shared" si="65"/>
        <v/>
      </c>
      <c r="R1364" t="s">
        <v>24</v>
      </c>
    </row>
    <row r="1365" spans="1:18" x14ac:dyDescent="0.3">
      <c r="A1365" s="1" t="d">
        <v>2026-01-14</v>
      </c>
      <c r="B1365">
        <v>45513</v>
      </c>
      <c r="C1365" t="str">
        <f>VLOOKUP(Fato_Producao[[#This Row],[referencia]], Dim_Produtos!A:B,2,FALSE)</f>
        <v>filete pescada</v>
      </c>
      <c r="D1365">
        <v>4175</v>
      </c>
      <c r="E1365">
        <v>4021</v>
      </c>
      <c r="F1365" s="5">
        <v>3.6900000000000002E-2</v>
      </c>
      <c r="G1365" s="6">
        <v>49.28</v>
      </c>
      <c r="H1365">
        <v>7</v>
      </c>
      <c r="I1365">
        <v>143</v>
      </c>
      <c r="J1365">
        <v>4</v>
      </c>
      <c r="K1365">
        <f>Fato_Producao[[#This Row],[embalagens_danificadas]]+Fato_Producao[[#This Row],[peso_errado]]+Fato_Producao[[#This Row],[impressao]]</f>
        <v>154</v>
      </c>
      <c r="L1365" s="1" t="d">
        <v>2026-01-13</v>
      </c>
      <c r="M1365">
        <v>1</v>
      </c>
      <c r="N1365" s="7">
        <v>6.41</v>
      </c>
      <c r="O1365" s="4" t="str">
        <f t="shared" si="63"/>
        <v>janeiro</v>
      </c>
      <c r="P1365" s="4">
        <f t="shared" si="64"/>
        <v>2026</v>
      </c>
      <c r="Q1365" s="4" t="str">
        <f t="shared" si="65"/>
        <v/>
      </c>
      <c r="R1365" t="s">
        <v>24</v>
      </c>
    </row>
    <row r="1366" spans="1:18" x14ac:dyDescent="0.3">
      <c r="A1366" s="1" t="d">
        <v>2026-01-14</v>
      </c>
      <c r="B1366">
        <v>45508</v>
      </c>
      <c r="C1366" t="str">
        <f>VLOOKUP(Fato_Producao[[#This Row],[referencia]], Dim_Produtos!A:B,2,FALSE)</f>
        <v>lula suja</v>
      </c>
      <c r="D1366">
        <v>2495</v>
      </c>
      <c r="E1366">
        <v>2284</v>
      </c>
      <c r="F1366" s="5">
        <v>8.4599999999999995E-2</v>
      </c>
      <c r="G1366" s="6">
        <v>67.52</v>
      </c>
      <c r="H1366">
        <v>31</v>
      </c>
      <c r="I1366">
        <v>174</v>
      </c>
      <c r="J1366">
        <v>6</v>
      </c>
      <c r="K1366">
        <f>Fato_Producao[[#This Row],[embalagens_danificadas]]+Fato_Producao[[#This Row],[peso_errado]]+Fato_Producao[[#This Row],[impressao]]</f>
        <v>211</v>
      </c>
      <c r="L1366" s="1" t="d">
        <v>2026-01-13</v>
      </c>
      <c r="M1366">
        <v>1</v>
      </c>
      <c r="N1366" s="7">
        <v>9.4499999999999993</v>
      </c>
      <c r="O1366" s="4" t="str">
        <f t="shared" si="63"/>
        <v>janeiro</v>
      </c>
      <c r="P1366" s="4">
        <f t="shared" si="64"/>
        <v>2026</v>
      </c>
      <c r="Q1366" s="4" t="str">
        <f t="shared" si="65"/>
        <v/>
      </c>
      <c r="R1366" t="s">
        <v>24</v>
      </c>
    </row>
    <row r="1367" spans="1:18" x14ac:dyDescent="0.3">
      <c r="A1367" s="1" t="d">
        <v>2026-01-15</v>
      </c>
      <c r="B1367">
        <v>45513</v>
      </c>
      <c r="C1367" t="str">
        <f>VLOOKUP(Fato_Producao[[#This Row],[referencia]], Dim_Produtos!A:B,2,FALSE)</f>
        <v>filete pescada</v>
      </c>
      <c r="D1367">
        <v>2261</v>
      </c>
      <c r="E1367">
        <v>2155</v>
      </c>
      <c r="F1367" s="5">
        <v>4.6899999999999997E-2</v>
      </c>
      <c r="G1367" s="6">
        <v>33.92</v>
      </c>
      <c r="H1367">
        <v>3</v>
      </c>
      <c r="I1367">
        <v>102</v>
      </c>
      <c r="J1367">
        <v>1</v>
      </c>
      <c r="K1367">
        <f>Fato_Producao[[#This Row],[embalagens_danificadas]]+Fato_Producao[[#This Row],[peso_errado]]+Fato_Producao[[#This Row],[impressao]]</f>
        <v>106</v>
      </c>
      <c r="L1367" s="1" t="d">
        <v>2026-01-13</v>
      </c>
      <c r="M1367">
        <v>2</v>
      </c>
      <c r="N1367" s="7">
        <v>4.41</v>
      </c>
      <c r="O1367" s="4" t="str">
        <f t="shared" si="63"/>
        <v>janeiro</v>
      </c>
      <c r="P1367" s="4">
        <f t="shared" si="64"/>
        <v>2026</v>
      </c>
      <c r="Q1367" s="4" t="str">
        <f t="shared" si="65"/>
        <v/>
      </c>
      <c r="R1367" t="s">
        <v>24</v>
      </c>
    </row>
    <row r="1368" spans="1:18" x14ac:dyDescent="0.3">
      <c r="A1368" s="1" t="d">
        <v>2026-01-16</v>
      </c>
      <c r="B1368">
        <v>45504</v>
      </c>
      <c r="C1368" t="str">
        <f>VLOOKUP(Fato_Producao[[#This Row],[referencia]], Dim_Produtos!A:B,2,FALSE)</f>
        <v>pescada posta fritar</v>
      </c>
      <c r="D1368">
        <v>2184</v>
      </c>
      <c r="E1368">
        <v>2063</v>
      </c>
      <c r="F1368" s="5">
        <v>5.5399999999999998E-2</v>
      </c>
      <c r="G1368" s="6">
        <v>38.72</v>
      </c>
      <c r="H1368">
        <v>4</v>
      </c>
      <c r="I1368">
        <v>114</v>
      </c>
      <c r="J1368">
        <v>3</v>
      </c>
      <c r="K1368">
        <f>Fato_Producao[[#This Row],[embalagens_danificadas]]+Fato_Producao[[#This Row],[peso_errado]]+Fato_Producao[[#This Row],[impressao]]</f>
        <v>121</v>
      </c>
      <c r="L1368" s="1" t="d">
        <v>2026-01-13</v>
      </c>
      <c r="M1368">
        <v>3</v>
      </c>
      <c r="N1368" s="7">
        <v>5.42</v>
      </c>
      <c r="O1368" s="4" t="str">
        <f t="shared" si="63"/>
        <v>janeiro</v>
      </c>
      <c r="P1368" s="4">
        <f t="shared" si="64"/>
        <v>2026</v>
      </c>
      <c r="Q1368" s="4" t="str">
        <f t="shared" si="65"/>
        <v/>
      </c>
      <c r="R1368" t="s">
        <v>24</v>
      </c>
    </row>
    <row r="1369" spans="1:18" x14ac:dyDescent="0.3">
      <c r="A1369" s="1" t="d">
        <v>2026-01-17</v>
      </c>
      <c r="B1369">
        <v>45508</v>
      </c>
      <c r="C1369" t="str">
        <f>VLOOKUP(Fato_Producao[[#This Row],[referencia]], Dim_Produtos!A:B,2,FALSE)</f>
        <v>lula suja</v>
      </c>
      <c r="D1369">
        <v>3745</v>
      </c>
      <c r="E1369">
        <v>3409</v>
      </c>
      <c r="F1369" s="5">
        <v>8.9700000000000002E-2</v>
      </c>
      <c r="G1369" s="6">
        <v>107.52</v>
      </c>
      <c r="H1369">
        <v>43</v>
      </c>
      <c r="I1369">
        <v>285</v>
      </c>
      <c r="J1369">
        <v>8</v>
      </c>
      <c r="K1369">
        <f>Fato_Producao[[#This Row],[embalagens_danificadas]]+Fato_Producao[[#This Row],[peso_errado]]+Fato_Producao[[#This Row],[impressao]]</f>
        <v>336</v>
      </c>
      <c r="L1369" s="1" t="d">
        <v>2026-01-13</v>
      </c>
      <c r="M1369">
        <v>4</v>
      </c>
      <c r="N1369" s="7">
        <v>15.05</v>
      </c>
      <c r="O1369" s="4" t="str">
        <f t="shared" si="63"/>
        <v>janeiro</v>
      </c>
      <c r="P1369" s="4">
        <f t="shared" si="64"/>
        <v>2026</v>
      </c>
      <c r="Q1369" s="4" t="str">
        <f t="shared" si="65"/>
        <v/>
      </c>
      <c r="R1369" t="s">
        <v>24</v>
      </c>
    </row>
    <row r="1370" spans="1:18" x14ac:dyDescent="0.3">
      <c r="A1370" s="1" t="d">
        <v>2026-01-17</v>
      </c>
      <c r="B1370">
        <v>45505</v>
      </c>
      <c r="C1370" t="str">
        <f>VLOOKUP(Fato_Producao[[#This Row],[referencia]], Dim_Produtos!A:B,2,FALSE)</f>
        <v>camarao</v>
      </c>
      <c r="D1370">
        <v>2951</v>
      </c>
      <c r="E1370">
        <v>2766</v>
      </c>
      <c r="F1370" s="5">
        <v>6.2700000000000006E-2</v>
      </c>
      <c r="G1370" s="6">
        <v>55.5</v>
      </c>
      <c r="H1370">
        <v>56</v>
      </c>
      <c r="I1370">
        <v>125</v>
      </c>
      <c r="J1370">
        <v>4</v>
      </c>
      <c r="K1370">
        <f>Fato_Producao[[#This Row],[embalagens_danificadas]]+Fato_Producao[[#This Row],[peso_errado]]+Fato_Producao[[#This Row],[impressao]]</f>
        <v>185</v>
      </c>
      <c r="L1370" s="1" t="d">
        <v>2026-01-13</v>
      </c>
      <c r="M1370">
        <v>4</v>
      </c>
      <c r="N1370" s="7">
        <v>8.32</v>
      </c>
      <c r="O1370" s="4" t="str">
        <f t="shared" si="63"/>
        <v>janeiro</v>
      </c>
      <c r="P1370" s="4">
        <f t="shared" si="64"/>
        <v>2026</v>
      </c>
      <c r="Q1370" s="4" t="str">
        <f t="shared" si="65"/>
        <v/>
      </c>
      <c r="R1370" t="s">
        <v>24</v>
      </c>
    </row>
    <row r="1371" spans="1:18" x14ac:dyDescent="0.3">
      <c r="A1371" s="1" t="d">
        <v>2026-01-18</v>
      </c>
      <c r="B1371">
        <v>45504</v>
      </c>
      <c r="C1371" t="str">
        <f>VLOOKUP(Fato_Producao[[#This Row],[referencia]], Dim_Produtos!A:B,2,FALSE)</f>
        <v>pescada posta fritar</v>
      </c>
      <c r="D1371">
        <v>3979</v>
      </c>
      <c r="E1371">
        <v>3760</v>
      </c>
      <c r="F1371" s="5">
        <v>5.5E-2</v>
      </c>
      <c r="G1371" s="6">
        <v>70.08</v>
      </c>
      <c r="H1371">
        <v>10</v>
      </c>
      <c r="I1371">
        <v>205</v>
      </c>
      <c r="J1371">
        <v>4</v>
      </c>
      <c r="K1371">
        <f>Fato_Producao[[#This Row],[embalagens_danificadas]]+Fato_Producao[[#This Row],[peso_errado]]+Fato_Producao[[#This Row],[impressao]]</f>
        <v>219</v>
      </c>
      <c r="L1371" s="1" t="d">
        <v>2026-01-13</v>
      </c>
      <c r="M1371">
        <v>5</v>
      </c>
      <c r="N1371" s="7">
        <v>9.81</v>
      </c>
      <c r="O1371" s="4" t="str">
        <f t="shared" si="63"/>
        <v>janeiro</v>
      </c>
      <c r="P1371" s="4">
        <f t="shared" si="64"/>
        <v>2026</v>
      </c>
      <c r="Q1371" s="4" t="str">
        <f t="shared" si="65"/>
        <v/>
      </c>
      <c r="R1371" t="s">
        <v>24</v>
      </c>
    </row>
    <row r="1372" spans="1:18" x14ac:dyDescent="0.3">
      <c r="A1372" s="1" t="d">
        <v>2026-01-19</v>
      </c>
      <c r="B1372">
        <v>45506</v>
      </c>
      <c r="C1372" t="str">
        <f>VLOOKUP(Fato_Producao[[#This Row],[referencia]], Dim_Produtos!A:B,2,FALSE)</f>
        <v>perca posta</v>
      </c>
      <c r="D1372">
        <v>2824</v>
      </c>
      <c r="E1372">
        <v>2717</v>
      </c>
      <c r="F1372" s="5">
        <v>3.7900000000000003E-2</v>
      </c>
      <c r="G1372" s="6">
        <v>37.450000000000003</v>
      </c>
      <c r="H1372">
        <v>5</v>
      </c>
      <c r="I1372">
        <v>100</v>
      </c>
      <c r="J1372">
        <v>2</v>
      </c>
      <c r="K1372">
        <f>Fato_Producao[[#This Row],[embalagens_danificadas]]+Fato_Producao[[#This Row],[peso_errado]]+Fato_Producao[[#This Row],[impressao]]</f>
        <v>107</v>
      </c>
      <c r="L1372" s="1" t="d">
        <v>2026-01-13</v>
      </c>
      <c r="M1372">
        <v>6</v>
      </c>
      <c r="N1372" s="7">
        <v>5.62</v>
      </c>
      <c r="O1372" s="4" t="str">
        <f t="shared" si="63"/>
        <v>janeiro</v>
      </c>
      <c r="P1372" s="4">
        <f t="shared" si="64"/>
        <v>2026</v>
      </c>
      <c r="Q1372" s="4" t="str">
        <f t="shared" si="65"/>
        <v/>
      </c>
      <c r="R1372" t="s">
        <v>24</v>
      </c>
    </row>
    <row r="1373" spans="1:18" x14ac:dyDescent="0.3">
      <c r="A1373" s="1" t="d">
        <v>2026-01-19</v>
      </c>
      <c r="B1373">
        <v>45513</v>
      </c>
      <c r="C1373" t="str">
        <f>VLOOKUP(Fato_Producao[[#This Row],[referencia]], Dim_Produtos!A:B,2,FALSE)</f>
        <v>filete pescada</v>
      </c>
      <c r="D1373">
        <v>4009</v>
      </c>
      <c r="E1373">
        <v>3793</v>
      </c>
      <c r="F1373" s="5">
        <v>5.3900000000000003E-2</v>
      </c>
      <c r="G1373" s="6">
        <v>69.12</v>
      </c>
      <c r="H1373">
        <v>8</v>
      </c>
      <c r="I1373">
        <v>202</v>
      </c>
      <c r="J1373">
        <v>6</v>
      </c>
      <c r="K1373">
        <f>Fato_Producao[[#This Row],[embalagens_danificadas]]+Fato_Producao[[#This Row],[peso_errado]]+Fato_Producao[[#This Row],[impressao]]</f>
        <v>216</v>
      </c>
      <c r="L1373" s="1" t="d">
        <v>2026-01-13</v>
      </c>
      <c r="M1373">
        <v>6</v>
      </c>
      <c r="N1373" s="7">
        <v>8.99</v>
      </c>
      <c r="O1373" s="4" t="str">
        <f t="shared" si="63"/>
        <v>janeiro</v>
      </c>
      <c r="P1373" s="4">
        <f t="shared" si="64"/>
        <v>2026</v>
      </c>
      <c r="Q1373" s="4" t="str">
        <f t="shared" si="65"/>
        <v/>
      </c>
      <c r="R1373" t="s">
        <v>24</v>
      </c>
    </row>
    <row r="1374" spans="1:18" x14ac:dyDescent="0.3">
      <c r="A1374" s="1" t="d">
        <v>2026-01-20</v>
      </c>
      <c r="B1374">
        <v>45509</v>
      </c>
      <c r="C1374" t="str">
        <f>VLOOKUP(Fato_Producao[[#This Row],[referencia]], Dim_Produtos!A:B,2,FALSE)</f>
        <v>lascas bacalhau</v>
      </c>
      <c r="D1374">
        <v>2932</v>
      </c>
      <c r="E1374">
        <v>2746</v>
      </c>
      <c r="F1374" s="5">
        <v>6.3399999999999998E-2</v>
      </c>
      <c r="G1374" s="6">
        <v>52.08</v>
      </c>
      <c r="H1374">
        <v>81</v>
      </c>
      <c r="I1374">
        <v>-2</v>
      </c>
      <c r="J1374">
        <v>107</v>
      </c>
      <c r="K1374">
        <f>Fato_Producao[[#This Row],[embalagens_danificadas]]+Fato_Producao[[#This Row],[peso_errado]]+Fato_Producao[[#This Row],[impressao]]</f>
        <v>186</v>
      </c>
      <c r="L1374" s="1" t="d">
        <v>2026-01-13</v>
      </c>
      <c r="M1374">
        <v>7</v>
      </c>
      <c r="N1374" s="7">
        <v>6.77</v>
      </c>
      <c r="O1374" s="4" t="str">
        <f t="shared" si="63"/>
        <v>janeiro</v>
      </c>
      <c r="P1374" s="4">
        <f t="shared" si="64"/>
        <v>2026</v>
      </c>
      <c r="Q1374" s="4" t="str">
        <f t="shared" si="65"/>
        <v/>
      </c>
      <c r="R1374" t="s">
        <v>50</v>
      </c>
    </row>
    <row r="1375" spans="1:18" x14ac:dyDescent="0.3">
      <c r="A1375" s="1" t="d">
        <v>2026-01-21</v>
      </c>
      <c r="B1375">
        <v>45502</v>
      </c>
      <c r="C1375" t="str">
        <f>VLOOKUP(Fato_Producao[[#This Row],[referencia]], Dim_Produtos!A:B,2,FALSE)</f>
        <v>carapau pelim</v>
      </c>
      <c r="D1375">
        <v>3364</v>
      </c>
      <c r="E1375">
        <v>3164</v>
      </c>
      <c r="F1375" s="5">
        <v>5.9499999999999997E-2</v>
      </c>
      <c r="G1375" s="6">
        <v>60</v>
      </c>
      <c r="H1375">
        <v>43</v>
      </c>
      <c r="I1375">
        <v>150</v>
      </c>
      <c r="J1375">
        <v>7</v>
      </c>
      <c r="K1375">
        <f>Fato_Producao[[#This Row],[embalagens_danificadas]]+Fato_Producao[[#This Row],[peso_errado]]+Fato_Producao[[#This Row],[impressao]]</f>
        <v>200</v>
      </c>
      <c r="L1375" s="1" t="d">
        <v>2026-01-13</v>
      </c>
      <c r="M1375">
        <v>8</v>
      </c>
      <c r="N1375" s="7">
        <v>7.8</v>
      </c>
      <c r="O1375" s="4" t="str">
        <f t="shared" si="63"/>
        <v>janeiro</v>
      </c>
      <c r="P1375" s="4">
        <f t="shared" si="64"/>
        <v>2026</v>
      </c>
      <c r="Q1375" s="4" t="str">
        <f t="shared" si="65"/>
        <v/>
      </c>
      <c r="R1375" t="s">
        <v>24</v>
      </c>
    </row>
    <row r="1376" spans="1:18" x14ac:dyDescent="0.3">
      <c r="A1376" s="1" t="d">
        <v>2026-01-21</v>
      </c>
      <c r="B1376">
        <v>45511</v>
      </c>
      <c r="C1376" t="str">
        <f>VLOOKUP(Fato_Producao[[#This Row],[referencia]], Dim_Produtos!A:B,2,FALSE)</f>
        <v>lula limpa</v>
      </c>
      <c r="D1376">
        <v>1825</v>
      </c>
      <c r="E1376">
        <v>1694</v>
      </c>
      <c r="F1376" s="5">
        <v>7.1800000000000003E-2</v>
      </c>
      <c r="G1376" s="6">
        <v>41.92</v>
      </c>
      <c r="H1376">
        <v>11</v>
      </c>
      <c r="I1376">
        <v>118</v>
      </c>
      <c r="J1376">
        <v>2</v>
      </c>
      <c r="K1376">
        <f>Fato_Producao[[#This Row],[embalagens_danificadas]]+Fato_Producao[[#This Row],[peso_errado]]+Fato_Producao[[#This Row],[impressao]]</f>
        <v>131</v>
      </c>
      <c r="L1376" s="1" t="d">
        <v>2026-01-13</v>
      </c>
      <c r="M1376">
        <v>8</v>
      </c>
      <c r="N1376" s="7">
        <v>5.87</v>
      </c>
      <c r="O1376" s="4" t="str">
        <f t="shared" si="63"/>
        <v>janeiro</v>
      </c>
      <c r="P1376" s="4">
        <f t="shared" si="64"/>
        <v>2026</v>
      </c>
      <c r="Q1376" s="4" t="str">
        <f t="shared" si="65"/>
        <v/>
      </c>
      <c r="R1376" t="s">
        <v>24</v>
      </c>
    </row>
    <row r="1377" spans="1:18" x14ac:dyDescent="0.3">
      <c r="A1377" s="1" t="d">
        <v>2026-01-22</v>
      </c>
      <c r="B1377">
        <v>45511</v>
      </c>
      <c r="C1377" t="str">
        <f>VLOOKUP(Fato_Producao[[#This Row],[referencia]], Dim_Produtos!A:B,2,FALSE)</f>
        <v>lula limpa</v>
      </c>
      <c r="D1377">
        <v>3672</v>
      </c>
      <c r="E1377">
        <v>3447</v>
      </c>
      <c r="F1377" s="5">
        <v>6.13E-2</v>
      </c>
      <c r="G1377" s="6">
        <v>72</v>
      </c>
      <c r="H1377">
        <v>21</v>
      </c>
      <c r="I1377">
        <v>202</v>
      </c>
      <c r="J1377">
        <v>2</v>
      </c>
      <c r="K1377">
        <f>Fato_Producao[[#This Row],[embalagens_danificadas]]+Fato_Producao[[#This Row],[peso_errado]]+Fato_Producao[[#This Row],[impressao]]</f>
        <v>225</v>
      </c>
      <c r="L1377" s="1" t="d">
        <v>2026-01-13</v>
      </c>
      <c r="M1377">
        <v>9</v>
      </c>
      <c r="N1377" s="7">
        <v>10.08</v>
      </c>
      <c r="O1377" s="4" t="str">
        <f t="shared" si="63"/>
        <v>janeiro</v>
      </c>
      <c r="P1377" s="4">
        <f t="shared" si="64"/>
        <v>2026</v>
      </c>
      <c r="Q1377" s="4" t="str">
        <f t="shared" si="65"/>
        <v/>
      </c>
      <c r="R1377" t="s">
        <v>24</v>
      </c>
    </row>
    <row r="1378" spans="1:18" x14ac:dyDescent="0.3">
      <c r="A1378" s="1" t="d">
        <v>2026-01-23</v>
      </c>
      <c r="B1378">
        <v>45510</v>
      </c>
      <c r="C1378" t="str">
        <f>VLOOKUP(Fato_Producao[[#This Row],[referencia]], Dim_Produtos!A:B,2,FALSE)</f>
        <v>tiras pota</v>
      </c>
      <c r="D1378">
        <v>2710</v>
      </c>
      <c r="E1378">
        <v>2468</v>
      </c>
      <c r="F1378" s="5">
        <v>8.9300000000000004E-2</v>
      </c>
      <c r="G1378" s="6">
        <v>77.44</v>
      </c>
      <c r="H1378">
        <v>30</v>
      </c>
      <c r="I1378">
        <v>208</v>
      </c>
      <c r="J1378">
        <v>4</v>
      </c>
      <c r="K1378">
        <f>Fato_Producao[[#This Row],[embalagens_danificadas]]+Fato_Producao[[#This Row],[peso_errado]]+Fato_Producao[[#This Row],[impressao]]</f>
        <v>242</v>
      </c>
      <c r="L1378" s="1" t="d">
        <v>2026-01-13</v>
      </c>
      <c r="M1378">
        <v>10</v>
      </c>
      <c r="N1378" s="7">
        <v>10.84</v>
      </c>
      <c r="O1378" s="4" t="str">
        <f t="shared" si="63"/>
        <v>janeiro</v>
      </c>
      <c r="P1378" s="4">
        <f t="shared" si="64"/>
        <v>2026</v>
      </c>
      <c r="Q1378" s="4" t="str">
        <f t="shared" si="65"/>
        <v/>
      </c>
      <c r="R1378" t="s">
        <v>24</v>
      </c>
    </row>
    <row r="1379" spans="1:18" x14ac:dyDescent="0.3">
      <c r="A1379" s="1" t="d">
        <v>2026-01-23</v>
      </c>
      <c r="B1379">
        <v>45506</v>
      </c>
      <c r="C1379" t="str">
        <f>VLOOKUP(Fato_Producao[[#This Row],[referencia]], Dim_Produtos!A:B,2,FALSE)</f>
        <v>perca posta</v>
      </c>
      <c r="D1379">
        <v>3505</v>
      </c>
      <c r="E1379">
        <v>3360</v>
      </c>
      <c r="F1379" s="5">
        <v>4.1399999999999999E-2</v>
      </c>
      <c r="G1379" s="6">
        <v>50.75</v>
      </c>
      <c r="H1379">
        <v>10</v>
      </c>
      <c r="I1379">
        <v>134</v>
      </c>
      <c r="J1379">
        <v>1</v>
      </c>
      <c r="K1379">
        <f>Fato_Producao[[#This Row],[embalagens_danificadas]]+Fato_Producao[[#This Row],[peso_errado]]+Fato_Producao[[#This Row],[impressao]]</f>
        <v>145</v>
      </c>
      <c r="L1379" s="1" t="d">
        <v>2026-01-13</v>
      </c>
      <c r="M1379">
        <v>10</v>
      </c>
      <c r="N1379" s="7">
        <v>7.61</v>
      </c>
      <c r="O1379" s="4" t="str">
        <f t="shared" si="63"/>
        <v>janeiro</v>
      </c>
      <c r="P1379" s="4">
        <f t="shared" si="64"/>
        <v>2026</v>
      </c>
      <c r="Q1379" s="4" t="str">
        <f t="shared" si="65"/>
        <v/>
      </c>
      <c r="R1379" t="s">
        <v>24</v>
      </c>
    </row>
    <row r="1380" spans="1:18" x14ac:dyDescent="0.3">
      <c r="A1380" s="1" t="d">
        <v>2026-01-24</v>
      </c>
      <c r="B1380">
        <v>45500</v>
      </c>
      <c r="C1380" t="str">
        <f>VLOOKUP(Fato_Producao[[#This Row],[referencia]], Dim_Produtos!A:B,2,FALSE)</f>
        <v>filete pescada</v>
      </c>
      <c r="D1380">
        <v>2779</v>
      </c>
      <c r="E1380">
        <v>2687</v>
      </c>
      <c r="F1380" s="5">
        <v>3.3099999999999997E-2</v>
      </c>
      <c r="G1380" s="6">
        <v>25.76</v>
      </c>
      <c r="H1380">
        <v>3</v>
      </c>
      <c r="I1380">
        <v>87</v>
      </c>
      <c r="J1380">
        <v>2</v>
      </c>
      <c r="K1380">
        <f>Fato_Producao[[#This Row],[embalagens_danificadas]]+Fato_Producao[[#This Row],[peso_errado]]+Fato_Producao[[#This Row],[impressao]]</f>
        <v>92</v>
      </c>
      <c r="L1380" s="1" t="d">
        <v>2026-01-13</v>
      </c>
      <c r="M1380">
        <v>11</v>
      </c>
      <c r="N1380" s="7">
        <v>3.09</v>
      </c>
      <c r="O1380" s="4" t="str">
        <f t="shared" si="63"/>
        <v>janeiro</v>
      </c>
      <c r="P1380" s="4">
        <f t="shared" si="64"/>
        <v>2026</v>
      </c>
      <c r="Q1380" s="4" t="str">
        <f t="shared" si="65"/>
        <v/>
      </c>
      <c r="R1380" t="s">
        <v>24</v>
      </c>
    </row>
    <row r="1381" spans="1:18" x14ac:dyDescent="0.3">
      <c r="A1381" s="1" t="d">
        <v>2026-01-24</v>
      </c>
      <c r="B1381">
        <v>45500</v>
      </c>
      <c r="C1381" t="str">
        <f>VLOOKUP(Fato_Producao[[#This Row],[referencia]], Dim_Produtos!A:B,2,FALSE)</f>
        <v>filete pescada</v>
      </c>
      <c r="D1381">
        <v>3037</v>
      </c>
      <c r="E1381">
        <v>2961</v>
      </c>
      <c r="F1381" s="5">
        <v>2.5000000000000001E-2</v>
      </c>
      <c r="G1381" s="6">
        <v>21.28</v>
      </c>
      <c r="H1381">
        <v>1</v>
      </c>
      <c r="I1381">
        <v>73</v>
      </c>
      <c r="J1381">
        <v>2</v>
      </c>
      <c r="K1381">
        <f>Fato_Producao[[#This Row],[embalagens_danificadas]]+Fato_Producao[[#This Row],[peso_errado]]+Fato_Producao[[#This Row],[impressao]]</f>
        <v>76</v>
      </c>
      <c r="L1381" s="1" t="d">
        <v>2026-01-13</v>
      </c>
      <c r="M1381">
        <v>11</v>
      </c>
      <c r="N1381" s="7">
        <v>2.5499999999999998</v>
      </c>
      <c r="O1381" s="4" t="str">
        <f t="shared" si="63"/>
        <v>janeiro</v>
      </c>
      <c r="P1381" s="4">
        <f t="shared" si="64"/>
        <v>2026</v>
      </c>
      <c r="Q1381" s="4" t="str">
        <f t="shared" si="65"/>
        <v/>
      </c>
      <c r="R1381" t="s">
        <v>24</v>
      </c>
    </row>
    <row r="1382" spans="1:18" x14ac:dyDescent="0.3">
      <c r="A1382" s="1" t="d">
        <v>2026-01-25</v>
      </c>
      <c r="B1382">
        <v>45510</v>
      </c>
      <c r="C1382" t="str">
        <f>VLOOKUP(Fato_Producao[[#This Row],[referencia]], Dim_Produtos!A:B,2,FALSE)</f>
        <v>tiras pota</v>
      </c>
      <c r="D1382">
        <v>3247</v>
      </c>
      <c r="E1382">
        <v>3000</v>
      </c>
      <c r="F1382" s="5">
        <v>7.6100000000000001E-2</v>
      </c>
      <c r="G1382" s="6">
        <v>79.040000000000006</v>
      </c>
      <c r="H1382">
        <v>34</v>
      </c>
      <c r="I1382">
        <v>207</v>
      </c>
      <c r="J1382">
        <v>6</v>
      </c>
      <c r="K1382">
        <f>Fato_Producao[[#This Row],[embalagens_danificadas]]+Fato_Producao[[#This Row],[peso_errado]]+Fato_Producao[[#This Row],[impressao]]</f>
        <v>247</v>
      </c>
      <c r="L1382" s="1" t="d">
        <v>2026-01-13</v>
      </c>
      <c r="M1382">
        <v>12</v>
      </c>
      <c r="N1382" s="7">
        <v>11.07</v>
      </c>
      <c r="O1382" s="4" t="str">
        <f t="shared" si="63"/>
        <v>janeiro</v>
      </c>
      <c r="P1382" s="4">
        <f t="shared" si="64"/>
        <v>2026</v>
      </c>
      <c r="Q1382" s="4" t="str">
        <f t="shared" si="65"/>
        <v/>
      </c>
      <c r="R1382" t="s">
        <v>24</v>
      </c>
    </row>
    <row r="1383" spans="1:18" x14ac:dyDescent="0.3">
      <c r="A1383" s="1" t="d">
        <v>2026-01-25</v>
      </c>
      <c r="B1383">
        <v>45502</v>
      </c>
      <c r="C1383" t="str">
        <f>VLOOKUP(Fato_Producao[[#This Row],[referencia]], Dim_Produtos!A:B,2,FALSE)</f>
        <v>carapau pelim</v>
      </c>
      <c r="D1383">
        <v>2767</v>
      </c>
      <c r="E1383">
        <v>2530</v>
      </c>
      <c r="F1383" s="5">
        <v>8.5699999999999998E-2</v>
      </c>
      <c r="G1383" s="6">
        <v>71.099999999999994</v>
      </c>
      <c r="H1383">
        <v>44</v>
      </c>
      <c r="I1383">
        <v>189</v>
      </c>
      <c r="J1383">
        <v>4</v>
      </c>
      <c r="K1383">
        <f>Fato_Producao[[#This Row],[embalagens_danificadas]]+Fato_Producao[[#This Row],[peso_errado]]+Fato_Producao[[#This Row],[impressao]]</f>
        <v>237</v>
      </c>
      <c r="L1383" s="1" t="d">
        <v>2026-01-13</v>
      </c>
      <c r="M1383">
        <v>12</v>
      </c>
      <c r="N1383" s="7">
        <v>9.24</v>
      </c>
      <c r="O1383" s="4" t="str">
        <f t="shared" si="63"/>
        <v>janeiro</v>
      </c>
      <c r="P1383" s="4">
        <f t="shared" si="64"/>
        <v>2026</v>
      </c>
      <c r="Q1383" s="4" t="str">
        <f t="shared" si="65"/>
        <v/>
      </c>
      <c r="R1383" t="s">
        <v>24</v>
      </c>
    </row>
    <row r="1384" spans="1:18" x14ac:dyDescent="0.3">
      <c r="A1384" s="1" t="d">
        <v>2026-01-26</v>
      </c>
      <c r="B1384">
        <v>45503</v>
      </c>
      <c r="C1384" t="str">
        <f>VLOOKUP(Fato_Producao[[#This Row],[referencia]], Dim_Produtos!A:B,2,FALSE)</f>
        <v>sardinha pequena</v>
      </c>
      <c r="D1384">
        <v>2648</v>
      </c>
      <c r="E1384">
        <v>2448</v>
      </c>
      <c r="F1384" s="5">
        <v>7.5499999999999998E-2</v>
      </c>
      <c r="G1384" s="6">
        <v>52</v>
      </c>
      <c r="H1384">
        <v>4</v>
      </c>
      <c r="I1384">
        <v>191</v>
      </c>
      <c r="J1384">
        <v>5</v>
      </c>
      <c r="K1384">
        <f>Fato_Producao[[#This Row],[embalagens_danificadas]]+Fato_Producao[[#This Row],[peso_errado]]+Fato_Producao[[#This Row],[impressao]]</f>
        <v>200</v>
      </c>
      <c r="L1384" s="1" t="d">
        <v>2026-01-13</v>
      </c>
      <c r="M1384">
        <v>13</v>
      </c>
      <c r="N1384" s="7">
        <v>5.72</v>
      </c>
      <c r="O1384" s="4" t="str">
        <f t="shared" si="63"/>
        <v>janeiro</v>
      </c>
      <c r="P1384" s="4">
        <f t="shared" si="64"/>
        <v>2026</v>
      </c>
      <c r="Q1384" s="4" t="str">
        <f t="shared" si="65"/>
        <v/>
      </c>
      <c r="R1384" t="s">
        <v>24</v>
      </c>
    </row>
    <row r="1385" spans="1:18" x14ac:dyDescent="0.3">
      <c r="A1385" s="1" t="d">
        <v>2026-01-26</v>
      </c>
      <c r="B1385">
        <v>45502</v>
      </c>
      <c r="C1385" t="str">
        <f>VLOOKUP(Fato_Producao[[#This Row],[referencia]], Dim_Produtos!A:B,2,FALSE)</f>
        <v>carapau pelim</v>
      </c>
      <c r="D1385">
        <v>3968</v>
      </c>
      <c r="E1385">
        <v>3673</v>
      </c>
      <c r="F1385" s="5">
        <v>7.4300000000000005E-2</v>
      </c>
      <c r="G1385" s="6">
        <v>88.5</v>
      </c>
      <c r="H1385">
        <v>62</v>
      </c>
      <c r="I1385">
        <v>224</v>
      </c>
      <c r="J1385">
        <v>9</v>
      </c>
      <c r="K1385">
        <f>Fato_Producao[[#This Row],[embalagens_danificadas]]+Fato_Producao[[#This Row],[peso_errado]]+Fato_Producao[[#This Row],[impressao]]</f>
        <v>295</v>
      </c>
      <c r="L1385" s="1" t="d">
        <v>2026-01-13</v>
      </c>
      <c r="M1385">
        <v>13</v>
      </c>
      <c r="N1385" s="7">
        <v>11.51</v>
      </c>
      <c r="O1385" s="4" t="str">
        <f t="shared" si="63"/>
        <v>janeiro</v>
      </c>
      <c r="P1385" s="4">
        <f t="shared" si="64"/>
        <v>2026</v>
      </c>
      <c r="Q1385" s="4" t="str">
        <f t="shared" si="65"/>
        <v/>
      </c>
      <c r="R1385" t="s">
        <v>24</v>
      </c>
    </row>
    <row r="1386" spans="1:18" x14ac:dyDescent="0.3">
      <c r="A1386" s="1" t="d">
        <v>2026-01-27</v>
      </c>
      <c r="B1386">
        <v>45510</v>
      </c>
      <c r="C1386" t="str">
        <f>VLOOKUP(Fato_Producao[[#This Row],[referencia]], Dim_Produtos!A:B,2,FALSE)</f>
        <v>tiras pota</v>
      </c>
      <c r="D1386">
        <v>1999</v>
      </c>
      <c r="E1386">
        <v>1845</v>
      </c>
      <c r="F1386" s="5">
        <v>7.6999999999999999E-2</v>
      </c>
      <c r="G1386" s="6">
        <v>49.28</v>
      </c>
      <c r="H1386">
        <v>15</v>
      </c>
      <c r="I1386">
        <v>136</v>
      </c>
      <c r="J1386">
        <v>3</v>
      </c>
      <c r="K1386">
        <f>Fato_Producao[[#This Row],[embalagens_danificadas]]+Fato_Producao[[#This Row],[peso_errado]]+Fato_Producao[[#This Row],[impressao]]</f>
        <v>154</v>
      </c>
      <c r="L1386" s="1" t="d">
        <v>2026-01-13</v>
      </c>
      <c r="M1386">
        <v>14</v>
      </c>
      <c r="N1386" s="7">
        <v>6.9</v>
      </c>
      <c r="O1386" s="4" t="str">
        <f t="shared" si="63"/>
        <v>janeiro</v>
      </c>
      <c r="P1386" s="4">
        <f t="shared" si="64"/>
        <v>2026</v>
      </c>
      <c r="Q1386" s="4" t="str">
        <f t="shared" si="65"/>
        <v/>
      </c>
      <c r="R1386" t="s">
        <v>24</v>
      </c>
    </row>
    <row r="1387" spans="1:18" x14ac:dyDescent="0.3">
      <c r="A1387" s="1" t="d">
        <v>2026-01-27</v>
      </c>
      <c r="B1387">
        <v>45501</v>
      </c>
      <c r="C1387" t="str">
        <f>VLOOKUP(Fato_Producao[[#This Row],[referencia]], Dim_Produtos!A:B,2,FALSE)</f>
        <v>pescada posta cozer</v>
      </c>
      <c r="D1387">
        <v>3890</v>
      </c>
      <c r="E1387">
        <v>3596</v>
      </c>
      <c r="F1387" s="5">
        <v>7.5600000000000001E-2</v>
      </c>
      <c r="G1387" s="6">
        <v>94.08</v>
      </c>
      <c r="H1387">
        <v>12</v>
      </c>
      <c r="I1387">
        <v>276</v>
      </c>
      <c r="J1387">
        <v>6</v>
      </c>
      <c r="K1387">
        <f>Fato_Producao[[#This Row],[embalagens_danificadas]]+Fato_Producao[[#This Row],[peso_errado]]+Fato_Producao[[#This Row],[impressao]]</f>
        <v>294</v>
      </c>
      <c r="L1387" s="1" t="d">
        <v>2026-01-13</v>
      </c>
      <c r="M1387">
        <v>14</v>
      </c>
      <c r="N1387" s="7">
        <v>13.17</v>
      </c>
      <c r="O1387" s="4" t="str">
        <f t="shared" si="63"/>
        <v>janeiro</v>
      </c>
      <c r="P1387" s="4">
        <f t="shared" si="64"/>
        <v>2026</v>
      </c>
      <c r="Q1387" s="4" t="str">
        <f t="shared" si="65"/>
        <v/>
      </c>
      <c r="R1387" t="s">
        <v>24</v>
      </c>
    </row>
    <row r="1388" spans="1:18" x14ac:dyDescent="0.3">
      <c r="A1388" s="1" t="d">
        <v>2026-01-28</v>
      </c>
      <c r="B1388">
        <v>45513</v>
      </c>
      <c r="C1388" t="str">
        <f>VLOOKUP(Fato_Producao[[#This Row],[referencia]], Dim_Produtos!A:B,2,FALSE)</f>
        <v>filete pescada</v>
      </c>
      <c r="D1388">
        <v>2326</v>
      </c>
      <c r="E1388">
        <v>2199</v>
      </c>
      <c r="F1388" s="5">
        <v>5.4600000000000003E-2</v>
      </c>
      <c r="G1388" s="6">
        <v>40.64</v>
      </c>
      <c r="H1388">
        <v>8</v>
      </c>
      <c r="I1388">
        <v>117</v>
      </c>
      <c r="J1388">
        <v>2</v>
      </c>
      <c r="K1388">
        <f>Fato_Producao[[#This Row],[embalagens_danificadas]]+Fato_Producao[[#This Row],[peso_errado]]+Fato_Producao[[#This Row],[impressao]]</f>
        <v>127</v>
      </c>
      <c r="L1388" s="1" t="d">
        <v>2026-01-13</v>
      </c>
      <c r="M1388">
        <v>15</v>
      </c>
      <c r="N1388" s="7">
        <v>5.28</v>
      </c>
      <c r="O1388" s="4" t="str">
        <f t="shared" si="63"/>
        <v>janeiro</v>
      </c>
      <c r="P1388" s="4">
        <f t="shared" si="64"/>
        <v>2026</v>
      </c>
      <c r="Q1388" s="4" t="str">
        <f t="shared" si="65"/>
        <v/>
      </c>
      <c r="R1388" t="s">
        <v>24</v>
      </c>
    </row>
    <row r="1389" spans="1:18" x14ac:dyDescent="0.3">
      <c r="A1389" s="1" t="d">
        <v>2026-01-28</v>
      </c>
      <c r="B1389">
        <v>45502</v>
      </c>
      <c r="C1389" t="str">
        <f>VLOOKUP(Fato_Producao[[#This Row],[referencia]], Dim_Produtos!A:B,2,FALSE)</f>
        <v>carapau pelim</v>
      </c>
      <c r="D1389">
        <v>3337</v>
      </c>
      <c r="E1389">
        <v>3141</v>
      </c>
      <c r="F1389" s="5">
        <v>5.8700000000000002E-2</v>
      </c>
      <c r="G1389" s="6">
        <v>58.8</v>
      </c>
      <c r="H1389">
        <v>40</v>
      </c>
      <c r="I1389">
        <v>149</v>
      </c>
      <c r="J1389">
        <v>7</v>
      </c>
      <c r="K1389">
        <f>Fato_Producao[[#This Row],[embalagens_danificadas]]+Fato_Producao[[#This Row],[peso_errado]]+Fato_Producao[[#This Row],[impressao]]</f>
        <v>196</v>
      </c>
      <c r="L1389" s="1" t="d">
        <v>2026-01-13</v>
      </c>
      <c r="M1389">
        <v>15</v>
      </c>
      <c r="N1389" s="7">
        <v>7.64</v>
      </c>
      <c r="O1389" s="4" t="str">
        <f t="shared" si="63"/>
        <v>janeiro</v>
      </c>
      <c r="P1389" s="4">
        <f t="shared" si="64"/>
        <v>2026</v>
      </c>
      <c r="Q1389" s="4" t="str">
        <f t="shared" si="65"/>
        <v/>
      </c>
      <c r="R1389" t="s">
        <v>24</v>
      </c>
    </row>
    <row r="1390" spans="1:18" x14ac:dyDescent="0.3">
      <c r="A1390" s="1" t="d">
        <v>2026-01-29</v>
      </c>
      <c r="B1390">
        <v>45505</v>
      </c>
      <c r="C1390" t="str">
        <f>VLOOKUP(Fato_Producao[[#This Row],[referencia]], Dim_Produtos!A:B,2,FALSE)</f>
        <v>camarao</v>
      </c>
      <c r="D1390">
        <v>3281</v>
      </c>
      <c r="E1390">
        <v>3080</v>
      </c>
      <c r="F1390" s="5">
        <v>6.13E-2</v>
      </c>
      <c r="G1390" s="6">
        <v>60.3</v>
      </c>
      <c r="H1390">
        <v>48</v>
      </c>
      <c r="I1390">
        <v>147</v>
      </c>
      <c r="J1390">
        <v>6</v>
      </c>
      <c r="K1390">
        <f>Fato_Producao[[#This Row],[embalagens_danificadas]]+Fato_Producao[[#This Row],[peso_errado]]+Fato_Producao[[#This Row],[impressao]]</f>
        <v>201</v>
      </c>
      <c r="L1390" s="1" t="d">
        <v>2026-01-13</v>
      </c>
      <c r="M1390">
        <v>16</v>
      </c>
      <c r="N1390" s="7">
        <v>9.0399999999999991</v>
      </c>
      <c r="O1390" s="4" t="str">
        <f t="shared" si="63"/>
        <v>janeiro</v>
      </c>
      <c r="P1390" s="4">
        <f t="shared" si="64"/>
        <v>2026</v>
      </c>
      <c r="Q1390" s="4" t="str">
        <f t="shared" si="65"/>
        <v/>
      </c>
      <c r="R1390" t="s">
        <v>24</v>
      </c>
    </row>
    <row r="1391" spans="1:18" x14ac:dyDescent="0.3">
      <c r="A1391" s="1" t="d">
        <v>2026-01-29</v>
      </c>
      <c r="B1391">
        <v>45513</v>
      </c>
      <c r="C1391" t="str">
        <f>VLOOKUP(Fato_Producao[[#This Row],[referencia]], Dim_Produtos!A:B,2,FALSE)</f>
        <v>filete pescada</v>
      </c>
      <c r="D1391">
        <v>3356</v>
      </c>
      <c r="E1391">
        <v>3214</v>
      </c>
      <c r="F1391" s="5">
        <v>4.2299999999999997E-2</v>
      </c>
      <c r="G1391" s="6">
        <v>45.44</v>
      </c>
      <c r="H1391">
        <v>9</v>
      </c>
      <c r="I1391">
        <v>131</v>
      </c>
      <c r="J1391">
        <v>2</v>
      </c>
      <c r="K1391">
        <f>Fato_Producao[[#This Row],[embalagens_danificadas]]+Fato_Producao[[#This Row],[peso_errado]]+Fato_Producao[[#This Row],[impressao]]</f>
        <v>142</v>
      </c>
      <c r="L1391" s="1" t="d">
        <v>2026-01-13</v>
      </c>
      <c r="M1391">
        <v>16</v>
      </c>
      <c r="N1391" s="7">
        <v>5.91</v>
      </c>
      <c r="O1391" s="4" t="str">
        <f t="shared" si="63"/>
        <v>janeiro</v>
      </c>
      <c r="P1391" s="4">
        <f t="shared" si="64"/>
        <v>2026</v>
      </c>
      <c r="Q1391" s="4" t="str">
        <f t="shared" si="65"/>
        <v/>
      </c>
      <c r="R1391" t="s">
        <v>24</v>
      </c>
    </row>
    <row r="1392" spans="1:18" x14ac:dyDescent="0.3">
      <c r="A1392" s="1" t="d">
        <v>2026-01-30</v>
      </c>
      <c r="B1392">
        <v>45504</v>
      </c>
      <c r="C1392" t="str">
        <f>VLOOKUP(Fato_Producao[[#This Row],[referencia]], Dim_Produtos!A:B,2,FALSE)</f>
        <v>pescada posta fritar</v>
      </c>
      <c r="D1392">
        <v>3080</v>
      </c>
      <c r="E1392">
        <v>2855</v>
      </c>
      <c r="F1392" s="5">
        <v>7.3099999999999998E-2</v>
      </c>
      <c r="G1392" s="6">
        <v>72</v>
      </c>
      <c r="H1392">
        <v>13</v>
      </c>
      <c r="I1392">
        <v>210</v>
      </c>
      <c r="J1392">
        <v>2</v>
      </c>
      <c r="K1392">
        <f>Fato_Producao[[#This Row],[embalagens_danificadas]]+Fato_Producao[[#This Row],[peso_errado]]+Fato_Producao[[#This Row],[impressao]]</f>
        <v>225</v>
      </c>
      <c r="L1392" s="1" t="d">
        <v>2026-01-13</v>
      </c>
      <c r="M1392">
        <v>17</v>
      </c>
      <c r="N1392" s="7">
        <v>10.08</v>
      </c>
      <c r="O1392" s="4" t="str">
        <f t="shared" si="63"/>
        <v>janeiro</v>
      </c>
      <c r="P1392" s="4">
        <f t="shared" si="64"/>
        <v>2026</v>
      </c>
      <c r="Q1392" s="4" t="str">
        <f t="shared" si="65"/>
        <v/>
      </c>
      <c r="R1392" t="s">
        <v>24</v>
      </c>
    </row>
    <row r="1393" spans="1:18" x14ac:dyDescent="0.3">
      <c r="A1393" s="1" t="d">
        <v>2026-01-30</v>
      </c>
      <c r="B1393">
        <v>45506</v>
      </c>
      <c r="C1393" t="str">
        <f>VLOOKUP(Fato_Producao[[#This Row],[referencia]], Dim_Produtos!A:B,2,FALSE)</f>
        <v>perca posta</v>
      </c>
      <c r="D1393">
        <v>2657</v>
      </c>
      <c r="E1393">
        <v>2506</v>
      </c>
      <c r="F1393" s="5">
        <v>5.6800000000000003E-2</v>
      </c>
      <c r="G1393" s="6">
        <v>52.85</v>
      </c>
      <c r="H1393">
        <v>7</v>
      </c>
      <c r="I1393">
        <v>140</v>
      </c>
      <c r="J1393">
        <v>4</v>
      </c>
      <c r="K1393">
        <f>Fato_Producao[[#This Row],[embalagens_danificadas]]+Fato_Producao[[#This Row],[peso_errado]]+Fato_Producao[[#This Row],[impressao]]</f>
        <v>151</v>
      </c>
      <c r="L1393" s="1" t="d">
        <v>2026-01-13</v>
      </c>
      <c r="M1393">
        <v>17</v>
      </c>
      <c r="N1393" s="7">
        <v>7.93</v>
      </c>
      <c r="O1393" s="4" t="str">
        <f t="shared" si="63"/>
        <v>janeiro</v>
      </c>
      <c r="P1393" s="4">
        <f t="shared" si="64"/>
        <v>2026</v>
      </c>
      <c r="Q1393" s="4" t="str">
        <f t="shared" si="65"/>
        <v/>
      </c>
      <c r="R1393" t="s">
        <v>24</v>
      </c>
    </row>
    <row r="1394" spans="1:18" x14ac:dyDescent="0.3">
      <c r="A1394" s="1" t="d">
        <v>2026-01-31</v>
      </c>
      <c r="B1394">
        <v>45513</v>
      </c>
      <c r="C1394" t="str">
        <f>VLOOKUP(Fato_Producao[[#This Row],[referencia]], Dim_Produtos!A:B,2,FALSE)</f>
        <v>filete pescada</v>
      </c>
      <c r="D1394">
        <v>1851</v>
      </c>
      <c r="E1394">
        <v>1762</v>
      </c>
      <c r="F1394" s="5">
        <v>4.8099999999999997E-2</v>
      </c>
      <c r="G1394" s="6">
        <v>28.48</v>
      </c>
      <c r="H1394">
        <v>5</v>
      </c>
      <c r="I1394">
        <v>83</v>
      </c>
      <c r="J1394">
        <v>1</v>
      </c>
      <c r="K1394">
        <f>Fato_Producao[[#This Row],[embalagens_danificadas]]+Fato_Producao[[#This Row],[peso_errado]]+Fato_Producao[[#This Row],[impressao]]</f>
        <v>89</v>
      </c>
      <c r="L1394" s="1" t="d">
        <v>2026-01-13</v>
      </c>
      <c r="M1394">
        <v>18</v>
      </c>
      <c r="N1394" s="7">
        <v>3.7</v>
      </c>
      <c r="O1394" s="4" t="str">
        <f t="shared" si="63"/>
        <v>janeiro</v>
      </c>
      <c r="P1394" s="4">
        <f t="shared" si="64"/>
        <v>2026</v>
      </c>
      <c r="Q1394" s="4" t="str">
        <f t="shared" si="65"/>
        <v/>
      </c>
      <c r="R1394" t="s">
        <v>24</v>
      </c>
    </row>
    <row r="1395" spans="1:18" x14ac:dyDescent="0.3">
      <c r="A1395" s="1" t="d">
        <v>2026-02-01</v>
      </c>
      <c r="B1395">
        <v>45514</v>
      </c>
      <c r="C1395" t="str">
        <f>VLOOKUP(Fato_Producao[[#This Row],[referencia]], Dim_Produtos!A:B,2,FALSE)</f>
        <v>sardinha pequena</v>
      </c>
      <c r="D1395">
        <v>4156</v>
      </c>
      <c r="E1395">
        <v>3861</v>
      </c>
      <c r="F1395" s="5">
        <v>7.0999999999999994E-2</v>
      </c>
      <c r="G1395" s="6">
        <v>88.5</v>
      </c>
      <c r="H1395">
        <v>13</v>
      </c>
      <c r="I1395">
        <v>273</v>
      </c>
      <c r="J1395">
        <v>9</v>
      </c>
      <c r="K1395">
        <f>Fato_Producao[[#This Row],[embalagens_danificadas]]+Fato_Producao[[#This Row],[peso_errado]]+Fato_Producao[[#This Row],[impressao]]</f>
        <v>295</v>
      </c>
      <c r="L1395" s="1" t="d">
        <v>2026-01-13</v>
      </c>
      <c r="M1395">
        <v>19</v>
      </c>
      <c r="N1395" s="7">
        <v>10.62</v>
      </c>
      <c r="O1395" s="4" t="str">
        <f t="shared" si="63"/>
        <v>fevereiro</v>
      </c>
      <c r="P1395" s="4">
        <f t="shared" si="64"/>
        <v>2026</v>
      </c>
      <c r="Q1395" s="4" t="str">
        <f t="shared" si="65"/>
        <v/>
      </c>
      <c r="R1395" t="s">
        <v>24</v>
      </c>
    </row>
    <row r="1396" spans="1:18" x14ac:dyDescent="0.3">
      <c r="A1396" s="1" t="d">
        <v>2026-02-02</v>
      </c>
      <c r="B1396">
        <v>45509</v>
      </c>
      <c r="C1396" t="str">
        <f>VLOOKUP(Fato_Producao[[#This Row],[referencia]], Dim_Produtos!A:B,2,FALSE)</f>
        <v>lascas bacalhau</v>
      </c>
      <c r="D1396">
        <v>2023</v>
      </c>
      <c r="E1396">
        <v>1910</v>
      </c>
      <c r="F1396" s="5">
        <v>5.5899999999999998E-2</v>
      </c>
      <c r="G1396" s="6">
        <v>31.64</v>
      </c>
      <c r="H1396">
        <v>39</v>
      </c>
      <c r="I1396">
        <v>20</v>
      </c>
      <c r="J1396">
        <v>54</v>
      </c>
      <c r="K1396">
        <f>Fato_Producao[[#This Row],[embalagens_danificadas]]+Fato_Producao[[#This Row],[peso_errado]]+Fato_Producao[[#This Row],[impressao]]</f>
        <v>113</v>
      </c>
      <c r="L1396" s="1" t="d">
        <v>2026-01-13</v>
      </c>
      <c r="M1396">
        <v>20</v>
      </c>
      <c r="N1396" s="7">
        <v>4.1100000000000003</v>
      </c>
      <c r="O1396" s="4" t="str">
        <f t="shared" si="63"/>
        <v>fevereiro</v>
      </c>
      <c r="P1396" s="4">
        <f t="shared" si="64"/>
        <v>2026</v>
      </c>
      <c r="Q1396" s="4" t="str">
        <f t="shared" si="65"/>
        <v/>
      </c>
      <c r="R1396" t="s">
        <v>50</v>
      </c>
    </row>
    <row r="1397" spans="1:18" x14ac:dyDescent="0.3">
      <c r="A1397" s="1" t="d">
        <v>2026-02-02</v>
      </c>
      <c r="B1397">
        <v>45509</v>
      </c>
      <c r="C1397" t="str">
        <f>VLOOKUP(Fato_Producao[[#This Row],[referencia]], Dim_Produtos!A:B,2,FALSE)</f>
        <v>lascas bacalhau</v>
      </c>
      <c r="D1397">
        <v>3763</v>
      </c>
      <c r="E1397">
        <v>3543</v>
      </c>
      <c r="F1397" s="5">
        <v>5.8500000000000003E-2</v>
      </c>
      <c r="G1397" s="6">
        <v>61.6</v>
      </c>
      <c r="H1397">
        <v>8</v>
      </c>
      <c r="I1397">
        <v>205</v>
      </c>
      <c r="J1397">
        <v>7</v>
      </c>
      <c r="K1397">
        <f>Fato_Producao[[#This Row],[embalagens_danificadas]]+Fato_Producao[[#This Row],[peso_errado]]+Fato_Producao[[#This Row],[impressao]]</f>
        <v>220</v>
      </c>
      <c r="L1397" s="1" t="d">
        <v>2026-01-13</v>
      </c>
      <c r="M1397">
        <v>20</v>
      </c>
      <c r="N1397" s="7">
        <v>8.01</v>
      </c>
      <c r="O1397" s="4" t="str">
        <f t="shared" si="63"/>
        <v>fevereiro</v>
      </c>
      <c r="P1397" s="4">
        <f t="shared" si="64"/>
        <v>2026</v>
      </c>
      <c r="Q1397" s="4" t="str">
        <f t="shared" si="65"/>
        <v/>
      </c>
      <c r="R1397" t="s">
        <v>24</v>
      </c>
    </row>
    <row r="1398" spans="1:18" x14ac:dyDescent="0.3">
      <c r="A1398" s="1" t="d">
        <v>2026-02-03</v>
      </c>
      <c r="B1398">
        <v>45507</v>
      </c>
      <c r="C1398" t="str">
        <f>VLOOKUP(Fato_Producao[[#This Row],[referencia]], Dim_Produtos!A:B,2,FALSE)</f>
        <v>salmao posta</v>
      </c>
      <c r="D1398">
        <v>2813</v>
      </c>
      <c r="E1398">
        <v>2642</v>
      </c>
      <c r="F1398" s="5">
        <v>6.08E-2</v>
      </c>
      <c r="G1398" s="6">
        <v>59.85</v>
      </c>
      <c r="H1398">
        <v>6</v>
      </c>
      <c r="I1398">
        <v>161</v>
      </c>
      <c r="J1398">
        <v>4</v>
      </c>
      <c r="K1398">
        <f>Fato_Producao[[#This Row],[embalagens_danificadas]]+Fato_Producao[[#This Row],[peso_errado]]+Fato_Producao[[#This Row],[impressao]]</f>
        <v>171</v>
      </c>
      <c r="L1398" s="1" t="d">
        <v>2026-01-13</v>
      </c>
      <c r="M1398">
        <v>21</v>
      </c>
      <c r="N1398" s="7">
        <v>9.58</v>
      </c>
      <c r="O1398" s="4" t="str">
        <f t="shared" si="63"/>
        <v>fevereiro</v>
      </c>
      <c r="P1398" s="4">
        <f t="shared" si="64"/>
        <v>2026</v>
      </c>
      <c r="Q1398" s="4" t="str">
        <f t="shared" si="65"/>
        <v/>
      </c>
      <c r="R1398" t="s">
        <v>24</v>
      </c>
    </row>
    <row r="1399" spans="1:18" x14ac:dyDescent="0.3">
      <c r="A1399" s="1" t="d">
        <v>2026-02-03</v>
      </c>
      <c r="B1399">
        <v>45506</v>
      </c>
      <c r="C1399" t="str">
        <f>VLOOKUP(Fato_Producao[[#This Row],[referencia]], Dim_Produtos!A:B,2,FALSE)</f>
        <v>perca posta</v>
      </c>
      <c r="D1399">
        <v>3413</v>
      </c>
      <c r="E1399">
        <v>3261</v>
      </c>
      <c r="F1399" s="5">
        <v>4.4499999999999998E-2</v>
      </c>
      <c r="G1399" s="6">
        <v>53.2</v>
      </c>
      <c r="H1399">
        <v>5</v>
      </c>
      <c r="I1399">
        <v>143</v>
      </c>
      <c r="J1399">
        <v>4</v>
      </c>
      <c r="K1399">
        <f>Fato_Producao[[#This Row],[embalagens_danificadas]]+Fato_Producao[[#This Row],[peso_errado]]+Fato_Producao[[#This Row],[impressao]]</f>
        <v>152</v>
      </c>
      <c r="L1399" s="1" t="d">
        <v>2026-01-13</v>
      </c>
      <c r="M1399">
        <v>21</v>
      </c>
      <c r="N1399" s="7">
        <v>7.98</v>
      </c>
      <c r="O1399" s="4" t="str">
        <f t="shared" si="63"/>
        <v>fevereiro</v>
      </c>
      <c r="P1399" s="4">
        <f t="shared" si="64"/>
        <v>2026</v>
      </c>
      <c r="Q1399" s="4" t="str">
        <f t="shared" si="65"/>
        <v/>
      </c>
      <c r="R1399" t="s">
        <v>24</v>
      </c>
    </row>
    <row r="1400" spans="1:18" x14ac:dyDescent="0.3">
      <c r="A1400" s="1" t="d">
        <v>2026-02-04</v>
      </c>
      <c r="B1400">
        <v>45503</v>
      </c>
      <c r="C1400" t="str">
        <f>VLOOKUP(Fato_Producao[[#This Row],[referencia]], Dim_Produtos!A:B,2,FALSE)</f>
        <v>sardinha pequena</v>
      </c>
      <c r="D1400">
        <v>1806</v>
      </c>
      <c r="E1400">
        <v>1710</v>
      </c>
      <c r="F1400" s="5">
        <v>5.3199999999999997E-2</v>
      </c>
      <c r="G1400" s="6">
        <v>24.96</v>
      </c>
      <c r="H1400">
        <v>3</v>
      </c>
      <c r="I1400">
        <v>92</v>
      </c>
      <c r="J1400">
        <v>1</v>
      </c>
      <c r="K1400">
        <f>Fato_Producao[[#This Row],[embalagens_danificadas]]+Fato_Producao[[#This Row],[peso_errado]]+Fato_Producao[[#This Row],[impressao]]</f>
        <v>96</v>
      </c>
      <c r="L1400" s="1" t="d">
        <v>2026-01-13</v>
      </c>
      <c r="M1400">
        <v>22</v>
      </c>
      <c r="N1400" s="7">
        <v>2.75</v>
      </c>
      <c r="O1400" s="4" t="str">
        <f t="shared" si="63"/>
        <v>fevereiro</v>
      </c>
      <c r="P1400" s="4">
        <f t="shared" si="64"/>
        <v>2026</v>
      </c>
      <c r="Q1400" s="4" t="str">
        <f t="shared" si="65"/>
        <v/>
      </c>
      <c r="R1400" t="s">
        <v>24</v>
      </c>
    </row>
    <row r="1401" spans="1:18" x14ac:dyDescent="0.3">
      <c r="A1401" s="1" t="d">
        <v>2026-02-04</v>
      </c>
      <c r="B1401">
        <v>45507</v>
      </c>
      <c r="C1401" t="str">
        <f>VLOOKUP(Fato_Producao[[#This Row],[referencia]], Dim_Produtos!A:B,2,FALSE)</f>
        <v>salmao posta</v>
      </c>
      <c r="D1401">
        <v>2877</v>
      </c>
      <c r="E1401">
        <v>2678</v>
      </c>
      <c r="F1401" s="5">
        <v>6.9199999999999998E-2</v>
      </c>
      <c r="G1401" s="6">
        <v>69.650000000000006</v>
      </c>
      <c r="H1401">
        <v>10</v>
      </c>
      <c r="I1401">
        <v>185</v>
      </c>
      <c r="J1401">
        <v>4</v>
      </c>
      <c r="K1401">
        <f>Fato_Producao[[#This Row],[embalagens_danificadas]]+Fato_Producao[[#This Row],[peso_errado]]+Fato_Producao[[#This Row],[impressao]]</f>
        <v>199</v>
      </c>
      <c r="L1401" s="1" t="d">
        <v>2026-01-13</v>
      </c>
      <c r="M1401">
        <v>22</v>
      </c>
      <c r="N1401" s="7">
        <v>11.14</v>
      </c>
      <c r="O1401" s="4" t="str">
        <f t="shared" si="63"/>
        <v>fevereiro</v>
      </c>
      <c r="P1401" s="4">
        <f t="shared" si="64"/>
        <v>2026</v>
      </c>
      <c r="Q1401" s="4" t="str">
        <f t="shared" si="65"/>
        <v/>
      </c>
      <c r="R1401" t="s">
        <v>24</v>
      </c>
    </row>
    <row r="1402" spans="1:18" x14ac:dyDescent="0.3">
      <c r="A1402" s="1" t="d">
        <v>2026-02-05</v>
      </c>
      <c r="B1402">
        <v>45507</v>
      </c>
      <c r="C1402" t="str">
        <f>VLOOKUP(Fato_Producao[[#This Row],[referencia]], Dim_Produtos!A:B,2,FALSE)</f>
        <v>salmao posta</v>
      </c>
      <c r="D1402">
        <v>3304</v>
      </c>
      <c r="E1402">
        <v>3124</v>
      </c>
      <c r="F1402" s="5">
        <v>5.45E-2</v>
      </c>
      <c r="G1402" s="6">
        <v>63</v>
      </c>
      <c r="H1402">
        <v>11</v>
      </c>
      <c r="I1402">
        <v>164</v>
      </c>
      <c r="J1402">
        <v>5</v>
      </c>
      <c r="K1402">
        <f>Fato_Producao[[#This Row],[embalagens_danificadas]]+Fato_Producao[[#This Row],[peso_errado]]+Fato_Producao[[#This Row],[impressao]]</f>
        <v>180</v>
      </c>
      <c r="L1402" s="1" t="d">
        <v>2026-01-13</v>
      </c>
      <c r="M1402">
        <v>23</v>
      </c>
      <c r="N1402" s="7">
        <v>10.08</v>
      </c>
      <c r="O1402" s="4" t="str">
        <f t="shared" si="63"/>
        <v>fevereiro</v>
      </c>
      <c r="P1402" s="4">
        <f t="shared" si="64"/>
        <v>2026</v>
      </c>
      <c r="Q1402" s="4" t="str">
        <f t="shared" si="65"/>
        <v/>
      </c>
      <c r="R1402" t="s">
        <v>24</v>
      </c>
    </row>
    <row r="1403" spans="1:18" x14ac:dyDescent="0.3">
      <c r="A1403" s="1" t="d">
        <v>2026-02-05</v>
      </c>
      <c r="B1403">
        <v>45512</v>
      </c>
      <c r="C1403" t="str">
        <f>VLOOKUP(Fato_Producao[[#This Row],[referencia]], Dim_Produtos!A:B,2,FALSE)</f>
        <v>red-fish posta</v>
      </c>
      <c r="D1403">
        <v>2759</v>
      </c>
      <c r="E1403">
        <v>2587</v>
      </c>
      <c r="F1403" s="5">
        <v>6.2300000000000001E-2</v>
      </c>
      <c r="G1403" s="6">
        <v>58.48</v>
      </c>
      <c r="H1403">
        <v>5</v>
      </c>
      <c r="I1403">
        <v>162</v>
      </c>
      <c r="J1403">
        <v>5</v>
      </c>
      <c r="K1403">
        <f>Fato_Producao[[#This Row],[embalagens_danificadas]]+Fato_Producao[[#This Row],[peso_errado]]+Fato_Producao[[#This Row],[impressao]]</f>
        <v>172</v>
      </c>
      <c r="L1403" s="1" t="d">
        <v>2026-01-13</v>
      </c>
      <c r="M1403">
        <v>23</v>
      </c>
      <c r="N1403" s="7">
        <v>8.19</v>
      </c>
      <c r="O1403" s="4" t="str">
        <f t="shared" si="63"/>
        <v>fevereiro</v>
      </c>
      <c r="P1403" s="4">
        <f t="shared" si="64"/>
        <v>2026</v>
      </c>
      <c r="Q1403" s="4" t="str">
        <f t="shared" si="65"/>
        <v/>
      </c>
      <c r="R1403" t="s">
        <v>24</v>
      </c>
    </row>
    <row r="1404" spans="1:18" x14ac:dyDescent="0.3">
      <c r="A1404" s="1" t="d">
        <v>2026-02-06</v>
      </c>
      <c r="B1404">
        <v>45503</v>
      </c>
      <c r="C1404" t="str">
        <f>VLOOKUP(Fato_Producao[[#This Row],[referencia]], Dim_Produtos!A:B,2,FALSE)</f>
        <v>sardinha pequena</v>
      </c>
      <c r="D1404">
        <v>3476</v>
      </c>
      <c r="E1404">
        <v>3237</v>
      </c>
      <c r="F1404" s="5">
        <v>6.88E-2</v>
      </c>
      <c r="G1404" s="6">
        <v>62.14</v>
      </c>
      <c r="H1404">
        <v>15</v>
      </c>
      <c r="I1404">
        <v>218</v>
      </c>
      <c r="J1404">
        <v>6</v>
      </c>
      <c r="K1404">
        <f>Fato_Producao[[#This Row],[embalagens_danificadas]]+Fato_Producao[[#This Row],[peso_errado]]+Fato_Producao[[#This Row],[impressao]]</f>
        <v>239</v>
      </c>
      <c r="L1404" s="1" t="d">
        <v>2026-01-13</v>
      </c>
      <c r="M1404">
        <v>24</v>
      </c>
      <c r="N1404" s="7">
        <v>6.84</v>
      </c>
      <c r="O1404" s="4" t="str">
        <f t="shared" si="63"/>
        <v>fevereiro</v>
      </c>
      <c r="P1404" s="4">
        <f t="shared" si="64"/>
        <v>2026</v>
      </c>
      <c r="Q1404" s="4" t="str">
        <f t="shared" si="65"/>
        <v/>
      </c>
      <c r="R1404" t="s">
        <v>24</v>
      </c>
    </row>
    <row r="1405" spans="1:18" x14ac:dyDescent="0.3">
      <c r="A1405" s="1" t="d">
        <v>2026-02-07</v>
      </c>
      <c r="B1405">
        <v>45501</v>
      </c>
      <c r="C1405" t="str">
        <f>VLOOKUP(Fato_Producao[[#This Row],[referencia]], Dim_Produtos!A:B,2,FALSE)</f>
        <v>pescada posta cozer</v>
      </c>
      <c r="D1405">
        <v>2053</v>
      </c>
      <c r="E1405">
        <v>1895</v>
      </c>
      <c r="F1405" s="5">
        <v>7.6999999999999999E-2</v>
      </c>
      <c r="G1405" s="6">
        <v>50.56</v>
      </c>
      <c r="H1405">
        <v>10</v>
      </c>
      <c r="I1405">
        <v>144</v>
      </c>
      <c r="J1405">
        <v>4</v>
      </c>
      <c r="K1405">
        <f>Fato_Producao[[#This Row],[embalagens_danificadas]]+Fato_Producao[[#This Row],[peso_errado]]+Fato_Producao[[#This Row],[impressao]]</f>
        <v>158</v>
      </c>
      <c r="L1405" s="1" t="d">
        <v>2026-01-13</v>
      </c>
      <c r="M1405">
        <v>25</v>
      </c>
      <c r="N1405" s="7">
        <v>7.08</v>
      </c>
      <c r="O1405" s="4" t="str">
        <f t="shared" si="63"/>
        <v>fevereiro</v>
      </c>
      <c r="P1405" s="4">
        <f t="shared" si="64"/>
        <v>2026</v>
      </c>
      <c r="Q1405" s="4" t="str">
        <f t="shared" si="65"/>
        <v/>
      </c>
      <c r="R1405" t="s">
        <v>24</v>
      </c>
    </row>
    <row r="1406" spans="1:18" x14ac:dyDescent="0.3">
      <c r="A1406" s="1" t="d">
        <v>2026-02-07</v>
      </c>
      <c r="B1406">
        <v>45505</v>
      </c>
      <c r="C1406" t="str">
        <f>VLOOKUP(Fato_Producao[[#This Row],[referencia]], Dim_Produtos!A:B,2,FALSE)</f>
        <v>camarao</v>
      </c>
      <c r="D1406">
        <v>2836</v>
      </c>
      <c r="E1406">
        <v>2657</v>
      </c>
      <c r="F1406" s="5">
        <v>6.3100000000000003E-2</v>
      </c>
      <c r="G1406" s="6">
        <v>53.7</v>
      </c>
      <c r="H1406">
        <v>34</v>
      </c>
      <c r="I1406">
        <v>140</v>
      </c>
      <c r="J1406">
        <v>5</v>
      </c>
      <c r="K1406">
        <f>Fato_Producao[[#This Row],[embalagens_danificadas]]+Fato_Producao[[#This Row],[peso_errado]]+Fato_Producao[[#This Row],[impressao]]</f>
        <v>179</v>
      </c>
      <c r="L1406" s="1" t="d">
        <v>2026-01-13</v>
      </c>
      <c r="M1406">
        <v>25</v>
      </c>
      <c r="N1406" s="7">
        <v>8.0500000000000007</v>
      </c>
      <c r="O1406" s="4" t="str">
        <f t="shared" si="63"/>
        <v>fevereiro</v>
      </c>
      <c r="P1406" s="4">
        <f t="shared" si="64"/>
        <v>2026</v>
      </c>
      <c r="Q1406" s="4" t="str">
        <f t="shared" si="65"/>
        <v/>
      </c>
      <c r="R1406" t="s">
        <v>24</v>
      </c>
    </row>
    <row r="1407" spans="1:18" x14ac:dyDescent="0.3">
      <c r="A1407" s="1" t="d">
        <v>2026-02-08</v>
      </c>
      <c r="B1407">
        <v>45506</v>
      </c>
      <c r="C1407" t="str">
        <f>VLOOKUP(Fato_Producao[[#This Row],[referencia]], Dim_Produtos!A:B,2,FALSE)</f>
        <v>perca posta</v>
      </c>
      <c r="D1407">
        <v>2562</v>
      </c>
      <c r="E1407">
        <v>2400</v>
      </c>
      <c r="F1407" s="5">
        <v>6.3200000000000006E-2</v>
      </c>
      <c r="G1407" s="6">
        <v>56.7</v>
      </c>
      <c r="H1407">
        <v>4</v>
      </c>
      <c r="I1407">
        <v>154</v>
      </c>
      <c r="J1407">
        <v>4</v>
      </c>
      <c r="K1407">
        <f>Fato_Producao[[#This Row],[embalagens_danificadas]]+Fato_Producao[[#This Row],[peso_errado]]+Fato_Producao[[#This Row],[impressao]]</f>
        <v>162</v>
      </c>
      <c r="L1407" s="1" t="d">
        <v>2026-01-13</v>
      </c>
      <c r="M1407">
        <v>26</v>
      </c>
      <c r="N1407" s="7">
        <v>8.51</v>
      </c>
      <c r="O1407" s="4" t="str">
        <f t="shared" si="63"/>
        <v>fevereiro</v>
      </c>
      <c r="P1407" s="4">
        <f t="shared" si="64"/>
        <v>2026</v>
      </c>
      <c r="Q1407" s="4" t="str">
        <f t="shared" si="65"/>
        <v/>
      </c>
      <c r="R1407" t="s">
        <v>24</v>
      </c>
    </row>
    <row r="1408" spans="1:18" x14ac:dyDescent="0.3">
      <c r="A1408" s="1" t="d">
        <v>2026-02-08</v>
      </c>
      <c r="B1408">
        <v>45513</v>
      </c>
      <c r="C1408" t="str">
        <f>VLOOKUP(Fato_Producao[[#This Row],[referencia]], Dim_Produtos!A:B,2,FALSE)</f>
        <v>filete pescada</v>
      </c>
      <c r="D1408">
        <v>3794</v>
      </c>
      <c r="E1408">
        <v>3580</v>
      </c>
      <c r="F1408" s="5">
        <v>5.6399999999999999E-2</v>
      </c>
      <c r="G1408" s="6">
        <v>68.48</v>
      </c>
      <c r="H1408">
        <v>8</v>
      </c>
      <c r="I1408">
        <v>202</v>
      </c>
      <c r="J1408">
        <v>4</v>
      </c>
      <c r="K1408">
        <f>Fato_Producao[[#This Row],[embalagens_danificadas]]+Fato_Producao[[#This Row],[peso_errado]]+Fato_Producao[[#This Row],[impressao]]</f>
        <v>214</v>
      </c>
      <c r="L1408" s="1" t="d">
        <v>2026-01-13</v>
      </c>
      <c r="M1408">
        <v>26</v>
      </c>
      <c r="N1408" s="7">
        <v>8.9</v>
      </c>
      <c r="O1408" s="4" t="str">
        <f t="shared" si="63"/>
        <v>fevereiro</v>
      </c>
      <c r="P1408" s="4">
        <f t="shared" si="64"/>
        <v>2026</v>
      </c>
      <c r="Q1408" s="4" t="str">
        <f t="shared" si="65"/>
        <v/>
      </c>
      <c r="R1408" t="s">
        <v>24</v>
      </c>
    </row>
    <row r="1409" spans="1:18" x14ac:dyDescent="0.3">
      <c r="A1409" s="1" t="d">
        <v>2026-02-09</v>
      </c>
      <c r="B1409">
        <v>45512</v>
      </c>
      <c r="C1409" t="str">
        <f>VLOOKUP(Fato_Producao[[#This Row],[referencia]], Dim_Produtos!A:B,2,FALSE)</f>
        <v>red-fish posta</v>
      </c>
      <c r="D1409">
        <v>2486</v>
      </c>
      <c r="E1409">
        <v>2283</v>
      </c>
      <c r="F1409" s="5">
        <v>8.1699999999999995E-2</v>
      </c>
      <c r="G1409" s="6">
        <v>69.02</v>
      </c>
      <c r="H1409">
        <v>5</v>
      </c>
      <c r="I1409">
        <v>194</v>
      </c>
      <c r="J1409">
        <v>4</v>
      </c>
      <c r="K1409">
        <f>Fato_Producao[[#This Row],[embalagens_danificadas]]+Fato_Producao[[#This Row],[peso_errado]]+Fato_Producao[[#This Row],[impressao]]</f>
        <v>203</v>
      </c>
      <c r="L1409" s="1" t="d">
        <v>2026-01-13</v>
      </c>
      <c r="M1409">
        <v>27</v>
      </c>
      <c r="N1409" s="7">
        <v>9.66</v>
      </c>
      <c r="O1409" s="4" t="str">
        <f t="shared" si="63"/>
        <v>fevereiro</v>
      </c>
      <c r="P1409" s="4">
        <f t="shared" si="64"/>
        <v>2026</v>
      </c>
      <c r="Q1409" s="4" t="str">
        <f t="shared" si="65"/>
        <v/>
      </c>
      <c r="R1409" t="s">
        <v>24</v>
      </c>
    </row>
    <row r="1410" spans="1:18" x14ac:dyDescent="0.3">
      <c r="A1410" s="1" t="d">
        <v>2026-02-09</v>
      </c>
      <c r="B1410">
        <v>45510</v>
      </c>
      <c r="C1410" t="str">
        <f>VLOOKUP(Fato_Producao[[#This Row],[referencia]], Dim_Produtos!A:B,2,FALSE)</f>
        <v>tiras pota</v>
      </c>
      <c r="D1410">
        <v>3138</v>
      </c>
      <c r="E1410">
        <v>2851</v>
      </c>
      <c r="F1410" s="5">
        <v>9.1499999999999998E-2</v>
      </c>
      <c r="G1410" s="6">
        <v>91.84</v>
      </c>
      <c r="H1410">
        <v>42</v>
      </c>
      <c r="I1410">
        <v>237</v>
      </c>
      <c r="J1410">
        <v>8</v>
      </c>
      <c r="K1410">
        <f>Fato_Producao[[#This Row],[embalagens_danificadas]]+Fato_Producao[[#This Row],[peso_errado]]+Fato_Producao[[#This Row],[impressao]]</f>
        <v>287</v>
      </c>
      <c r="L1410" s="1" t="d">
        <v>2026-01-13</v>
      </c>
      <c r="M1410">
        <v>27</v>
      </c>
      <c r="N1410" s="7">
        <v>12.86</v>
      </c>
      <c r="O1410" s="4" t="str">
        <f t="shared" ref="O1410:O1473" si="66">TEXT(A1410, "mmmm")</f>
        <v>fevereiro</v>
      </c>
      <c r="P1410" s="4">
        <f t="shared" ref="P1410:P1473" si="67">YEAR(A1410)</f>
        <v>2026</v>
      </c>
      <c r="Q1410" s="4" t="str">
        <f t="shared" ref="Q1410:Q1473" si="68">IF(M1411 &gt;= M1410, "", M1410)</f>
        <v/>
      </c>
      <c r="R1410" t="s">
        <v>24</v>
      </c>
    </row>
    <row r="1411" spans="1:18" x14ac:dyDescent="0.3">
      <c r="A1411" s="1" t="d">
        <v>2026-02-10</v>
      </c>
      <c r="B1411">
        <v>45511</v>
      </c>
      <c r="C1411" t="str">
        <f>VLOOKUP(Fato_Producao[[#This Row],[referencia]], Dim_Produtos!A:B,2,FALSE)</f>
        <v>lula limpa</v>
      </c>
      <c r="D1411">
        <v>3777</v>
      </c>
      <c r="E1411">
        <v>3459</v>
      </c>
      <c r="F1411" s="5">
        <v>8.4199999999999997E-2</v>
      </c>
      <c r="G1411" s="6">
        <v>101.76</v>
      </c>
      <c r="H1411">
        <v>107</v>
      </c>
      <c r="I1411">
        <v>95</v>
      </c>
      <c r="J1411">
        <v>116</v>
      </c>
      <c r="K1411">
        <f>Fato_Producao[[#This Row],[embalagens_danificadas]]+Fato_Producao[[#This Row],[peso_errado]]+Fato_Producao[[#This Row],[impressao]]</f>
        <v>318</v>
      </c>
      <c r="L1411" s="1" t="d">
        <v>2026-01-13</v>
      </c>
      <c r="M1411">
        <v>28</v>
      </c>
      <c r="N1411" s="7">
        <v>14.25</v>
      </c>
      <c r="O1411" s="4" t="str">
        <f t="shared" si="66"/>
        <v>fevereiro</v>
      </c>
      <c r="P1411" s="4">
        <f t="shared" si="67"/>
        <v>2026</v>
      </c>
      <c r="Q1411" s="4" t="str">
        <f t="shared" si="68"/>
        <v/>
      </c>
      <c r="R1411" t="s">
        <v>50</v>
      </c>
    </row>
    <row r="1412" spans="1:18" x14ac:dyDescent="0.3">
      <c r="A1412" s="1" t="d">
        <v>2026-02-10</v>
      </c>
      <c r="B1412">
        <v>45503</v>
      </c>
      <c r="C1412" t="str">
        <f>VLOOKUP(Fato_Producao[[#This Row],[referencia]], Dim_Produtos!A:B,2,FALSE)</f>
        <v>sardinha pequena</v>
      </c>
      <c r="D1412">
        <v>2623</v>
      </c>
      <c r="E1412">
        <v>2433</v>
      </c>
      <c r="F1412" s="5">
        <v>7.2400000000000006E-2</v>
      </c>
      <c r="G1412" s="6">
        <v>49.4</v>
      </c>
      <c r="H1412">
        <v>6</v>
      </c>
      <c r="I1412">
        <v>181</v>
      </c>
      <c r="J1412">
        <v>3</v>
      </c>
      <c r="K1412">
        <f>Fato_Producao[[#This Row],[embalagens_danificadas]]+Fato_Producao[[#This Row],[peso_errado]]+Fato_Producao[[#This Row],[impressao]]</f>
        <v>190</v>
      </c>
      <c r="L1412" s="1" t="d">
        <v>2026-01-13</v>
      </c>
      <c r="M1412">
        <v>28</v>
      </c>
      <c r="N1412" s="7">
        <v>5.43</v>
      </c>
      <c r="O1412" s="4" t="str">
        <f t="shared" si="66"/>
        <v>fevereiro</v>
      </c>
      <c r="P1412" s="4">
        <f t="shared" si="67"/>
        <v>2026</v>
      </c>
      <c r="Q1412" s="4" t="str">
        <f t="shared" si="68"/>
        <v/>
      </c>
      <c r="R1412" t="s">
        <v>24</v>
      </c>
    </row>
    <row r="1413" spans="1:18" x14ac:dyDescent="0.3">
      <c r="A1413" s="1" t="d">
        <v>2026-02-11</v>
      </c>
      <c r="B1413">
        <v>45514</v>
      </c>
      <c r="C1413" t="str">
        <f>VLOOKUP(Fato_Producao[[#This Row],[referencia]], Dim_Produtos!A:B,2,FALSE)</f>
        <v>sardinha pequena</v>
      </c>
      <c r="D1413">
        <v>3023</v>
      </c>
      <c r="E1413">
        <v>2805</v>
      </c>
      <c r="F1413" s="5">
        <v>7.2099999999999997E-2</v>
      </c>
      <c r="G1413" s="6">
        <v>65.400000000000006</v>
      </c>
      <c r="H1413">
        <v>13</v>
      </c>
      <c r="I1413">
        <v>199</v>
      </c>
      <c r="J1413">
        <v>6</v>
      </c>
      <c r="K1413">
        <f>Fato_Producao[[#This Row],[embalagens_danificadas]]+Fato_Producao[[#This Row],[peso_errado]]+Fato_Producao[[#This Row],[impressao]]</f>
        <v>218</v>
      </c>
      <c r="L1413" s="1" t="d">
        <v>2026-01-13</v>
      </c>
      <c r="M1413">
        <v>29</v>
      </c>
      <c r="N1413" s="7">
        <v>7.85</v>
      </c>
      <c r="O1413" s="4" t="str">
        <f t="shared" si="66"/>
        <v>fevereiro</v>
      </c>
      <c r="P1413" s="4">
        <f t="shared" si="67"/>
        <v>2026</v>
      </c>
      <c r="Q1413" s="4" t="str">
        <f t="shared" si="68"/>
        <v/>
      </c>
      <c r="R1413" t="s">
        <v>24</v>
      </c>
    </row>
    <row r="1414" spans="1:18" x14ac:dyDescent="0.3">
      <c r="A1414" s="1" t="d">
        <v>2026-02-11</v>
      </c>
      <c r="B1414">
        <v>45508</v>
      </c>
      <c r="C1414" t="str">
        <f>VLOOKUP(Fato_Producao[[#This Row],[referencia]], Dim_Produtos!A:B,2,FALSE)</f>
        <v>lula suja</v>
      </c>
      <c r="D1414">
        <v>3586</v>
      </c>
      <c r="E1414">
        <v>3231</v>
      </c>
      <c r="F1414" s="5">
        <v>9.9000000000000005E-2</v>
      </c>
      <c r="G1414" s="6">
        <v>113.6</v>
      </c>
      <c r="H1414">
        <v>50</v>
      </c>
      <c r="I1414">
        <v>297</v>
      </c>
      <c r="J1414">
        <v>8</v>
      </c>
      <c r="K1414">
        <f>Fato_Producao[[#This Row],[embalagens_danificadas]]+Fato_Producao[[#This Row],[peso_errado]]+Fato_Producao[[#This Row],[impressao]]</f>
        <v>355</v>
      </c>
      <c r="L1414" s="1" t="d">
        <v>2026-01-13</v>
      </c>
      <c r="M1414">
        <v>29</v>
      </c>
      <c r="N1414" s="7">
        <v>15.9</v>
      </c>
      <c r="O1414" s="4" t="str">
        <f t="shared" si="66"/>
        <v>fevereiro</v>
      </c>
      <c r="P1414" s="4">
        <f t="shared" si="67"/>
        <v>2026</v>
      </c>
      <c r="Q1414" s="4" t="str">
        <f t="shared" si="68"/>
        <v/>
      </c>
      <c r="R1414" t="s">
        <v>24</v>
      </c>
    </row>
    <row r="1415" spans="1:18" x14ac:dyDescent="0.3">
      <c r="A1415" s="1" t="d">
        <v>2026-02-12</v>
      </c>
      <c r="B1415">
        <v>45505</v>
      </c>
      <c r="C1415" t="str">
        <f>VLOOKUP(Fato_Producao[[#This Row],[referencia]], Dim_Produtos!A:B,2,FALSE)</f>
        <v>camarao</v>
      </c>
      <c r="D1415">
        <v>2081</v>
      </c>
      <c r="E1415">
        <v>1921</v>
      </c>
      <c r="F1415" s="5">
        <v>7.6899999999999996E-2</v>
      </c>
      <c r="G1415" s="6">
        <v>48</v>
      </c>
      <c r="H1415">
        <v>33</v>
      </c>
      <c r="I1415">
        <v>125</v>
      </c>
      <c r="J1415">
        <v>2</v>
      </c>
      <c r="K1415">
        <f>Fato_Producao[[#This Row],[embalagens_danificadas]]+Fato_Producao[[#This Row],[peso_errado]]+Fato_Producao[[#This Row],[impressao]]</f>
        <v>160</v>
      </c>
      <c r="L1415" s="1" t="d">
        <v>2026-01-13</v>
      </c>
      <c r="M1415">
        <v>30</v>
      </c>
      <c r="N1415" s="7">
        <v>7.2</v>
      </c>
      <c r="O1415" s="4" t="str">
        <f t="shared" si="66"/>
        <v>fevereiro</v>
      </c>
      <c r="P1415" s="4">
        <f t="shared" si="67"/>
        <v>2026</v>
      </c>
      <c r="Q1415" s="4" t="str">
        <f t="shared" si="68"/>
        <v/>
      </c>
      <c r="R1415" t="s">
        <v>24</v>
      </c>
    </row>
    <row r="1416" spans="1:18" x14ac:dyDescent="0.3">
      <c r="A1416" s="1" t="d">
        <v>2026-02-13</v>
      </c>
      <c r="B1416">
        <v>45507</v>
      </c>
      <c r="C1416" t="str">
        <f>VLOOKUP(Fato_Producao[[#This Row],[referencia]], Dim_Produtos!A:B,2,FALSE)</f>
        <v>salmao posta</v>
      </c>
      <c r="D1416">
        <v>2565</v>
      </c>
      <c r="E1416">
        <v>2333</v>
      </c>
      <c r="F1416" s="5">
        <v>9.0399999999999994E-2</v>
      </c>
      <c r="G1416" s="6">
        <v>81.2</v>
      </c>
      <c r="H1416">
        <v>11</v>
      </c>
      <c r="I1416">
        <v>216</v>
      </c>
      <c r="J1416">
        <v>5</v>
      </c>
      <c r="K1416">
        <f>Fato_Producao[[#This Row],[embalagens_danificadas]]+Fato_Producao[[#This Row],[peso_errado]]+Fato_Producao[[#This Row],[impressao]]</f>
        <v>232</v>
      </c>
      <c r="L1416" s="1" t="d">
        <v>2026-01-13</v>
      </c>
      <c r="M1416">
        <v>31</v>
      </c>
      <c r="N1416" s="7">
        <v>12.99</v>
      </c>
      <c r="O1416" s="4" t="str">
        <f t="shared" si="66"/>
        <v>fevereiro</v>
      </c>
      <c r="P1416" s="4">
        <f t="shared" si="67"/>
        <v>2026</v>
      </c>
      <c r="Q1416" s="4" t="str">
        <f t="shared" si="68"/>
        <v/>
      </c>
      <c r="R1416" t="s">
        <v>24</v>
      </c>
    </row>
    <row r="1417" spans="1:18" x14ac:dyDescent="0.3">
      <c r="A1417" s="1" t="d">
        <v>2026-02-13</v>
      </c>
      <c r="B1417">
        <v>45508</v>
      </c>
      <c r="C1417" t="str">
        <f>VLOOKUP(Fato_Producao[[#This Row],[referencia]], Dim_Produtos!A:B,2,FALSE)</f>
        <v>lula suja</v>
      </c>
      <c r="D1417">
        <v>3942</v>
      </c>
      <c r="E1417">
        <v>3652</v>
      </c>
      <c r="F1417" s="5">
        <v>7.3599999999999999E-2</v>
      </c>
      <c r="G1417" s="6">
        <v>92.8</v>
      </c>
      <c r="H1417">
        <v>36</v>
      </c>
      <c r="I1417">
        <v>248</v>
      </c>
      <c r="J1417">
        <v>6</v>
      </c>
      <c r="K1417">
        <f>Fato_Producao[[#This Row],[embalagens_danificadas]]+Fato_Producao[[#This Row],[peso_errado]]+Fato_Producao[[#This Row],[impressao]]</f>
        <v>290</v>
      </c>
      <c r="L1417" s="1" t="d">
        <v>2026-01-13</v>
      </c>
      <c r="M1417">
        <v>31</v>
      </c>
      <c r="N1417" s="7">
        <v>12.99</v>
      </c>
      <c r="O1417" s="4" t="str">
        <f t="shared" si="66"/>
        <v>fevereiro</v>
      </c>
      <c r="P1417" s="4">
        <f t="shared" si="67"/>
        <v>2026</v>
      </c>
      <c r="Q1417" s="4" t="str">
        <f t="shared" si="68"/>
        <v/>
      </c>
      <c r="R1417" t="s">
        <v>24</v>
      </c>
    </row>
    <row r="1418" spans="1:18" x14ac:dyDescent="0.3">
      <c r="A1418" s="1" t="d">
        <v>2026-02-14</v>
      </c>
      <c r="B1418">
        <v>45509</v>
      </c>
      <c r="C1418" t="str">
        <f>VLOOKUP(Fato_Producao[[#This Row],[referencia]], Dim_Produtos!A:B,2,FALSE)</f>
        <v>lascas bacalhau</v>
      </c>
      <c r="D1418">
        <v>2453</v>
      </c>
      <c r="E1418">
        <v>2259</v>
      </c>
      <c r="F1418" s="5">
        <v>7.9100000000000004E-2</v>
      </c>
      <c r="G1418" s="6">
        <v>54.32</v>
      </c>
      <c r="H1418">
        <v>11</v>
      </c>
      <c r="I1418">
        <v>178</v>
      </c>
      <c r="J1418">
        <v>5</v>
      </c>
      <c r="K1418">
        <f>Fato_Producao[[#This Row],[embalagens_danificadas]]+Fato_Producao[[#This Row],[peso_errado]]+Fato_Producao[[#This Row],[impressao]]</f>
        <v>194</v>
      </c>
      <c r="L1418" s="1" t="d">
        <v>2026-01-13</v>
      </c>
      <c r="M1418">
        <v>32</v>
      </c>
      <c r="N1418" s="7">
        <v>7.06</v>
      </c>
      <c r="O1418" s="4" t="str">
        <f t="shared" si="66"/>
        <v>fevereiro</v>
      </c>
      <c r="P1418" s="4">
        <f t="shared" si="67"/>
        <v>2026</v>
      </c>
      <c r="Q1418" s="4" t="str">
        <f t="shared" si="68"/>
        <v/>
      </c>
      <c r="R1418" t="s">
        <v>24</v>
      </c>
    </row>
    <row r="1419" spans="1:18" x14ac:dyDescent="0.3">
      <c r="A1419" s="1" t="d">
        <v>2026-02-14</v>
      </c>
      <c r="B1419">
        <v>45501</v>
      </c>
      <c r="C1419" t="str">
        <f>VLOOKUP(Fato_Producao[[#This Row],[referencia]], Dim_Produtos!A:B,2,FALSE)</f>
        <v>pescada posta cozer</v>
      </c>
      <c r="D1419">
        <v>3077</v>
      </c>
      <c r="E1419">
        <v>2833</v>
      </c>
      <c r="F1419" s="5">
        <v>7.9299999999999995E-2</v>
      </c>
      <c r="G1419" s="6">
        <v>78.08</v>
      </c>
      <c r="H1419">
        <v>15</v>
      </c>
      <c r="I1419">
        <v>223</v>
      </c>
      <c r="J1419">
        <v>6</v>
      </c>
      <c r="K1419">
        <f>Fato_Producao[[#This Row],[embalagens_danificadas]]+Fato_Producao[[#This Row],[peso_errado]]+Fato_Producao[[#This Row],[impressao]]</f>
        <v>244</v>
      </c>
      <c r="L1419" s="1" t="d">
        <v>2026-01-13</v>
      </c>
      <c r="M1419">
        <v>32</v>
      </c>
      <c r="N1419" s="7">
        <v>10.93</v>
      </c>
      <c r="O1419" s="4" t="str">
        <f t="shared" si="66"/>
        <v>fevereiro</v>
      </c>
      <c r="P1419" s="4">
        <f t="shared" si="67"/>
        <v>2026</v>
      </c>
      <c r="Q1419" s="4" t="str">
        <f t="shared" si="68"/>
        <v/>
      </c>
      <c r="R1419" t="s">
        <v>24</v>
      </c>
    </row>
    <row r="1420" spans="1:18" x14ac:dyDescent="0.3">
      <c r="A1420" s="1" t="d">
        <v>2026-02-15</v>
      </c>
      <c r="B1420">
        <v>45511</v>
      </c>
      <c r="C1420" t="str">
        <f>VLOOKUP(Fato_Producao[[#This Row],[referencia]], Dim_Produtos!A:B,2,FALSE)</f>
        <v>lula limpa</v>
      </c>
      <c r="D1420">
        <v>2262</v>
      </c>
      <c r="E1420">
        <v>2031</v>
      </c>
      <c r="F1420" s="5">
        <v>0.1021</v>
      </c>
      <c r="G1420" s="6">
        <v>73.92</v>
      </c>
      <c r="H1420">
        <v>22</v>
      </c>
      <c r="I1420">
        <v>203</v>
      </c>
      <c r="J1420">
        <v>6</v>
      </c>
      <c r="K1420">
        <f>Fato_Producao[[#This Row],[embalagens_danificadas]]+Fato_Producao[[#This Row],[peso_errado]]+Fato_Producao[[#This Row],[impressao]]</f>
        <v>231</v>
      </c>
      <c r="L1420" s="1" t="d">
        <v>2026-01-13</v>
      </c>
      <c r="M1420">
        <v>33</v>
      </c>
      <c r="N1420" s="7">
        <v>10.35</v>
      </c>
      <c r="O1420" s="4" t="str">
        <f t="shared" si="66"/>
        <v>fevereiro</v>
      </c>
      <c r="P1420" s="4">
        <f t="shared" si="67"/>
        <v>2026</v>
      </c>
      <c r="Q1420" s="4" t="str">
        <f t="shared" si="68"/>
        <v/>
      </c>
      <c r="R1420" t="s">
        <v>24</v>
      </c>
    </row>
    <row r="1421" spans="1:18" x14ac:dyDescent="0.3">
      <c r="A1421" s="1" t="d">
        <v>2026-02-16</v>
      </c>
      <c r="B1421">
        <v>45509</v>
      </c>
      <c r="C1421" t="str">
        <f>VLOOKUP(Fato_Producao[[#This Row],[referencia]], Dim_Produtos!A:B,2,FALSE)</f>
        <v>lascas bacalhau</v>
      </c>
      <c r="D1421">
        <v>3931</v>
      </c>
      <c r="E1421">
        <v>3634</v>
      </c>
      <c r="F1421" s="5">
        <v>7.5600000000000001E-2</v>
      </c>
      <c r="G1421" s="6">
        <v>83.16</v>
      </c>
      <c r="H1421">
        <v>17</v>
      </c>
      <c r="I1421">
        <v>276</v>
      </c>
      <c r="J1421">
        <v>4</v>
      </c>
      <c r="K1421">
        <f>Fato_Producao[[#This Row],[embalagens_danificadas]]+Fato_Producao[[#This Row],[peso_errado]]+Fato_Producao[[#This Row],[impressao]]</f>
        <v>297</v>
      </c>
      <c r="L1421" s="1" t="d">
        <v>2026-01-13</v>
      </c>
      <c r="M1421">
        <v>34</v>
      </c>
      <c r="N1421" s="7">
        <v>10.81</v>
      </c>
      <c r="O1421" s="4" t="str">
        <f t="shared" si="66"/>
        <v>fevereiro</v>
      </c>
      <c r="P1421" s="4">
        <f t="shared" si="67"/>
        <v>2026</v>
      </c>
      <c r="Q1421" s="4" t="str">
        <f t="shared" si="68"/>
        <v/>
      </c>
      <c r="R1421" t="s">
        <v>24</v>
      </c>
    </row>
    <row r="1422" spans="1:18" x14ac:dyDescent="0.3">
      <c r="A1422" s="1" t="d">
        <v>2026-02-16</v>
      </c>
      <c r="B1422">
        <v>45501</v>
      </c>
      <c r="C1422" t="str">
        <f>VLOOKUP(Fato_Producao[[#This Row],[referencia]], Dim_Produtos!A:B,2,FALSE)</f>
        <v>pescada posta cozer</v>
      </c>
      <c r="D1422">
        <v>2989</v>
      </c>
      <c r="E1422">
        <v>2793</v>
      </c>
      <c r="F1422" s="5">
        <v>6.5600000000000006E-2</v>
      </c>
      <c r="G1422" s="6">
        <v>62.72</v>
      </c>
      <c r="H1422">
        <v>5</v>
      </c>
      <c r="I1422">
        <v>187</v>
      </c>
      <c r="J1422">
        <v>4</v>
      </c>
      <c r="K1422">
        <f>Fato_Producao[[#This Row],[embalagens_danificadas]]+Fato_Producao[[#This Row],[peso_errado]]+Fato_Producao[[#This Row],[impressao]]</f>
        <v>196</v>
      </c>
      <c r="L1422" s="1" t="d">
        <v>2026-01-13</v>
      </c>
      <c r="M1422">
        <v>34</v>
      </c>
      <c r="N1422" s="7">
        <v>8.7799999999999994</v>
      </c>
      <c r="O1422" s="4" t="str">
        <f t="shared" si="66"/>
        <v>fevereiro</v>
      </c>
      <c r="P1422" s="4">
        <f t="shared" si="67"/>
        <v>2026</v>
      </c>
      <c r="Q1422" s="4" t="str">
        <f t="shared" si="68"/>
        <v/>
      </c>
      <c r="R1422" t="s">
        <v>24</v>
      </c>
    </row>
    <row r="1423" spans="1:18" x14ac:dyDescent="0.3">
      <c r="A1423" s="1" t="d">
        <v>2026-02-17</v>
      </c>
      <c r="B1423">
        <v>45511</v>
      </c>
      <c r="C1423" t="str">
        <f>VLOOKUP(Fato_Producao[[#This Row],[referencia]], Dim_Produtos!A:B,2,FALSE)</f>
        <v>lula limpa</v>
      </c>
      <c r="D1423">
        <v>2534</v>
      </c>
      <c r="E1423">
        <v>2325</v>
      </c>
      <c r="F1423" s="5">
        <v>8.2500000000000004E-2</v>
      </c>
      <c r="G1423" s="6">
        <v>66.88</v>
      </c>
      <c r="H1423">
        <v>26</v>
      </c>
      <c r="I1423">
        <v>177</v>
      </c>
      <c r="J1423">
        <v>6</v>
      </c>
      <c r="K1423">
        <f>Fato_Producao[[#This Row],[embalagens_danificadas]]+Fato_Producao[[#This Row],[peso_errado]]+Fato_Producao[[#This Row],[impressao]]</f>
        <v>209</v>
      </c>
      <c r="L1423" s="1" t="d">
        <v>2026-01-13</v>
      </c>
      <c r="M1423">
        <v>35</v>
      </c>
      <c r="N1423" s="7">
        <v>9.36</v>
      </c>
      <c r="O1423" s="4" t="str">
        <f t="shared" si="66"/>
        <v>fevereiro</v>
      </c>
      <c r="P1423" s="4">
        <f t="shared" si="67"/>
        <v>2026</v>
      </c>
      <c r="Q1423" s="4" t="str">
        <f t="shared" si="68"/>
        <v/>
      </c>
      <c r="R1423" t="s">
        <v>24</v>
      </c>
    </row>
    <row r="1424" spans="1:18" x14ac:dyDescent="0.3">
      <c r="A1424" s="1" t="d">
        <v>2026-02-17</v>
      </c>
      <c r="B1424">
        <v>45508</v>
      </c>
      <c r="C1424" t="str">
        <f>VLOOKUP(Fato_Producao[[#This Row],[referencia]], Dim_Produtos!A:B,2,FALSE)</f>
        <v>lula suja</v>
      </c>
      <c r="D1424">
        <v>3972</v>
      </c>
      <c r="E1424">
        <v>3552</v>
      </c>
      <c r="F1424" s="5">
        <v>0.1057</v>
      </c>
      <c r="G1424" s="6">
        <v>134.4</v>
      </c>
      <c r="H1424">
        <v>46</v>
      </c>
      <c r="I1424">
        <v>365</v>
      </c>
      <c r="J1424">
        <v>9</v>
      </c>
      <c r="K1424">
        <f>Fato_Producao[[#This Row],[embalagens_danificadas]]+Fato_Producao[[#This Row],[peso_errado]]+Fato_Producao[[#This Row],[impressao]]</f>
        <v>420</v>
      </c>
      <c r="L1424" s="1" t="d">
        <v>2026-01-13</v>
      </c>
      <c r="M1424">
        <v>35</v>
      </c>
      <c r="N1424" s="7">
        <v>18.82</v>
      </c>
      <c r="O1424" s="4" t="str">
        <f t="shared" si="66"/>
        <v>fevereiro</v>
      </c>
      <c r="P1424" s="4">
        <f t="shared" si="67"/>
        <v>2026</v>
      </c>
      <c r="Q1424" s="4" t="str">
        <f t="shared" si="68"/>
        <v/>
      </c>
      <c r="R1424" t="s">
        <v>24</v>
      </c>
    </row>
    <row r="1425" spans="1:18" x14ac:dyDescent="0.3">
      <c r="A1425" s="1" t="d">
        <v>2026-02-18</v>
      </c>
      <c r="B1425">
        <v>45514</v>
      </c>
      <c r="C1425" t="str">
        <f>VLOOKUP(Fato_Producao[[#This Row],[referencia]], Dim_Produtos!A:B,2,FALSE)</f>
        <v>sardinha pequena</v>
      </c>
      <c r="D1425">
        <v>4168</v>
      </c>
      <c r="E1425">
        <v>3735</v>
      </c>
      <c r="F1425" s="5">
        <v>0.10390000000000001</v>
      </c>
      <c r="G1425" s="6">
        <v>129.9</v>
      </c>
      <c r="H1425">
        <v>27</v>
      </c>
      <c r="I1425">
        <v>400</v>
      </c>
      <c r="J1425">
        <v>6</v>
      </c>
      <c r="K1425">
        <f>Fato_Producao[[#This Row],[embalagens_danificadas]]+Fato_Producao[[#This Row],[peso_errado]]+Fato_Producao[[#This Row],[impressao]]</f>
        <v>433</v>
      </c>
      <c r="L1425" s="1" t="d">
        <v>2026-01-13</v>
      </c>
      <c r="M1425">
        <v>36</v>
      </c>
      <c r="N1425" s="7">
        <v>15.59</v>
      </c>
      <c r="O1425" s="4" t="str">
        <f t="shared" si="66"/>
        <v>fevereiro</v>
      </c>
      <c r="P1425" s="4">
        <f t="shared" si="67"/>
        <v>2026</v>
      </c>
      <c r="Q1425" s="4" t="str">
        <f t="shared" si="68"/>
        <v/>
      </c>
      <c r="R1425" t="s">
        <v>24</v>
      </c>
    </row>
    <row r="1426" spans="1:18" x14ac:dyDescent="0.3">
      <c r="A1426" s="1" t="d">
        <v>2026-02-18</v>
      </c>
      <c r="B1426">
        <v>45511</v>
      </c>
      <c r="C1426" t="str">
        <f>VLOOKUP(Fato_Producao[[#This Row],[referencia]], Dim_Produtos!A:B,2,FALSE)</f>
        <v>lula limpa</v>
      </c>
      <c r="D1426">
        <v>2411</v>
      </c>
      <c r="E1426">
        <v>2149</v>
      </c>
      <c r="F1426" s="5">
        <v>0.1087</v>
      </c>
      <c r="G1426" s="6">
        <v>83.84</v>
      </c>
      <c r="H1426">
        <v>25</v>
      </c>
      <c r="I1426">
        <v>230</v>
      </c>
      <c r="J1426">
        <v>7</v>
      </c>
      <c r="K1426">
        <f>Fato_Producao[[#This Row],[embalagens_danificadas]]+Fato_Producao[[#This Row],[peso_errado]]+Fato_Producao[[#This Row],[impressao]]</f>
        <v>262</v>
      </c>
      <c r="L1426" s="1" t="d">
        <v>2026-01-13</v>
      </c>
      <c r="M1426">
        <v>36</v>
      </c>
      <c r="N1426" s="7">
        <v>11.74</v>
      </c>
      <c r="O1426" s="4" t="str">
        <f t="shared" si="66"/>
        <v>fevereiro</v>
      </c>
      <c r="P1426" s="4">
        <f t="shared" si="67"/>
        <v>2026</v>
      </c>
      <c r="Q1426" s="4" t="str">
        <f t="shared" si="68"/>
        <v/>
      </c>
      <c r="R1426" t="s">
        <v>24</v>
      </c>
    </row>
    <row r="1427" spans="1:18" x14ac:dyDescent="0.3">
      <c r="A1427" s="1" t="d">
        <v>2026-02-19</v>
      </c>
      <c r="B1427">
        <v>45509</v>
      </c>
      <c r="C1427" t="str">
        <f>VLOOKUP(Fato_Producao[[#This Row],[referencia]], Dim_Produtos!A:B,2,FALSE)</f>
        <v>lascas bacalhau</v>
      </c>
      <c r="D1427">
        <v>1810</v>
      </c>
      <c r="E1427">
        <v>1639</v>
      </c>
      <c r="F1427" s="5">
        <v>9.4500000000000001E-2</v>
      </c>
      <c r="G1427" s="6">
        <v>47.88</v>
      </c>
      <c r="H1427">
        <v>8</v>
      </c>
      <c r="I1427">
        <v>159</v>
      </c>
      <c r="J1427">
        <v>4</v>
      </c>
      <c r="K1427">
        <f>Fato_Producao[[#This Row],[embalagens_danificadas]]+Fato_Producao[[#This Row],[peso_errado]]+Fato_Producao[[#This Row],[impressao]]</f>
        <v>171</v>
      </c>
      <c r="L1427" s="1" t="d">
        <v>2026-01-13</v>
      </c>
      <c r="M1427">
        <v>37</v>
      </c>
      <c r="N1427" s="7">
        <v>6.22</v>
      </c>
      <c r="O1427" s="4" t="str">
        <f t="shared" si="66"/>
        <v>fevereiro</v>
      </c>
      <c r="P1427" s="4">
        <f t="shared" si="67"/>
        <v>2026</v>
      </c>
      <c r="Q1427" s="4" t="str">
        <f t="shared" si="68"/>
        <v/>
      </c>
      <c r="R1427" t="s">
        <v>24</v>
      </c>
    </row>
    <row r="1428" spans="1:18" x14ac:dyDescent="0.3">
      <c r="A1428" s="1" t="d">
        <v>2026-02-19</v>
      </c>
      <c r="B1428">
        <v>45502</v>
      </c>
      <c r="C1428" t="str">
        <f>VLOOKUP(Fato_Producao[[#This Row],[referencia]], Dim_Produtos!A:B,2,FALSE)</f>
        <v>carapau pelim</v>
      </c>
      <c r="D1428">
        <v>2617</v>
      </c>
      <c r="E1428">
        <v>2476</v>
      </c>
      <c r="F1428" s="5">
        <v>5.3900000000000003E-2</v>
      </c>
      <c r="G1428" s="6">
        <v>42.3</v>
      </c>
      <c r="H1428">
        <v>39</v>
      </c>
      <c r="I1428">
        <v>98</v>
      </c>
      <c r="J1428">
        <v>4</v>
      </c>
      <c r="K1428">
        <f>Fato_Producao[[#This Row],[embalagens_danificadas]]+Fato_Producao[[#This Row],[peso_errado]]+Fato_Producao[[#This Row],[impressao]]</f>
        <v>141</v>
      </c>
      <c r="L1428" s="1" t="d">
        <v>2026-01-13</v>
      </c>
      <c r="M1428">
        <v>37</v>
      </c>
      <c r="N1428" s="7">
        <v>5.5</v>
      </c>
      <c r="O1428" s="4" t="str">
        <f t="shared" si="66"/>
        <v>fevereiro</v>
      </c>
      <c r="P1428" s="4">
        <f t="shared" si="67"/>
        <v>2026</v>
      </c>
      <c r="Q1428" s="4" t="str">
        <f t="shared" si="68"/>
        <v/>
      </c>
      <c r="R1428" t="s">
        <v>24</v>
      </c>
    </row>
    <row r="1429" spans="1:18" x14ac:dyDescent="0.3">
      <c r="A1429" s="1" t="d">
        <v>2026-02-20</v>
      </c>
      <c r="B1429">
        <v>45514</v>
      </c>
      <c r="C1429" t="str">
        <f>VLOOKUP(Fato_Producao[[#This Row],[referencia]], Dim_Produtos!A:B,2,FALSE)</f>
        <v>sardinha pequena</v>
      </c>
      <c r="D1429">
        <v>3772</v>
      </c>
      <c r="E1429">
        <v>3392</v>
      </c>
      <c r="F1429" s="5">
        <v>0.1007</v>
      </c>
      <c r="G1429" s="6">
        <v>114</v>
      </c>
      <c r="H1429">
        <v>11</v>
      </c>
      <c r="I1429">
        <v>364</v>
      </c>
      <c r="J1429">
        <v>5</v>
      </c>
      <c r="K1429">
        <f>Fato_Producao[[#This Row],[embalagens_danificadas]]+Fato_Producao[[#This Row],[peso_errado]]+Fato_Producao[[#This Row],[impressao]]</f>
        <v>380</v>
      </c>
      <c r="L1429" s="1" t="d">
        <v>2026-01-13</v>
      </c>
      <c r="M1429">
        <v>38</v>
      </c>
      <c r="N1429" s="7">
        <v>13.68</v>
      </c>
      <c r="O1429" s="4" t="str">
        <f t="shared" si="66"/>
        <v>fevereiro</v>
      </c>
      <c r="P1429" s="4">
        <f t="shared" si="67"/>
        <v>2026</v>
      </c>
      <c r="Q1429" s="4" t="str">
        <f t="shared" si="68"/>
        <v/>
      </c>
      <c r="R1429" t="s">
        <v>24</v>
      </c>
    </row>
    <row r="1430" spans="1:18" x14ac:dyDescent="0.3">
      <c r="A1430" s="1" t="d">
        <v>2026-02-20</v>
      </c>
      <c r="B1430">
        <v>45509</v>
      </c>
      <c r="C1430" t="str">
        <f>VLOOKUP(Fato_Producao[[#This Row],[referencia]], Dim_Produtos!A:B,2,FALSE)</f>
        <v>lascas bacalhau</v>
      </c>
      <c r="D1430">
        <v>3303</v>
      </c>
      <c r="E1430">
        <v>3022</v>
      </c>
      <c r="F1430" s="5">
        <v>8.5099999999999995E-2</v>
      </c>
      <c r="G1430" s="6">
        <v>78.680000000000007</v>
      </c>
      <c r="H1430">
        <v>13</v>
      </c>
      <c r="I1430">
        <v>262</v>
      </c>
      <c r="J1430">
        <v>6</v>
      </c>
      <c r="K1430">
        <f>Fato_Producao[[#This Row],[embalagens_danificadas]]+Fato_Producao[[#This Row],[peso_errado]]+Fato_Producao[[#This Row],[impressao]]</f>
        <v>281</v>
      </c>
      <c r="L1430" s="1" t="d">
        <v>2026-01-13</v>
      </c>
      <c r="M1430">
        <v>38</v>
      </c>
      <c r="N1430" s="7">
        <v>10.23</v>
      </c>
      <c r="O1430" s="4" t="str">
        <f t="shared" si="66"/>
        <v>fevereiro</v>
      </c>
      <c r="P1430" s="4">
        <f t="shared" si="67"/>
        <v>2026</v>
      </c>
      <c r="Q1430" s="4" t="str">
        <f t="shared" si="68"/>
        <v/>
      </c>
      <c r="R1430" t="s">
        <v>24</v>
      </c>
    </row>
    <row r="1431" spans="1:18" x14ac:dyDescent="0.3">
      <c r="A1431" s="1" t="d">
        <v>2026-02-21</v>
      </c>
      <c r="B1431">
        <v>45500</v>
      </c>
      <c r="C1431" t="str">
        <f>VLOOKUP(Fato_Producao[[#This Row],[referencia]], Dim_Produtos!A:B,2,FALSE)</f>
        <v>filete pescada</v>
      </c>
      <c r="D1431">
        <v>2304</v>
      </c>
      <c r="E1431">
        <v>2129</v>
      </c>
      <c r="F1431" s="5">
        <v>7.5999999999999998E-2</v>
      </c>
      <c r="G1431" s="6">
        <v>49</v>
      </c>
      <c r="H1431">
        <v>7</v>
      </c>
      <c r="I1431">
        <v>164</v>
      </c>
      <c r="J1431">
        <v>4</v>
      </c>
      <c r="K1431">
        <f>Fato_Producao[[#This Row],[embalagens_danificadas]]+Fato_Producao[[#This Row],[peso_errado]]+Fato_Producao[[#This Row],[impressao]]</f>
        <v>175</v>
      </c>
      <c r="L1431" s="1" t="d">
        <v>2026-01-13</v>
      </c>
      <c r="M1431">
        <v>39</v>
      </c>
      <c r="N1431" s="7">
        <v>5.88</v>
      </c>
      <c r="O1431" s="4" t="str">
        <f t="shared" si="66"/>
        <v>fevereiro</v>
      </c>
      <c r="P1431" s="4">
        <f t="shared" si="67"/>
        <v>2026</v>
      </c>
      <c r="Q1431" s="4" t="str">
        <f t="shared" si="68"/>
        <v/>
      </c>
      <c r="R1431" t="s">
        <v>24</v>
      </c>
    </row>
    <row r="1432" spans="1:18" x14ac:dyDescent="0.3">
      <c r="A1432" s="1" t="d">
        <v>2026-02-22</v>
      </c>
      <c r="B1432">
        <v>45513</v>
      </c>
      <c r="C1432" t="str">
        <f>VLOOKUP(Fato_Producao[[#This Row],[referencia]], Dim_Produtos!A:B,2,FALSE)</f>
        <v>filete pescada</v>
      </c>
      <c r="D1432">
        <v>3392</v>
      </c>
      <c r="E1432">
        <v>3115</v>
      </c>
      <c r="F1432" s="5">
        <v>8.1699999999999995E-2</v>
      </c>
      <c r="G1432" s="6">
        <v>88.64</v>
      </c>
      <c r="H1432">
        <v>8</v>
      </c>
      <c r="I1432">
        <v>263</v>
      </c>
      <c r="J1432">
        <v>6</v>
      </c>
      <c r="K1432">
        <f>Fato_Producao[[#This Row],[embalagens_danificadas]]+Fato_Producao[[#This Row],[peso_errado]]+Fato_Producao[[#This Row],[impressao]]</f>
        <v>277</v>
      </c>
      <c r="L1432" s="1" t="d">
        <v>2026-01-13</v>
      </c>
      <c r="M1432">
        <v>40</v>
      </c>
      <c r="N1432" s="7">
        <v>11.52</v>
      </c>
      <c r="O1432" s="4" t="str">
        <f t="shared" si="66"/>
        <v>fevereiro</v>
      </c>
      <c r="P1432" s="4">
        <f t="shared" si="67"/>
        <v>2026</v>
      </c>
      <c r="Q1432" s="4" t="str">
        <f t="shared" si="68"/>
        <v/>
      </c>
      <c r="R1432" t="s">
        <v>24</v>
      </c>
    </row>
    <row r="1433" spans="1:18" x14ac:dyDescent="0.3">
      <c r="A1433" s="1" t="d">
        <v>2026-02-23</v>
      </c>
      <c r="B1433">
        <v>45502</v>
      </c>
      <c r="C1433" t="str">
        <f>VLOOKUP(Fato_Producao[[#This Row],[referencia]], Dim_Produtos!A:B,2,FALSE)</f>
        <v>carapau pelim</v>
      </c>
      <c r="D1433">
        <v>2449</v>
      </c>
      <c r="E1433">
        <v>2229</v>
      </c>
      <c r="F1433" s="5">
        <v>8.9800000000000005E-2</v>
      </c>
      <c r="G1433" s="6">
        <v>66</v>
      </c>
      <c r="H1433">
        <v>67</v>
      </c>
      <c r="I1433">
        <v>148</v>
      </c>
      <c r="J1433">
        <v>5</v>
      </c>
      <c r="K1433">
        <f>Fato_Producao[[#This Row],[embalagens_danificadas]]+Fato_Producao[[#This Row],[peso_errado]]+Fato_Producao[[#This Row],[impressao]]</f>
        <v>220</v>
      </c>
      <c r="L1433" s="1" t="d">
        <v>2026-01-13</v>
      </c>
      <c r="M1433">
        <v>41</v>
      </c>
      <c r="N1433" s="7">
        <v>8.58</v>
      </c>
      <c r="O1433" s="4" t="str">
        <f t="shared" si="66"/>
        <v>fevereiro</v>
      </c>
      <c r="P1433" s="4">
        <f t="shared" si="67"/>
        <v>2026</v>
      </c>
      <c r="Q1433" s="4" t="str">
        <f t="shared" si="68"/>
        <v/>
      </c>
      <c r="R1433" t="s">
        <v>24</v>
      </c>
    </row>
    <row r="1434" spans="1:18" x14ac:dyDescent="0.3">
      <c r="A1434" s="1" t="d">
        <v>2026-02-23</v>
      </c>
      <c r="B1434">
        <v>45503</v>
      </c>
      <c r="C1434" t="str">
        <f>VLOOKUP(Fato_Producao[[#This Row],[referencia]], Dim_Produtos!A:B,2,FALSE)</f>
        <v>sardinha pequena</v>
      </c>
      <c r="D1434">
        <v>2778</v>
      </c>
      <c r="E1434">
        <v>2602</v>
      </c>
      <c r="F1434" s="5">
        <v>6.3399999999999998E-2</v>
      </c>
      <c r="G1434" s="6">
        <v>45.76</v>
      </c>
      <c r="H1434">
        <v>10</v>
      </c>
      <c r="I1434">
        <v>161</v>
      </c>
      <c r="J1434">
        <v>5</v>
      </c>
      <c r="K1434">
        <f>Fato_Producao[[#This Row],[embalagens_danificadas]]+Fato_Producao[[#This Row],[peso_errado]]+Fato_Producao[[#This Row],[impressao]]</f>
        <v>176</v>
      </c>
      <c r="L1434" s="1" t="d">
        <v>2026-01-13</v>
      </c>
      <c r="M1434">
        <v>41</v>
      </c>
      <c r="N1434" s="7">
        <v>5.03</v>
      </c>
      <c r="O1434" s="4" t="str">
        <f t="shared" si="66"/>
        <v>fevereiro</v>
      </c>
      <c r="P1434" s="4">
        <f t="shared" si="67"/>
        <v>2026</v>
      </c>
      <c r="Q1434" s="4" t="str">
        <f t="shared" si="68"/>
        <v/>
      </c>
      <c r="R1434" t="s">
        <v>24</v>
      </c>
    </row>
    <row r="1435" spans="1:18" x14ac:dyDescent="0.3">
      <c r="A1435" s="1" t="d">
        <v>2026-02-24</v>
      </c>
      <c r="B1435">
        <v>45501</v>
      </c>
      <c r="C1435" t="str">
        <f>VLOOKUP(Fato_Producao[[#This Row],[referencia]], Dim_Produtos!A:B,2,FALSE)</f>
        <v>pescada posta cozer</v>
      </c>
      <c r="D1435">
        <v>2747</v>
      </c>
      <c r="E1435">
        <v>2504</v>
      </c>
      <c r="F1435" s="5">
        <v>8.8499999999999995E-2</v>
      </c>
      <c r="G1435" s="6">
        <v>77.760000000000005</v>
      </c>
      <c r="H1435">
        <v>11</v>
      </c>
      <c r="I1435">
        <v>226</v>
      </c>
      <c r="J1435">
        <v>6</v>
      </c>
      <c r="K1435">
        <f>Fato_Producao[[#This Row],[embalagens_danificadas]]+Fato_Producao[[#This Row],[peso_errado]]+Fato_Producao[[#This Row],[impressao]]</f>
        <v>243</v>
      </c>
      <c r="L1435" s="1" t="d">
        <v>2026-01-13</v>
      </c>
      <c r="M1435">
        <v>42</v>
      </c>
      <c r="N1435" s="7">
        <v>10.89</v>
      </c>
      <c r="O1435" s="4" t="str">
        <f t="shared" si="66"/>
        <v>fevereiro</v>
      </c>
      <c r="P1435" s="4">
        <f t="shared" si="67"/>
        <v>2026</v>
      </c>
      <c r="Q1435" s="4" t="str">
        <f t="shared" si="68"/>
        <v/>
      </c>
      <c r="R1435" t="s">
        <v>24</v>
      </c>
    </row>
    <row r="1436" spans="1:18" x14ac:dyDescent="0.3">
      <c r="A1436" s="1" t="d">
        <v>2026-02-24</v>
      </c>
      <c r="B1436">
        <v>45503</v>
      </c>
      <c r="C1436" t="str">
        <f>VLOOKUP(Fato_Producao[[#This Row],[referencia]], Dim_Produtos!A:B,2,FALSE)</f>
        <v>sardinha pequena</v>
      </c>
      <c r="D1436">
        <v>3641</v>
      </c>
      <c r="E1436">
        <v>3351</v>
      </c>
      <c r="F1436" s="5">
        <v>7.9600000000000004E-2</v>
      </c>
      <c r="G1436" s="6">
        <v>75.400000000000006</v>
      </c>
      <c r="H1436">
        <v>13</v>
      </c>
      <c r="I1436">
        <v>268</v>
      </c>
      <c r="J1436">
        <v>9</v>
      </c>
      <c r="K1436">
        <f>Fato_Producao[[#This Row],[embalagens_danificadas]]+Fato_Producao[[#This Row],[peso_errado]]+Fato_Producao[[#This Row],[impressao]]</f>
        <v>290</v>
      </c>
      <c r="L1436" s="1" t="d">
        <v>2026-01-13</v>
      </c>
      <c r="M1436">
        <v>42</v>
      </c>
      <c r="N1436" s="7">
        <v>8.2899999999999991</v>
      </c>
      <c r="O1436" s="4" t="str">
        <f t="shared" si="66"/>
        <v>fevereiro</v>
      </c>
      <c r="P1436" s="4">
        <f t="shared" si="67"/>
        <v>2026</v>
      </c>
      <c r="Q1436" s="4" t="str">
        <f t="shared" si="68"/>
        <v/>
      </c>
      <c r="R1436" t="s">
        <v>24</v>
      </c>
    </row>
    <row r="1437" spans="1:18" x14ac:dyDescent="0.3">
      <c r="A1437" s="1" t="d">
        <v>2026-02-25</v>
      </c>
      <c r="B1437">
        <v>45511</v>
      </c>
      <c r="C1437" t="str">
        <f>VLOOKUP(Fato_Producao[[#This Row],[referencia]], Dim_Produtos!A:B,2,FALSE)</f>
        <v>lula limpa</v>
      </c>
      <c r="D1437">
        <v>2064</v>
      </c>
      <c r="E1437">
        <v>1842</v>
      </c>
      <c r="F1437" s="5">
        <v>0.1076</v>
      </c>
      <c r="G1437" s="6">
        <v>71.040000000000006</v>
      </c>
      <c r="H1437">
        <v>81</v>
      </c>
      <c r="I1437">
        <v>41</v>
      </c>
      <c r="J1437">
        <v>100</v>
      </c>
      <c r="K1437">
        <f>Fato_Producao[[#This Row],[embalagens_danificadas]]+Fato_Producao[[#This Row],[peso_errado]]+Fato_Producao[[#This Row],[impressao]]</f>
        <v>222</v>
      </c>
      <c r="L1437" s="1" t="d">
        <v>2026-01-13</v>
      </c>
      <c r="M1437">
        <v>43</v>
      </c>
      <c r="N1437" s="7">
        <v>9.9499999999999993</v>
      </c>
      <c r="O1437" s="4" t="str">
        <f t="shared" si="66"/>
        <v>fevereiro</v>
      </c>
      <c r="P1437" s="4">
        <f t="shared" si="67"/>
        <v>2026</v>
      </c>
      <c r="Q1437" s="4" t="str">
        <f t="shared" si="68"/>
        <v/>
      </c>
      <c r="R1437" t="s">
        <v>50</v>
      </c>
    </row>
    <row r="1438" spans="1:18" x14ac:dyDescent="0.3">
      <c r="A1438" s="1" t="d">
        <v>2026-02-26</v>
      </c>
      <c r="B1438">
        <v>45501</v>
      </c>
      <c r="C1438" t="str">
        <f>VLOOKUP(Fato_Producao[[#This Row],[referencia]], Dim_Produtos!A:B,2,FALSE)</f>
        <v>pescada posta cozer</v>
      </c>
      <c r="D1438">
        <v>4111</v>
      </c>
      <c r="E1438">
        <v>3747</v>
      </c>
      <c r="F1438" s="5">
        <v>8.8499999999999995E-2</v>
      </c>
      <c r="G1438" s="6">
        <v>116.48</v>
      </c>
      <c r="H1438">
        <v>19</v>
      </c>
      <c r="I1438">
        <v>337</v>
      </c>
      <c r="J1438">
        <v>8</v>
      </c>
      <c r="K1438">
        <f>Fato_Producao[[#This Row],[embalagens_danificadas]]+Fato_Producao[[#This Row],[peso_errado]]+Fato_Producao[[#This Row],[impressao]]</f>
        <v>364</v>
      </c>
      <c r="L1438" s="1" t="d">
        <v>2026-01-13</v>
      </c>
      <c r="M1438">
        <v>44</v>
      </c>
      <c r="N1438" s="7">
        <v>16.309999999999999</v>
      </c>
      <c r="O1438" s="4" t="str">
        <f t="shared" si="66"/>
        <v>fevereiro</v>
      </c>
      <c r="P1438" s="4">
        <f t="shared" si="67"/>
        <v>2026</v>
      </c>
      <c r="Q1438" s="4" t="str">
        <f t="shared" si="68"/>
        <v/>
      </c>
      <c r="R1438" t="s">
        <v>24</v>
      </c>
    </row>
    <row r="1439" spans="1:18" x14ac:dyDescent="0.3">
      <c r="A1439" s="1" t="d">
        <v>2026-02-26</v>
      </c>
      <c r="B1439">
        <v>45500</v>
      </c>
      <c r="C1439" t="str">
        <f>VLOOKUP(Fato_Producao[[#This Row],[referencia]], Dim_Produtos!A:B,2,FALSE)</f>
        <v>filete pescada</v>
      </c>
      <c r="D1439">
        <v>3737</v>
      </c>
      <c r="E1439">
        <v>3420</v>
      </c>
      <c r="F1439" s="5">
        <v>8.48E-2</v>
      </c>
      <c r="G1439" s="6">
        <v>88.76</v>
      </c>
      <c r="H1439">
        <v>12</v>
      </c>
      <c r="I1439">
        <v>300</v>
      </c>
      <c r="J1439">
        <v>5</v>
      </c>
      <c r="K1439">
        <f>Fato_Producao[[#This Row],[embalagens_danificadas]]+Fato_Producao[[#This Row],[peso_errado]]+Fato_Producao[[#This Row],[impressao]]</f>
        <v>317</v>
      </c>
      <c r="L1439" s="1" t="d">
        <v>2026-01-13</v>
      </c>
      <c r="M1439">
        <v>44</v>
      </c>
      <c r="N1439" s="7">
        <v>10.65</v>
      </c>
      <c r="O1439" s="4" t="str">
        <f t="shared" si="66"/>
        <v>fevereiro</v>
      </c>
      <c r="P1439" s="4">
        <f t="shared" si="67"/>
        <v>2026</v>
      </c>
      <c r="Q1439" s="4">
        <f t="shared" si="68"/>
        <v>44</v>
      </c>
      <c r="R1439" t="s">
        <v>24</v>
      </c>
    </row>
    <row r="1440" spans="1:18" x14ac:dyDescent="0.3">
      <c r="A1440" s="1" t="d">
        <v>2026-02-27</v>
      </c>
      <c r="B1440">
        <v>45514</v>
      </c>
      <c r="C1440" t="str">
        <f>VLOOKUP(Fato_Producao[[#This Row],[referencia]], Dim_Produtos!A:B,2,FALSE)</f>
        <v>sardinha pequena</v>
      </c>
      <c r="D1440">
        <v>2876</v>
      </c>
      <c r="E1440">
        <v>2686</v>
      </c>
      <c r="F1440" s="5">
        <v>6.6100000000000006E-2</v>
      </c>
      <c r="G1440" s="6">
        <v>57</v>
      </c>
      <c r="H1440">
        <v>10</v>
      </c>
      <c r="I1440">
        <v>175</v>
      </c>
      <c r="J1440">
        <v>5</v>
      </c>
      <c r="K1440">
        <f>Fato_Producao[[#This Row],[embalagens_danificadas]]+Fato_Producao[[#This Row],[peso_errado]]+Fato_Producao[[#This Row],[impressao]]</f>
        <v>190</v>
      </c>
      <c r="L1440" s="1" t="d">
        <v>2026-02-27</v>
      </c>
      <c r="M1440">
        <v>0</v>
      </c>
      <c r="N1440" s="7">
        <v>6.84</v>
      </c>
      <c r="O1440" s="4" t="str">
        <f t="shared" si="66"/>
        <v>fevereiro</v>
      </c>
      <c r="P1440" s="4">
        <f t="shared" si="67"/>
        <v>2026</v>
      </c>
      <c r="Q1440" s="4" t="str">
        <f t="shared" si="68"/>
        <v/>
      </c>
      <c r="R1440" t="s">
        <v>24</v>
      </c>
    </row>
    <row r="1441" spans="1:18" x14ac:dyDescent="0.3">
      <c r="A1441" s="1" t="d">
        <v>2026-02-27</v>
      </c>
      <c r="B1441">
        <v>45505</v>
      </c>
      <c r="C1441" t="str">
        <f>VLOOKUP(Fato_Producao[[#This Row],[referencia]], Dim_Produtos!A:B,2,FALSE)</f>
        <v>camarao</v>
      </c>
      <c r="D1441">
        <v>2964</v>
      </c>
      <c r="E1441">
        <v>2784</v>
      </c>
      <c r="F1441" s="5">
        <v>6.0699999999999997E-2</v>
      </c>
      <c r="G1441" s="6">
        <v>54</v>
      </c>
      <c r="H1441">
        <v>42</v>
      </c>
      <c r="I1441">
        <v>132</v>
      </c>
      <c r="J1441">
        <v>6</v>
      </c>
      <c r="K1441">
        <f>Fato_Producao[[#This Row],[embalagens_danificadas]]+Fato_Producao[[#This Row],[peso_errado]]+Fato_Producao[[#This Row],[impressao]]</f>
        <v>180</v>
      </c>
      <c r="L1441" s="1" t="d">
        <v>2026-02-27</v>
      </c>
      <c r="M1441">
        <v>0</v>
      </c>
      <c r="N1441" s="7">
        <v>8.1</v>
      </c>
      <c r="O1441" s="4" t="str">
        <f t="shared" si="66"/>
        <v>fevereiro</v>
      </c>
      <c r="P1441" s="4">
        <f t="shared" si="67"/>
        <v>2026</v>
      </c>
      <c r="Q1441" s="4" t="str">
        <f t="shared" si="68"/>
        <v/>
      </c>
      <c r="R1441" t="s">
        <v>24</v>
      </c>
    </row>
    <row r="1442" spans="1:18" x14ac:dyDescent="0.3">
      <c r="A1442" s="1" t="d">
        <v>2026-02-28</v>
      </c>
      <c r="B1442">
        <v>45512</v>
      </c>
      <c r="C1442" t="str">
        <f>VLOOKUP(Fato_Producao[[#This Row],[referencia]], Dim_Produtos!A:B,2,FALSE)</f>
        <v>red-fish posta</v>
      </c>
      <c r="D1442">
        <v>3250</v>
      </c>
      <c r="E1442">
        <v>3169</v>
      </c>
      <c r="F1442" s="5">
        <v>2.4899999999999999E-2</v>
      </c>
      <c r="G1442" s="6">
        <v>27.54</v>
      </c>
      <c r="H1442">
        <v>2</v>
      </c>
      <c r="I1442">
        <v>77</v>
      </c>
      <c r="J1442">
        <v>2</v>
      </c>
      <c r="K1442">
        <f>Fato_Producao[[#This Row],[embalagens_danificadas]]+Fato_Producao[[#This Row],[peso_errado]]+Fato_Producao[[#This Row],[impressao]]</f>
        <v>81</v>
      </c>
      <c r="L1442" s="1" t="d">
        <v>2026-02-27</v>
      </c>
      <c r="M1442">
        <v>1</v>
      </c>
      <c r="N1442" s="7">
        <v>3.86</v>
      </c>
      <c r="O1442" s="4" t="str">
        <f t="shared" si="66"/>
        <v>fevereiro</v>
      </c>
      <c r="P1442" s="4">
        <f t="shared" si="67"/>
        <v>2026</v>
      </c>
      <c r="Q1442" s="4" t="str">
        <f t="shared" si="68"/>
        <v/>
      </c>
      <c r="R1442" t="s">
        <v>24</v>
      </c>
    </row>
    <row r="1443" spans="1:18" x14ac:dyDescent="0.3">
      <c r="A1443" s="1" t="d">
        <v>2026-03-01</v>
      </c>
      <c r="B1443">
        <v>45508</v>
      </c>
      <c r="C1443" t="str">
        <f>VLOOKUP(Fato_Producao[[#This Row],[referencia]], Dim_Produtos!A:B,2,FALSE)</f>
        <v>lula suja</v>
      </c>
      <c r="D1443">
        <v>3476</v>
      </c>
      <c r="E1443">
        <v>3199</v>
      </c>
      <c r="F1443" s="5">
        <v>7.9699999999999993E-2</v>
      </c>
      <c r="G1443" s="6">
        <v>88.64</v>
      </c>
      <c r="H1443">
        <v>31</v>
      </c>
      <c r="I1443">
        <v>241</v>
      </c>
      <c r="J1443">
        <v>5</v>
      </c>
      <c r="K1443">
        <f>Fato_Producao[[#This Row],[embalagens_danificadas]]+Fato_Producao[[#This Row],[peso_errado]]+Fato_Producao[[#This Row],[impressao]]</f>
        <v>277</v>
      </c>
      <c r="L1443" s="1" t="d">
        <v>2026-02-27</v>
      </c>
      <c r="M1443">
        <v>2</v>
      </c>
      <c r="N1443" s="7">
        <v>12.41</v>
      </c>
      <c r="O1443" s="4" t="str">
        <f t="shared" si="66"/>
        <v>março</v>
      </c>
      <c r="P1443" s="4">
        <f t="shared" si="67"/>
        <v>2026</v>
      </c>
      <c r="Q1443" s="4" t="str">
        <f t="shared" si="68"/>
        <v/>
      </c>
      <c r="R1443" t="s">
        <v>24</v>
      </c>
    </row>
    <row r="1444" spans="1:18" x14ac:dyDescent="0.3">
      <c r="A1444" s="1" t="d">
        <v>2026-03-01</v>
      </c>
      <c r="B1444">
        <v>45500</v>
      </c>
      <c r="C1444" t="str">
        <f>VLOOKUP(Fato_Producao[[#This Row],[referencia]], Dim_Produtos!A:B,2,FALSE)</f>
        <v>filete pescada</v>
      </c>
      <c r="D1444">
        <v>2625</v>
      </c>
      <c r="E1444">
        <v>2509</v>
      </c>
      <c r="F1444" s="5">
        <v>4.4200000000000003E-2</v>
      </c>
      <c r="G1444" s="6">
        <v>32.479999999999997</v>
      </c>
      <c r="H1444">
        <v>5</v>
      </c>
      <c r="I1444">
        <v>110</v>
      </c>
      <c r="J1444">
        <v>1</v>
      </c>
      <c r="K1444">
        <f>Fato_Producao[[#This Row],[embalagens_danificadas]]+Fato_Producao[[#This Row],[peso_errado]]+Fato_Producao[[#This Row],[impressao]]</f>
        <v>116</v>
      </c>
      <c r="L1444" s="1" t="d">
        <v>2026-02-27</v>
      </c>
      <c r="M1444">
        <v>2</v>
      </c>
      <c r="N1444" s="7">
        <v>3.9</v>
      </c>
      <c r="O1444" s="4" t="str">
        <f t="shared" si="66"/>
        <v>março</v>
      </c>
      <c r="P1444" s="4">
        <f t="shared" si="67"/>
        <v>2026</v>
      </c>
      <c r="Q1444" s="4" t="str">
        <f t="shared" si="68"/>
        <v/>
      </c>
      <c r="R1444" t="s">
        <v>24</v>
      </c>
    </row>
    <row r="1445" spans="1:18" x14ac:dyDescent="0.3">
      <c r="A1445" s="1" t="d">
        <v>2026-03-02</v>
      </c>
      <c r="B1445">
        <v>45511</v>
      </c>
      <c r="C1445" t="str">
        <f>VLOOKUP(Fato_Producao[[#This Row],[referencia]], Dim_Produtos!A:B,2,FALSE)</f>
        <v>lula limpa</v>
      </c>
      <c r="D1445">
        <v>3100</v>
      </c>
      <c r="E1445">
        <v>2847</v>
      </c>
      <c r="F1445" s="5">
        <v>8.1600000000000006E-2</v>
      </c>
      <c r="G1445" s="6">
        <v>80.959999999999994</v>
      </c>
      <c r="H1445">
        <v>33</v>
      </c>
      <c r="I1445">
        <v>215</v>
      </c>
      <c r="J1445">
        <v>5</v>
      </c>
      <c r="K1445">
        <f>Fato_Producao[[#This Row],[embalagens_danificadas]]+Fato_Producao[[#This Row],[peso_errado]]+Fato_Producao[[#This Row],[impressao]]</f>
        <v>253</v>
      </c>
      <c r="L1445" s="1" t="d">
        <v>2026-02-27</v>
      </c>
      <c r="M1445">
        <v>3</v>
      </c>
      <c r="N1445" s="7">
        <v>11.33</v>
      </c>
      <c r="O1445" s="4" t="str">
        <f t="shared" si="66"/>
        <v>março</v>
      </c>
      <c r="P1445" s="4">
        <f t="shared" si="67"/>
        <v>2026</v>
      </c>
      <c r="Q1445" s="4" t="str">
        <f t="shared" si="68"/>
        <v/>
      </c>
      <c r="R1445" t="s">
        <v>24</v>
      </c>
    </row>
    <row r="1446" spans="1:18" x14ac:dyDescent="0.3">
      <c r="A1446" s="1" t="d">
        <v>2026-03-03</v>
      </c>
      <c r="B1446">
        <v>45511</v>
      </c>
      <c r="C1446" t="str">
        <f>VLOOKUP(Fato_Producao[[#This Row],[referencia]], Dim_Produtos!A:B,2,FALSE)</f>
        <v>lula limpa</v>
      </c>
      <c r="D1446">
        <v>3719</v>
      </c>
      <c r="E1446">
        <v>3471</v>
      </c>
      <c r="F1446" s="5">
        <v>6.6699999999999995E-2</v>
      </c>
      <c r="G1446" s="6">
        <v>79.36</v>
      </c>
      <c r="H1446">
        <v>34</v>
      </c>
      <c r="I1446">
        <v>210</v>
      </c>
      <c r="J1446">
        <v>4</v>
      </c>
      <c r="K1446">
        <f>Fato_Producao[[#This Row],[embalagens_danificadas]]+Fato_Producao[[#This Row],[peso_errado]]+Fato_Producao[[#This Row],[impressao]]</f>
        <v>248</v>
      </c>
      <c r="L1446" s="1" t="d">
        <v>2026-02-27</v>
      </c>
      <c r="M1446">
        <v>4</v>
      </c>
      <c r="N1446" s="7">
        <v>11.11</v>
      </c>
      <c r="O1446" s="4" t="str">
        <f t="shared" si="66"/>
        <v>março</v>
      </c>
      <c r="P1446" s="4">
        <f t="shared" si="67"/>
        <v>2026</v>
      </c>
      <c r="Q1446" s="4" t="str">
        <f t="shared" si="68"/>
        <v/>
      </c>
      <c r="R1446" t="s">
        <v>24</v>
      </c>
    </row>
    <row r="1447" spans="1:18" x14ac:dyDescent="0.3">
      <c r="A1447" s="1" t="d">
        <v>2026-03-03</v>
      </c>
      <c r="B1447">
        <v>45509</v>
      </c>
      <c r="C1447" t="str">
        <f>VLOOKUP(Fato_Producao[[#This Row],[referencia]], Dim_Produtos!A:B,2,FALSE)</f>
        <v>lascas bacalhau</v>
      </c>
      <c r="D1447">
        <v>3486</v>
      </c>
      <c r="E1447">
        <v>3269</v>
      </c>
      <c r="F1447" s="5">
        <v>6.2199999999999998E-2</v>
      </c>
      <c r="G1447" s="6">
        <v>60.76</v>
      </c>
      <c r="H1447">
        <v>13</v>
      </c>
      <c r="I1447">
        <v>201</v>
      </c>
      <c r="J1447">
        <v>3</v>
      </c>
      <c r="K1447">
        <f>Fato_Producao[[#This Row],[embalagens_danificadas]]+Fato_Producao[[#This Row],[peso_errado]]+Fato_Producao[[#This Row],[impressao]]</f>
        <v>217</v>
      </c>
      <c r="L1447" s="1" t="d">
        <v>2026-02-27</v>
      </c>
      <c r="M1447">
        <v>4</v>
      </c>
      <c r="N1447" s="7">
        <v>7.9</v>
      </c>
      <c r="O1447" s="4" t="str">
        <f t="shared" si="66"/>
        <v>março</v>
      </c>
      <c r="P1447" s="4">
        <f t="shared" si="67"/>
        <v>2026</v>
      </c>
      <c r="Q1447" s="4" t="str">
        <f t="shared" si="68"/>
        <v/>
      </c>
      <c r="R1447" t="s">
        <v>24</v>
      </c>
    </row>
    <row r="1448" spans="1:18" x14ac:dyDescent="0.3">
      <c r="A1448" s="1" t="d">
        <v>2026-03-04</v>
      </c>
      <c r="B1448">
        <v>45504</v>
      </c>
      <c r="C1448" t="str">
        <f>VLOOKUP(Fato_Producao[[#This Row],[referencia]], Dim_Produtos!A:B,2,FALSE)</f>
        <v>pescada posta fritar</v>
      </c>
      <c r="D1448">
        <v>3456</v>
      </c>
      <c r="E1448">
        <v>3262</v>
      </c>
      <c r="F1448" s="5">
        <v>5.6099999999999997E-2</v>
      </c>
      <c r="G1448" s="6">
        <v>62.08</v>
      </c>
      <c r="H1448">
        <v>8</v>
      </c>
      <c r="I1448">
        <v>182</v>
      </c>
      <c r="J1448">
        <v>4</v>
      </c>
      <c r="K1448">
        <f>Fato_Producao[[#This Row],[embalagens_danificadas]]+Fato_Producao[[#This Row],[peso_errado]]+Fato_Producao[[#This Row],[impressao]]</f>
        <v>194</v>
      </c>
      <c r="L1448" s="1" t="d">
        <v>2026-02-27</v>
      </c>
      <c r="M1448">
        <v>5</v>
      </c>
      <c r="N1448" s="7">
        <v>8.69</v>
      </c>
      <c r="O1448" s="4" t="str">
        <f t="shared" si="66"/>
        <v>março</v>
      </c>
      <c r="P1448" s="4">
        <f t="shared" si="67"/>
        <v>2026</v>
      </c>
      <c r="Q1448" s="4" t="str">
        <f t="shared" si="68"/>
        <v/>
      </c>
      <c r="R1448" t="s">
        <v>24</v>
      </c>
    </row>
    <row r="1449" spans="1:18" x14ac:dyDescent="0.3">
      <c r="A1449" s="1" t="d">
        <v>2026-03-04</v>
      </c>
      <c r="B1449">
        <v>45500</v>
      </c>
      <c r="C1449" t="str">
        <f>VLOOKUP(Fato_Producao[[#This Row],[referencia]], Dim_Produtos!A:B,2,FALSE)</f>
        <v>filete pescada</v>
      </c>
      <c r="D1449">
        <v>3639</v>
      </c>
      <c r="E1449">
        <v>3493</v>
      </c>
      <c r="F1449" s="5">
        <v>4.0099999999999997E-2</v>
      </c>
      <c r="G1449" s="6">
        <v>40.880000000000003</v>
      </c>
      <c r="H1449">
        <v>7</v>
      </c>
      <c r="I1449">
        <v>136</v>
      </c>
      <c r="J1449">
        <v>3</v>
      </c>
      <c r="K1449">
        <f>Fato_Producao[[#This Row],[embalagens_danificadas]]+Fato_Producao[[#This Row],[peso_errado]]+Fato_Producao[[#This Row],[impressao]]</f>
        <v>146</v>
      </c>
      <c r="L1449" s="1" t="d">
        <v>2026-02-27</v>
      </c>
      <c r="M1449">
        <v>5</v>
      </c>
      <c r="N1449" s="7">
        <v>4.91</v>
      </c>
      <c r="O1449" s="4" t="str">
        <f t="shared" si="66"/>
        <v>março</v>
      </c>
      <c r="P1449" s="4">
        <f t="shared" si="67"/>
        <v>2026</v>
      </c>
      <c r="Q1449" s="4" t="str">
        <f t="shared" si="68"/>
        <v/>
      </c>
      <c r="R1449" t="s">
        <v>24</v>
      </c>
    </row>
    <row r="1450" spans="1:18" x14ac:dyDescent="0.3">
      <c r="A1450" s="1" t="d">
        <v>2026-03-05</v>
      </c>
      <c r="B1450">
        <v>45514</v>
      </c>
      <c r="C1450" t="str">
        <f>VLOOKUP(Fato_Producao[[#This Row],[referencia]], Dim_Produtos!A:B,2,FALSE)</f>
        <v>sardinha pequena</v>
      </c>
      <c r="D1450">
        <v>2052</v>
      </c>
      <c r="E1450">
        <v>1876</v>
      </c>
      <c r="F1450" s="5">
        <v>8.5800000000000001E-2</v>
      </c>
      <c r="G1450" s="6">
        <v>52.8</v>
      </c>
      <c r="H1450">
        <v>7</v>
      </c>
      <c r="I1450">
        <v>164</v>
      </c>
      <c r="J1450">
        <v>5</v>
      </c>
      <c r="K1450">
        <f>Fato_Producao[[#This Row],[embalagens_danificadas]]+Fato_Producao[[#This Row],[peso_errado]]+Fato_Producao[[#This Row],[impressao]]</f>
        <v>176</v>
      </c>
      <c r="L1450" s="1" t="d">
        <v>2026-02-27</v>
      </c>
      <c r="M1450">
        <v>6</v>
      </c>
      <c r="N1450" s="7">
        <v>6.34</v>
      </c>
      <c r="O1450" s="4" t="str">
        <f t="shared" si="66"/>
        <v>março</v>
      </c>
      <c r="P1450" s="4">
        <f t="shared" si="67"/>
        <v>2026</v>
      </c>
      <c r="Q1450" s="4" t="str">
        <f t="shared" si="68"/>
        <v/>
      </c>
      <c r="R1450" t="s">
        <v>24</v>
      </c>
    </row>
    <row r="1451" spans="1:18" x14ac:dyDescent="0.3">
      <c r="A1451" s="1" t="d">
        <v>2026-03-05</v>
      </c>
      <c r="B1451">
        <v>45509</v>
      </c>
      <c r="C1451" t="str">
        <f>VLOOKUP(Fato_Producao[[#This Row],[referencia]], Dim_Produtos!A:B,2,FALSE)</f>
        <v>lascas bacalhau</v>
      </c>
      <c r="D1451">
        <v>3191</v>
      </c>
      <c r="E1451">
        <v>3020</v>
      </c>
      <c r="F1451" s="5">
        <v>5.3600000000000002E-2</v>
      </c>
      <c r="G1451" s="6">
        <v>47.88</v>
      </c>
      <c r="H1451">
        <v>4</v>
      </c>
      <c r="I1451">
        <v>162</v>
      </c>
      <c r="J1451">
        <v>5</v>
      </c>
      <c r="K1451">
        <f>Fato_Producao[[#This Row],[embalagens_danificadas]]+Fato_Producao[[#This Row],[peso_errado]]+Fato_Producao[[#This Row],[impressao]]</f>
        <v>171</v>
      </c>
      <c r="L1451" s="1" t="d">
        <v>2026-02-27</v>
      </c>
      <c r="M1451">
        <v>6</v>
      </c>
      <c r="N1451" s="7">
        <v>6.22</v>
      </c>
      <c r="O1451" s="4" t="str">
        <f t="shared" si="66"/>
        <v>março</v>
      </c>
      <c r="P1451" s="4">
        <f t="shared" si="67"/>
        <v>2026</v>
      </c>
      <c r="Q1451" s="4" t="str">
        <f t="shared" si="68"/>
        <v/>
      </c>
      <c r="R1451" t="s">
        <v>24</v>
      </c>
    </row>
    <row r="1452" spans="1:18" x14ac:dyDescent="0.3">
      <c r="A1452" s="1" t="d">
        <v>2026-03-06</v>
      </c>
      <c r="B1452">
        <v>45504</v>
      </c>
      <c r="C1452" t="str">
        <f>VLOOKUP(Fato_Producao[[#This Row],[referencia]], Dim_Produtos!A:B,2,FALSE)</f>
        <v>pescada posta fritar</v>
      </c>
      <c r="D1452">
        <v>3523</v>
      </c>
      <c r="E1452">
        <v>3388</v>
      </c>
      <c r="F1452" s="5">
        <v>3.8300000000000001E-2</v>
      </c>
      <c r="G1452" s="6">
        <v>43.2</v>
      </c>
      <c r="H1452">
        <v>5</v>
      </c>
      <c r="I1452">
        <v>127</v>
      </c>
      <c r="J1452">
        <v>3</v>
      </c>
      <c r="K1452">
        <f>Fato_Producao[[#This Row],[embalagens_danificadas]]+Fato_Producao[[#This Row],[peso_errado]]+Fato_Producao[[#This Row],[impressao]]</f>
        <v>135</v>
      </c>
      <c r="L1452" s="1" t="d">
        <v>2026-02-27</v>
      </c>
      <c r="M1452">
        <v>7</v>
      </c>
      <c r="N1452" s="7">
        <v>6.05</v>
      </c>
      <c r="O1452" s="4" t="str">
        <f t="shared" si="66"/>
        <v>março</v>
      </c>
      <c r="P1452" s="4">
        <f t="shared" si="67"/>
        <v>2026</v>
      </c>
      <c r="Q1452" s="4" t="str">
        <f t="shared" si="68"/>
        <v/>
      </c>
      <c r="R1452" t="s">
        <v>24</v>
      </c>
    </row>
    <row r="1453" spans="1:18" x14ac:dyDescent="0.3">
      <c r="A1453" s="1" t="d">
        <v>2026-03-07</v>
      </c>
      <c r="B1453">
        <v>45512</v>
      </c>
      <c r="C1453" t="str">
        <f>VLOOKUP(Fato_Producao[[#This Row],[referencia]], Dim_Produtos!A:B,2,FALSE)</f>
        <v>red-fish posta</v>
      </c>
      <c r="D1453">
        <v>2850</v>
      </c>
      <c r="E1453">
        <v>2707</v>
      </c>
      <c r="F1453" s="5">
        <v>5.0200000000000002E-2</v>
      </c>
      <c r="G1453" s="6">
        <v>48.62</v>
      </c>
      <c r="H1453">
        <v>8</v>
      </c>
      <c r="I1453">
        <v>133</v>
      </c>
      <c r="J1453">
        <v>2</v>
      </c>
      <c r="K1453">
        <f>Fato_Producao[[#This Row],[embalagens_danificadas]]+Fato_Producao[[#This Row],[peso_errado]]+Fato_Producao[[#This Row],[impressao]]</f>
        <v>143</v>
      </c>
      <c r="L1453" s="1" t="d">
        <v>2026-02-27</v>
      </c>
      <c r="M1453">
        <v>8</v>
      </c>
      <c r="N1453" s="7">
        <v>6.81</v>
      </c>
      <c r="O1453" s="4" t="str">
        <f t="shared" si="66"/>
        <v>março</v>
      </c>
      <c r="P1453" s="4">
        <f t="shared" si="67"/>
        <v>2026</v>
      </c>
      <c r="Q1453" s="4" t="str">
        <f t="shared" si="68"/>
        <v/>
      </c>
      <c r="R1453" t="s">
        <v>24</v>
      </c>
    </row>
    <row r="1454" spans="1:18" x14ac:dyDescent="0.3">
      <c r="A1454" s="1" t="d">
        <v>2026-03-08</v>
      </c>
      <c r="B1454">
        <v>45501</v>
      </c>
      <c r="C1454" t="str">
        <f>VLOOKUP(Fato_Producao[[#This Row],[referencia]], Dim_Produtos!A:B,2,FALSE)</f>
        <v>pescada posta cozer</v>
      </c>
      <c r="D1454">
        <v>2332</v>
      </c>
      <c r="E1454">
        <v>2212</v>
      </c>
      <c r="F1454" s="5">
        <v>5.1499999999999997E-2</v>
      </c>
      <c r="G1454" s="6">
        <v>38.4</v>
      </c>
      <c r="H1454">
        <v>6</v>
      </c>
      <c r="I1454">
        <v>112</v>
      </c>
      <c r="J1454">
        <v>2</v>
      </c>
      <c r="K1454">
        <f>Fato_Producao[[#This Row],[embalagens_danificadas]]+Fato_Producao[[#This Row],[peso_errado]]+Fato_Producao[[#This Row],[impressao]]</f>
        <v>120</v>
      </c>
      <c r="L1454" s="1" t="d">
        <v>2026-02-27</v>
      </c>
      <c r="M1454">
        <v>9</v>
      </c>
      <c r="N1454" s="7">
        <v>5.38</v>
      </c>
      <c r="O1454" s="4" t="str">
        <f t="shared" si="66"/>
        <v>março</v>
      </c>
      <c r="P1454" s="4">
        <f t="shared" si="67"/>
        <v>2026</v>
      </c>
      <c r="Q1454" s="4" t="str">
        <f t="shared" si="68"/>
        <v/>
      </c>
      <c r="R1454" t="s">
        <v>24</v>
      </c>
    </row>
    <row r="1455" spans="1:18" x14ac:dyDescent="0.3">
      <c r="A1455" s="1" t="d">
        <v>2026-03-08</v>
      </c>
      <c r="B1455">
        <v>45501</v>
      </c>
      <c r="C1455" t="str">
        <f>VLOOKUP(Fato_Producao[[#This Row],[referencia]], Dim_Produtos!A:B,2,FALSE)</f>
        <v>pescada posta cozer</v>
      </c>
      <c r="D1455">
        <v>3704</v>
      </c>
      <c r="E1455">
        <v>3433</v>
      </c>
      <c r="F1455" s="5">
        <v>7.3200000000000001E-2</v>
      </c>
      <c r="G1455" s="6">
        <v>86.72</v>
      </c>
      <c r="H1455">
        <v>9</v>
      </c>
      <c r="I1455">
        <v>255</v>
      </c>
      <c r="J1455">
        <v>7</v>
      </c>
      <c r="K1455">
        <f>Fato_Producao[[#This Row],[embalagens_danificadas]]+Fato_Producao[[#This Row],[peso_errado]]+Fato_Producao[[#This Row],[impressao]]</f>
        <v>271</v>
      </c>
      <c r="L1455" s="1" t="d">
        <v>2026-02-27</v>
      </c>
      <c r="M1455">
        <v>9</v>
      </c>
      <c r="N1455" s="7">
        <v>12.14</v>
      </c>
      <c r="O1455" s="4" t="str">
        <f t="shared" si="66"/>
        <v>março</v>
      </c>
      <c r="P1455" s="4">
        <f t="shared" si="67"/>
        <v>2026</v>
      </c>
      <c r="Q1455" s="4" t="str">
        <f t="shared" si="68"/>
        <v/>
      </c>
      <c r="R1455" t="s">
        <v>24</v>
      </c>
    </row>
    <row r="1456" spans="1:18" x14ac:dyDescent="0.3">
      <c r="A1456" s="1" t="d">
        <v>2026-03-09</v>
      </c>
      <c r="B1456">
        <v>45511</v>
      </c>
      <c r="C1456" t="str">
        <f>VLOOKUP(Fato_Producao[[#This Row],[referencia]], Dim_Produtos!A:B,2,FALSE)</f>
        <v>lula limpa</v>
      </c>
      <c r="D1456">
        <v>3460</v>
      </c>
      <c r="E1456">
        <v>3201</v>
      </c>
      <c r="F1456" s="5">
        <v>7.4899999999999994E-2</v>
      </c>
      <c r="G1456" s="6">
        <v>82.88</v>
      </c>
      <c r="H1456">
        <v>28</v>
      </c>
      <c r="I1456">
        <v>224</v>
      </c>
      <c r="J1456">
        <v>7</v>
      </c>
      <c r="K1456">
        <f>Fato_Producao[[#This Row],[embalagens_danificadas]]+Fato_Producao[[#This Row],[peso_errado]]+Fato_Producao[[#This Row],[impressao]]</f>
        <v>259</v>
      </c>
      <c r="L1456" s="1" t="d">
        <v>2026-02-27</v>
      </c>
      <c r="M1456">
        <v>10</v>
      </c>
      <c r="N1456" s="7">
        <v>11.6</v>
      </c>
      <c r="O1456" s="4" t="str">
        <f t="shared" si="66"/>
        <v>março</v>
      </c>
      <c r="P1456" s="4">
        <f t="shared" si="67"/>
        <v>2026</v>
      </c>
      <c r="Q1456" s="4" t="str">
        <f t="shared" si="68"/>
        <v/>
      </c>
      <c r="R1456" t="s">
        <v>24</v>
      </c>
    </row>
    <row r="1457" spans="1:18" x14ac:dyDescent="0.3">
      <c r="A1457" s="1" t="d">
        <v>2026-03-09</v>
      </c>
      <c r="B1457">
        <v>45501</v>
      </c>
      <c r="C1457" t="str">
        <f>VLOOKUP(Fato_Producao[[#This Row],[referencia]], Dim_Produtos!A:B,2,FALSE)</f>
        <v>pescada posta cozer</v>
      </c>
      <c r="D1457">
        <v>2074</v>
      </c>
      <c r="E1457">
        <v>1939</v>
      </c>
      <c r="F1457" s="5">
        <v>6.5100000000000005E-2</v>
      </c>
      <c r="G1457" s="6">
        <v>43.2</v>
      </c>
      <c r="H1457">
        <v>8</v>
      </c>
      <c r="I1457">
        <v>124</v>
      </c>
      <c r="J1457">
        <v>3</v>
      </c>
      <c r="K1457">
        <f>Fato_Producao[[#This Row],[embalagens_danificadas]]+Fato_Producao[[#This Row],[peso_errado]]+Fato_Producao[[#This Row],[impressao]]</f>
        <v>135</v>
      </c>
      <c r="L1457" s="1" t="d">
        <v>2026-02-27</v>
      </c>
      <c r="M1457">
        <v>10</v>
      </c>
      <c r="N1457" s="7">
        <v>6.05</v>
      </c>
      <c r="O1457" s="4" t="str">
        <f t="shared" si="66"/>
        <v>março</v>
      </c>
      <c r="P1457" s="4">
        <f t="shared" si="67"/>
        <v>2026</v>
      </c>
      <c r="Q1457" s="4" t="str">
        <f t="shared" si="68"/>
        <v/>
      </c>
      <c r="R1457" t="s">
        <v>24</v>
      </c>
    </row>
    <row r="1458" spans="1:18" x14ac:dyDescent="0.3">
      <c r="A1458" s="1" t="d">
        <v>2026-03-10</v>
      </c>
      <c r="B1458">
        <v>45510</v>
      </c>
      <c r="C1458" t="str">
        <f>VLOOKUP(Fato_Producao[[#This Row],[referencia]], Dim_Produtos!A:B,2,FALSE)</f>
        <v>tiras pota</v>
      </c>
      <c r="D1458">
        <v>3151</v>
      </c>
      <c r="E1458">
        <v>2947</v>
      </c>
      <c r="F1458" s="5">
        <v>6.4699999999999994E-2</v>
      </c>
      <c r="G1458" s="6">
        <v>65.28</v>
      </c>
      <c r="H1458">
        <v>29</v>
      </c>
      <c r="I1458">
        <v>173</v>
      </c>
      <c r="J1458">
        <v>2</v>
      </c>
      <c r="K1458">
        <f>Fato_Producao[[#This Row],[embalagens_danificadas]]+Fato_Producao[[#This Row],[peso_errado]]+Fato_Producao[[#This Row],[impressao]]</f>
        <v>204</v>
      </c>
      <c r="L1458" s="1" t="d">
        <v>2026-02-27</v>
      </c>
      <c r="M1458">
        <v>11</v>
      </c>
      <c r="N1458" s="7">
        <v>9.14</v>
      </c>
      <c r="O1458" s="4" t="str">
        <f t="shared" si="66"/>
        <v>março</v>
      </c>
      <c r="P1458" s="4">
        <f t="shared" si="67"/>
        <v>2026</v>
      </c>
      <c r="Q1458" s="4" t="str">
        <f t="shared" si="68"/>
        <v/>
      </c>
      <c r="R1458" t="s">
        <v>24</v>
      </c>
    </row>
    <row r="1459" spans="1:18" x14ac:dyDescent="0.3">
      <c r="A1459" s="1" t="d">
        <v>2026-03-11</v>
      </c>
      <c r="B1459">
        <v>45504</v>
      </c>
      <c r="C1459" t="str">
        <f>VLOOKUP(Fato_Producao[[#This Row],[referencia]], Dim_Produtos!A:B,2,FALSE)</f>
        <v>pescada posta fritar</v>
      </c>
      <c r="D1459">
        <v>2843</v>
      </c>
      <c r="E1459">
        <v>2701</v>
      </c>
      <c r="F1459" s="5">
        <v>4.99E-2</v>
      </c>
      <c r="G1459" s="6">
        <v>45.44</v>
      </c>
      <c r="H1459">
        <v>7</v>
      </c>
      <c r="I1459">
        <v>131</v>
      </c>
      <c r="J1459">
        <v>4</v>
      </c>
      <c r="K1459">
        <f>Fato_Producao[[#This Row],[embalagens_danificadas]]+Fato_Producao[[#This Row],[peso_errado]]+Fato_Producao[[#This Row],[impressao]]</f>
        <v>142</v>
      </c>
      <c r="L1459" s="1" t="d">
        <v>2026-02-27</v>
      </c>
      <c r="M1459">
        <v>12</v>
      </c>
      <c r="N1459" s="7">
        <v>6.36</v>
      </c>
      <c r="O1459" s="4" t="str">
        <f t="shared" si="66"/>
        <v>março</v>
      </c>
      <c r="P1459" s="4">
        <f t="shared" si="67"/>
        <v>2026</v>
      </c>
      <c r="Q1459" s="4" t="str">
        <f t="shared" si="68"/>
        <v/>
      </c>
      <c r="R1459" t="s">
        <v>24</v>
      </c>
    </row>
    <row r="1460" spans="1:18" x14ac:dyDescent="0.3">
      <c r="A1460" s="1" t="d">
        <v>2026-03-12</v>
      </c>
      <c r="B1460">
        <v>45502</v>
      </c>
      <c r="C1460" t="str">
        <f>VLOOKUP(Fato_Producao[[#This Row],[referencia]], Dim_Produtos!A:B,2,FALSE)</f>
        <v>carapau pelim</v>
      </c>
      <c r="D1460">
        <v>4040</v>
      </c>
      <c r="E1460">
        <v>3801</v>
      </c>
      <c r="F1460" s="5">
        <v>5.9200000000000003E-2</v>
      </c>
      <c r="G1460" s="6">
        <v>71.7</v>
      </c>
      <c r="H1460">
        <v>65</v>
      </c>
      <c r="I1460">
        <v>168</v>
      </c>
      <c r="J1460">
        <v>6</v>
      </c>
      <c r="K1460">
        <f>Fato_Producao[[#This Row],[embalagens_danificadas]]+Fato_Producao[[#This Row],[peso_errado]]+Fato_Producao[[#This Row],[impressao]]</f>
        <v>239</v>
      </c>
      <c r="L1460" s="1" t="d">
        <v>2026-02-27</v>
      </c>
      <c r="M1460">
        <v>13</v>
      </c>
      <c r="N1460" s="7">
        <v>9.32</v>
      </c>
      <c r="O1460" s="4" t="str">
        <f t="shared" si="66"/>
        <v>março</v>
      </c>
      <c r="P1460" s="4">
        <f t="shared" si="67"/>
        <v>2026</v>
      </c>
      <c r="Q1460" s="4" t="str">
        <f t="shared" si="68"/>
        <v/>
      </c>
      <c r="R1460" t="s">
        <v>24</v>
      </c>
    </row>
    <row r="1461" spans="1:18" x14ac:dyDescent="0.3">
      <c r="A1461" s="1" t="d">
        <v>2026-03-12</v>
      </c>
      <c r="B1461">
        <v>45507</v>
      </c>
      <c r="C1461" t="str">
        <f>VLOOKUP(Fato_Producao[[#This Row],[referencia]], Dim_Produtos!A:B,2,FALSE)</f>
        <v>salmao posta</v>
      </c>
      <c r="D1461">
        <v>2426</v>
      </c>
      <c r="E1461">
        <v>2308</v>
      </c>
      <c r="F1461" s="5">
        <v>4.8599999999999997E-2</v>
      </c>
      <c r="G1461" s="6">
        <v>41.3</v>
      </c>
      <c r="H1461">
        <v>5</v>
      </c>
      <c r="I1461">
        <v>109</v>
      </c>
      <c r="J1461">
        <v>4</v>
      </c>
      <c r="K1461">
        <f>Fato_Producao[[#This Row],[embalagens_danificadas]]+Fato_Producao[[#This Row],[peso_errado]]+Fato_Producao[[#This Row],[impressao]]</f>
        <v>118</v>
      </c>
      <c r="L1461" s="1" t="d">
        <v>2026-02-27</v>
      </c>
      <c r="M1461">
        <v>13</v>
      </c>
      <c r="N1461" s="7">
        <v>6.61</v>
      </c>
      <c r="O1461" s="4" t="str">
        <f t="shared" si="66"/>
        <v>março</v>
      </c>
      <c r="P1461" s="4">
        <f t="shared" si="67"/>
        <v>2026</v>
      </c>
      <c r="Q1461" s="4" t="str">
        <f t="shared" si="68"/>
        <v/>
      </c>
      <c r="R1461" t="s">
        <v>24</v>
      </c>
    </row>
    <row r="1462" spans="1:18" x14ac:dyDescent="0.3">
      <c r="A1462" s="1" t="d">
        <v>2026-03-13</v>
      </c>
      <c r="B1462">
        <v>45503</v>
      </c>
      <c r="C1462" t="str">
        <f>VLOOKUP(Fato_Producao[[#This Row],[referencia]], Dim_Produtos!A:B,2,FALSE)</f>
        <v>sardinha pequena</v>
      </c>
      <c r="D1462">
        <v>2539</v>
      </c>
      <c r="E1462">
        <v>2345</v>
      </c>
      <c r="F1462" s="5">
        <v>7.6399999999999996E-2</v>
      </c>
      <c r="G1462" s="6">
        <v>50.44</v>
      </c>
      <c r="H1462">
        <v>10</v>
      </c>
      <c r="I1462">
        <v>179</v>
      </c>
      <c r="J1462">
        <v>5</v>
      </c>
      <c r="K1462">
        <f>Fato_Producao[[#This Row],[embalagens_danificadas]]+Fato_Producao[[#This Row],[peso_errado]]+Fato_Producao[[#This Row],[impressao]]</f>
        <v>194</v>
      </c>
      <c r="L1462" s="1" t="d">
        <v>2026-02-27</v>
      </c>
      <c r="M1462">
        <v>14</v>
      </c>
      <c r="N1462" s="7">
        <v>5.55</v>
      </c>
      <c r="O1462" s="4" t="str">
        <f t="shared" si="66"/>
        <v>março</v>
      </c>
      <c r="P1462" s="4">
        <f t="shared" si="67"/>
        <v>2026</v>
      </c>
      <c r="Q1462" s="4" t="str">
        <f t="shared" si="68"/>
        <v/>
      </c>
      <c r="R1462" t="s">
        <v>24</v>
      </c>
    </row>
    <row r="1463" spans="1:18" x14ac:dyDescent="0.3">
      <c r="A1463" s="1" t="d">
        <v>2026-03-13</v>
      </c>
      <c r="B1463">
        <v>45513</v>
      </c>
      <c r="C1463" t="str">
        <f>VLOOKUP(Fato_Producao[[#This Row],[referencia]], Dim_Produtos!A:B,2,FALSE)</f>
        <v>filete pescada</v>
      </c>
      <c r="D1463">
        <v>3658</v>
      </c>
      <c r="E1463">
        <v>3455</v>
      </c>
      <c r="F1463" s="5">
        <v>5.5500000000000001E-2</v>
      </c>
      <c r="G1463" s="6">
        <v>64.959999999999994</v>
      </c>
      <c r="H1463">
        <v>8</v>
      </c>
      <c r="I1463">
        <v>189</v>
      </c>
      <c r="J1463">
        <v>6</v>
      </c>
      <c r="K1463">
        <f>Fato_Producao[[#This Row],[embalagens_danificadas]]+Fato_Producao[[#This Row],[peso_errado]]+Fato_Producao[[#This Row],[impressao]]</f>
        <v>203</v>
      </c>
      <c r="L1463" s="1" t="d">
        <v>2026-02-27</v>
      </c>
      <c r="M1463">
        <v>14</v>
      </c>
      <c r="N1463" s="7">
        <v>8.44</v>
      </c>
      <c r="O1463" s="4" t="str">
        <f t="shared" si="66"/>
        <v>março</v>
      </c>
      <c r="P1463" s="4">
        <f t="shared" si="67"/>
        <v>2026</v>
      </c>
      <c r="Q1463" s="4" t="str">
        <f t="shared" si="68"/>
        <v/>
      </c>
      <c r="R1463" t="s">
        <v>24</v>
      </c>
    </row>
    <row r="1464" spans="1:18" x14ac:dyDescent="0.3">
      <c r="A1464" s="1" t="d">
        <v>2026-03-14</v>
      </c>
      <c r="B1464">
        <v>45507</v>
      </c>
      <c r="C1464" t="str">
        <f>VLOOKUP(Fato_Producao[[#This Row],[referencia]], Dim_Produtos!A:B,2,FALSE)</f>
        <v>salmao posta</v>
      </c>
      <c r="D1464">
        <v>2517</v>
      </c>
      <c r="E1464">
        <v>2330</v>
      </c>
      <c r="F1464" s="5">
        <v>7.4300000000000005E-2</v>
      </c>
      <c r="G1464" s="6">
        <v>65.45</v>
      </c>
      <c r="H1464">
        <v>6</v>
      </c>
      <c r="I1464">
        <v>176</v>
      </c>
      <c r="J1464">
        <v>5</v>
      </c>
      <c r="K1464">
        <f>Fato_Producao[[#This Row],[embalagens_danificadas]]+Fato_Producao[[#This Row],[peso_errado]]+Fato_Producao[[#This Row],[impressao]]</f>
        <v>187</v>
      </c>
      <c r="L1464" s="1" t="d">
        <v>2026-02-27</v>
      </c>
      <c r="M1464">
        <v>15</v>
      </c>
      <c r="N1464" s="7">
        <v>10.47</v>
      </c>
      <c r="O1464" s="4" t="str">
        <f t="shared" si="66"/>
        <v>março</v>
      </c>
      <c r="P1464" s="4">
        <f t="shared" si="67"/>
        <v>2026</v>
      </c>
      <c r="Q1464" s="4" t="str">
        <f t="shared" si="68"/>
        <v/>
      </c>
      <c r="R1464" t="s">
        <v>24</v>
      </c>
    </row>
    <row r="1465" spans="1:18" x14ac:dyDescent="0.3">
      <c r="A1465" s="1" t="d">
        <v>2026-03-15</v>
      </c>
      <c r="B1465">
        <v>45512</v>
      </c>
      <c r="C1465" t="str">
        <f>VLOOKUP(Fato_Producao[[#This Row],[referencia]], Dim_Produtos!A:B,2,FALSE)</f>
        <v>red-fish posta</v>
      </c>
      <c r="D1465">
        <v>2154</v>
      </c>
      <c r="E1465">
        <v>2035</v>
      </c>
      <c r="F1465" s="5">
        <v>5.5199999999999999E-2</v>
      </c>
      <c r="G1465" s="6">
        <v>40.46</v>
      </c>
      <c r="H1465">
        <v>5</v>
      </c>
      <c r="I1465">
        <v>112</v>
      </c>
      <c r="J1465">
        <v>2</v>
      </c>
      <c r="K1465">
        <f>Fato_Producao[[#This Row],[embalagens_danificadas]]+Fato_Producao[[#This Row],[peso_errado]]+Fato_Producao[[#This Row],[impressao]]</f>
        <v>119</v>
      </c>
      <c r="L1465" s="1" t="d">
        <v>2026-02-27</v>
      </c>
      <c r="M1465">
        <v>16</v>
      </c>
      <c r="N1465" s="7">
        <v>5.66</v>
      </c>
      <c r="O1465" s="4" t="str">
        <f t="shared" si="66"/>
        <v>março</v>
      </c>
      <c r="P1465" s="4">
        <f t="shared" si="67"/>
        <v>2026</v>
      </c>
      <c r="Q1465" s="4" t="str">
        <f t="shared" si="68"/>
        <v/>
      </c>
      <c r="R1465" t="s">
        <v>24</v>
      </c>
    </row>
    <row r="1466" spans="1:18" x14ac:dyDescent="0.3">
      <c r="A1466" s="1" t="d">
        <v>2026-03-15</v>
      </c>
      <c r="B1466">
        <v>45502</v>
      </c>
      <c r="C1466" t="str">
        <f>VLOOKUP(Fato_Producao[[#This Row],[referencia]], Dim_Produtos!A:B,2,FALSE)</f>
        <v>carapau pelim</v>
      </c>
      <c r="D1466">
        <v>4015</v>
      </c>
      <c r="E1466">
        <v>3726</v>
      </c>
      <c r="F1466" s="5">
        <v>7.1999999999999995E-2</v>
      </c>
      <c r="G1466" s="6">
        <v>86.7</v>
      </c>
      <c r="H1466">
        <v>68</v>
      </c>
      <c r="I1466">
        <v>216</v>
      </c>
      <c r="J1466">
        <v>5</v>
      </c>
      <c r="K1466">
        <f>Fato_Producao[[#This Row],[embalagens_danificadas]]+Fato_Producao[[#This Row],[peso_errado]]+Fato_Producao[[#This Row],[impressao]]</f>
        <v>289</v>
      </c>
      <c r="L1466" s="1" t="d">
        <v>2026-02-27</v>
      </c>
      <c r="M1466">
        <v>16</v>
      </c>
      <c r="N1466" s="7">
        <v>11.27</v>
      </c>
      <c r="O1466" s="4" t="str">
        <f t="shared" si="66"/>
        <v>março</v>
      </c>
      <c r="P1466" s="4">
        <f t="shared" si="67"/>
        <v>2026</v>
      </c>
      <c r="Q1466" s="4" t="str">
        <f t="shared" si="68"/>
        <v/>
      </c>
      <c r="R1466" t="s">
        <v>24</v>
      </c>
    </row>
    <row r="1467" spans="1:18" x14ac:dyDescent="0.3">
      <c r="A1467" s="1" t="d">
        <v>2026-03-16</v>
      </c>
      <c r="B1467">
        <v>45510</v>
      </c>
      <c r="C1467" t="str">
        <f>VLOOKUP(Fato_Producao[[#This Row],[referencia]], Dim_Produtos!A:B,2,FALSE)</f>
        <v>tiras pota</v>
      </c>
      <c r="D1467">
        <v>2458</v>
      </c>
      <c r="E1467">
        <v>2234</v>
      </c>
      <c r="F1467" s="5">
        <v>9.11E-2</v>
      </c>
      <c r="G1467" s="6">
        <v>71.680000000000007</v>
      </c>
      <c r="H1467">
        <v>26</v>
      </c>
      <c r="I1467">
        <v>194</v>
      </c>
      <c r="J1467">
        <v>4</v>
      </c>
      <c r="K1467">
        <f>Fato_Producao[[#This Row],[embalagens_danificadas]]+Fato_Producao[[#This Row],[peso_errado]]+Fato_Producao[[#This Row],[impressao]]</f>
        <v>224</v>
      </c>
      <c r="L1467" s="1" t="d">
        <v>2026-02-27</v>
      </c>
      <c r="M1467">
        <v>17</v>
      </c>
      <c r="N1467" s="7">
        <v>10.039999999999999</v>
      </c>
      <c r="O1467" s="4" t="str">
        <f t="shared" si="66"/>
        <v>março</v>
      </c>
      <c r="P1467" s="4">
        <f t="shared" si="67"/>
        <v>2026</v>
      </c>
      <c r="Q1467" s="4" t="str">
        <f t="shared" si="68"/>
        <v/>
      </c>
      <c r="R1467" t="s">
        <v>24</v>
      </c>
    </row>
    <row r="1468" spans="1:18" x14ac:dyDescent="0.3">
      <c r="A1468" s="1" t="d">
        <v>2026-03-16</v>
      </c>
      <c r="B1468">
        <v>45510</v>
      </c>
      <c r="C1468" t="str">
        <f>VLOOKUP(Fato_Producao[[#This Row],[referencia]], Dim_Produtos!A:B,2,FALSE)</f>
        <v>tiras pota</v>
      </c>
      <c r="D1468">
        <v>3632</v>
      </c>
      <c r="E1468">
        <v>3373</v>
      </c>
      <c r="F1468" s="5">
        <v>7.1300000000000002E-2</v>
      </c>
      <c r="G1468" s="6">
        <v>82.88</v>
      </c>
      <c r="H1468">
        <v>36</v>
      </c>
      <c r="I1468">
        <v>220</v>
      </c>
      <c r="J1468">
        <v>3</v>
      </c>
      <c r="K1468">
        <f>Fato_Producao[[#This Row],[embalagens_danificadas]]+Fato_Producao[[#This Row],[peso_errado]]+Fato_Producao[[#This Row],[impressao]]</f>
        <v>259</v>
      </c>
      <c r="L1468" s="1" t="d">
        <v>2026-02-27</v>
      </c>
      <c r="M1468">
        <v>17</v>
      </c>
      <c r="N1468" s="7">
        <v>11.6</v>
      </c>
      <c r="O1468" s="4" t="str">
        <f t="shared" si="66"/>
        <v>março</v>
      </c>
      <c r="P1468" s="4">
        <f t="shared" si="67"/>
        <v>2026</v>
      </c>
      <c r="Q1468" s="4" t="str">
        <f t="shared" si="68"/>
        <v/>
      </c>
      <c r="R1468" t="s">
        <v>24</v>
      </c>
    </row>
    <row r="1469" spans="1:18" x14ac:dyDescent="0.3">
      <c r="A1469" s="1" t="d">
        <v>2026-03-17</v>
      </c>
      <c r="B1469">
        <v>45511</v>
      </c>
      <c r="C1469" t="str">
        <f>VLOOKUP(Fato_Producao[[#This Row],[referencia]], Dim_Produtos!A:B,2,FALSE)</f>
        <v>lula limpa</v>
      </c>
      <c r="D1469">
        <v>2466</v>
      </c>
      <c r="E1469">
        <v>2251</v>
      </c>
      <c r="F1469" s="5">
        <v>8.72E-2</v>
      </c>
      <c r="G1469" s="6">
        <v>68.8</v>
      </c>
      <c r="H1469">
        <v>22</v>
      </c>
      <c r="I1469">
        <v>188</v>
      </c>
      <c r="J1469">
        <v>5</v>
      </c>
      <c r="K1469">
        <f>Fato_Producao[[#This Row],[embalagens_danificadas]]+Fato_Producao[[#This Row],[peso_errado]]+Fato_Producao[[#This Row],[impressao]]</f>
        <v>215</v>
      </c>
      <c r="L1469" s="1" t="d">
        <v>2026-02-27</v>
      </c>
      <c r="M1469">
        <v>18</v>
      </c>
      <c r="N1469" s="7">
        <v>9.6300000000000008</v>
      </c>
      <c r="O1469" s="4" t="str">
        <f t="shared" si="66"/>
        <v>março</v>
      </c>
      <c r="P1469" s="4">
        <f t="shared" si="67"/>
        <v>2026</v>
      </c>
      <c r="Q1469" s="4" t="str">
        <f t="shared" si="68"/>
        <v/>
      </c>
      <c r="R1469" t="s">
        <v>24</v>
      </c>
    </row>
    <row r="1470" spans="1:18" x14ac:dyDescent="0.3">
      <c r="A1470" s="1" t="d">
        <v>2026-03-17</v>
      </c>
      <c r="B1470">
        <v>45502</v>
      </c>
      <c r="C1470" t="str">
        <f>VLOOKUP(Fato_Producao[[#This Row],[referencia]], Dim_Produtos!A:B,2,FALSE)</f>
        <v>carapau pelim</v>
      </c>
      <c r="D1470">
        <v>3037</v>
      </c>
      <c r="E1470">
        <v>2843</v>
      </c>
      <c r="F1470" s="5">
        <v>6.3899999999999998E-2</v>
      </c>
      <c r="G1470" s="6">
        <v>58.2</v>
      </c>
      <c r="H1470">
        <v>40</v>
      </c>
      <c r="I1470">
        <v>150</v>
      </c>
      <c r="J1470">
        <v>4</v>
      </c>
      <c r="K1470">
        <f>Fato_Producao[[#This Row],[embalagens_danificadas]]+Fato_Producao[[#This Row],[peso_errado]]+Fato_Producao[[#This Row],[impressao]]</f>
        <v>194</v>
      </c>
      <c r="L1470" s="1" t="d">
        <v>2026-02-27</v>
      </c>
      <c r="M1470">
        <v>18</v>
      </c>
      <c r="N1470" s="7">
        <v>7.57</v>
      </c>
      <c r="O1470" s="4" t="str">
        <f t="shared" si="66"/>
        <v>março</v>
      </c>
      <c r="P1470" s="4">
        <f t="shared" si="67"/>
        <v>2026</v>
      </c>
      <c r="Q1470" s="4" t="str">
        <f t="shared" si="68"/>
        <v/>
      </c>
      <c r="R1470" t="s">
        <v>24</v>
      </c>
    </row>
    <row r="1471" spans="1:18" x14ac:dyDescent="0.3">
      <c r="A1471" s="1" t="d">
        <v>2026-03-18</v>
      </c>
      <c r="B1471">
        <v>45510</v>
      </c>
      <c r="C1471" t="str">
        <f>VLOOKUP(Fato_Producao[[#This Row],[referencia]], Dim_Produtos!A:B,2,FALSE)</f>
        <v>tiras pota</v>
      </c>
      <c r="D1471">
        <v>3651</v>
      </c>
      <c r="E1471">
        <v>3376</v>
      </c>
      <c r="F1471" s="5">
        <v>7.5300000000000006E-2</v>
      </c>
      <c r="G1471" s="6">
        <v>88</v>
      </c>
      <c r="H1471">
        <v>27</v>
      </c>
      <c r="I1471">
        <v>244</v>
      </c>
      <c r="J1471">
        <v>4</v>
      </c>
      <c r="K1471">
        <f>Fato_Producao[[#This Row],[embalagens_danificadas]]+Fato_Producao[[#This Row],[peso_errado]]+Fato_Producao[[#This Row],[impressao]]</f>
        <v>275</v>
      </c>
      <c r="L1471" s="1" t="d">
        <v>2026-02-27</v>
      </c>
      <c r="M1471">
        <v>19</v>
      </c>
      <c r="N1471" s="7">
        <v>12.32</v>
      </c>
      <c r="O1471" s="4" t="str">
        <f t="shared" si="66"/>
        <v>março</v>
      </c>
      <c r="P1471" s="4">
        <f t="shared" si="67"/>
        <v>2026</v>
      </c>
      <c r="Q1471" s="4" t="str">
        <f t="shared" si="68"/>
        <v/>
      </c>
      <c r="R1471" t="s">
        <v>24</v>
      </c>
    </row>
    <row r="1472" spans="1:18" x14ac:dyDescent="0.3">
      <c r="A1472" s="1" t="d">
        <v>2026-03-18</v>
      </c>
      <c r="B1472">
        <v>45514</v>
      </c>
      <c r="C1472" t="str">
        <f>VLOOKUP(Fato_Producao[[#This Row],[referencia]], Dim_Produtos!A:B,2,FALSE)</f>
        <v>sardinha pequena</v>
      </c>
      <c r="D1472">
        <v>2341</v>
      </c>
      <c r="E1472">
        <v>2190</v>
      </c>
      <c r="F1472" s="5">
        <v>6.4500000000000002E-2</v>
      </c>
      <c r="G1472" s="6">
        <v>45.3</v>
      </c>
      <c r="H1472">
        <v>6</v>
      </c>
      <c r="I1472">
        <v>143</v>
      </c>
      <c r="J1472">
        <v>2</v>
      </c>
      <c r="K1472">
        <f>Fato_Producao[[#This Row],[embalagens_danificadas]]+Fato_Producao[[#This Row],[peso_errado]]+Fato_Producao[[#This Row],[impressao]]</f>
        <v>151</v>
      </c>
      <c r="L1472" s="1" t="d">
        <v>2026-02-27</v>
      </c>
      <c r="M1472">
        <v>19</v>
      </c>
      <c r="N1472" s="7">
        <v>5.44</v>
      </c>
      <c r="O1472" s="4" t="str">
        <f t="shared" si="66"/>
        <v>março</v>
      </c>
      <c r="P1472" s="4">
        <f t="shared" si="67"/>
        <v>2026</v>
      </c>
      <c r="Q1472" s="4" t="str">
        <f t="shared" si="68"/>
        <v/>
      </c>
      <c r="R1472" t="s">
        <v>24</v>
      </c>
    </row>
    <row r="1473" spans="1:18" x14ac:dyDescent="0.3">
      <c r="A1473" s="1" t="d">
        <v>2026-03-19</v>
      </c>
      <c r="B1473">
        <v>45514</v>
      </c>
      <c r="C1473" t="str">
        <f>VLOOKUP(Fato_Producao[[#This Row],[referencia]], Dim_Produtos!A:B,2,FALSE)</f>
        <v>sardinha pequena</v>
      </c>
      <c r="D1473">
        <v>2754</v>
      </c>
      <c r="E1473">
        <v>2564</v>
      </c>
      <c r="F1473" s="5">
        <v>6.9000000000000006E-2</v>
      </c>
      <c r="G1473" s="6">
        <v>57</v>
      </c>
      <c r="H1473">
        <v>6</v>
      </c>
      <c r="I1473">
        <v>179</v>
      </c>
      <c r="J1473">
        <v>5</v>
      </c>
      <c r="K1473">
        <f>Fato_Producao[[#This Row],[embalagens_danificadas]]+Fato_Producao[[#This Row],[peso_errado]]+Fato_Producao[[#This Row],[impressao]]</f>
        <v>190</v>
      </c>
      <c r="L1473" s="1" t="d">
        <v>2026-02-27</v>
      </c>
      <c r="M1473">
        <v>20</v>
      </c>
      <c r="N1473" s="7">
        <v>6.84</v>
      </c>
      <c r="O1473" s="4" t="str">
        <f t="shared" si="66"/>
        <v>março</v>
      </c>
      <c r="P1473" s="4">
        <f t="shared" si="67"/>
        <v>2026</v>
      </c>
      <c r="Q1473" s="4" t="str">
        <f t="shared" si="68"/>
        <v/>
      </c>
      <c r="R1473" t="s">
        <v>24</v>
      </c>
    </row>
    <row r="1474" spans="1:18" x14ac:dyDescent="0.3">
      <c r="A1474" s="1" t="d">
        <v>2026-03-19</v>
      </c>
      <c r="B1474">
        <v>45502</v>
      </c>
      <c r="C1474" t="str">
        <f>VLOOKUP(Fato_Producao[[#This Row],[referencia]], Dim_Produtos!A:B,2,FALSE)</f>
        <v>carapau pelim</v>
      </c>
      <c r="D1474">
        <v>3511</v>
      </c>
      <c r="E1474">
        <v>3292</v>
      </c>
      <c r="F1474" s="5">
        <v>6.2399999999999997E-2</v>
      </c>
      <c r="G1474" s="6">
        <v>65.7</v>
      </c>
      <c r="H1474">
        <v>49</v>
      </c>
      <c r="I1474">
        <v>164</v>
      </c>
      <c r="J1474">
        <v>6</v>
      </c>
      <c r="K1474">
        <f>Fato_Producao[[#This Row],[embalagens_danificadas]]+Fato_Producao[[#This Row],[peso_errado]]+Fato_Producao[[#This Row],[impressao]]</f>
        <v>219</v>
      </c>
      <c r="L1474" s="1" t="d">
        <v>2026-02-27</v>
      </c>
      <c r="M1474">
        <v>20</v>
      </c>
      <c r="N1474" s="7">
        <v>8.5399999999999991</v>
      </c>
      <c r="O1474" s="4" t="str">
        <f t="shared" ref="O1474:O1537" si="69">TEXT(A1474, "mmmm")</f>
        <v>março</v>
      </c>
      <c r="P1474" s="4">
        <f t="shared" ref="P1474:P1537" si="70">YEAR(A1474)</f>
        <v>2026</v>
      </c>
      <c r="Q1474" s="4" t="str">
        <f t="shared" ref="Q1474:Q1537" si="71">IF(M1475 &gt;= M1474, "", M1474)</f>
        <v/>
      </c>
      <c r="R1474" t="s">
        <v>24</v>
      </c>
    </row>
    <row r="1475" spans="1:18" x14ac:dyDescent="0.3">
      <c r="A1475" s="1" t="d">
        <v>2026-03-20</v>
      </c>
      <c r="B1475">
        <v>45506</v>
      </c>
      <c r="C1475" t="str">
        <f>VLOOKUP(Fato_Producao[[#This Row],[referencia]], Dim_Produtos!A:B,2,FALSE)</f>
        <v>perca posta</v>
      </c>
      <c r="D1475">
        <v>2645</v>
      </c>
      <c r="E1475">
        <v>2500</v>
      </c>
      <c r="F1475" s="5">
        <v>5.4800000000000001E-2</v>
      </c>
      <c r="G1475" s="6">
        <v>50.75</v>
      </c>
      <c r="H1475">
        <v>9</v>
      </c>
      <c r="I1475">
        <v>134</v>
      </c>
      <c r="J1475">
        <v>2</v>
      </c>
      <c r="K1475">
        <f>Fato_Producao[[#This Row],[embalagens_danificadas]]+Fato_Producao[[#This Row],[peso_errado]]+Fato_Producao[[#This Row],[impressao]]</f>
        <v>145</v>
      </c>
      <c r="L1475" s="1" t="d">
        <v>2026-02-27</v>
      </c>
      <c r="M1475">
        <v>21</v>
      </c>
      <c r="N1475" s="7">
        <v>7.61</v>
      </c>
      <c r="O1475" s="4" t="str">
        <f t="shared" si="69"/>
        <v>março</v>
      </c>
      <c r="P1475" s="4">
        <f t="shared" si="70"/>
        <v>2026</v>
      </c>
      <c r="Q1475" s="4" t="str">
        <f t="shared" si="71"/>
        <v/>
      </c>
      <c r="R1475" t="s">
        <v>24</v>
      </c>
    </row>
    <row r="1476" spans="1:18" x14ac:dyDescent="0.3">
      <c r="A1476" s="1" t="d">
        <v>2026-03-20</v>
      </c>
      <c r="B1476">
        <v>45507</v>
      </c>
      <c r="C1476" t="str">
        <f>VLOOKUP(Fato_Producao[[#This Row],[referencia]], Dim_Produtos!A:B,2,FALSE)</f>
        <v>salmao posta</v>
      </c>
      <c r="D1476">
        <v>4120</v>
      </c>
      <c r="E1476">
        <v>3849</v>
      </c>
      <c r="F1476" s="5">
        <v>6.5799999999999997E-2</v>
      </c>
      <c r="G1476" s="6">
        <v>94.85</v>
      </c>
      <c r="H1476">
        <v>16</v>
      </c>
      <c r="I1476">
        <v>248</v>
      </c>
      <c r="J1476">
        <v>7</v>
      </c>
      <c r="K1476">
        <f>Fato_Producao[[#This Row],[embalagens_danificadas]]+Fato_Producao[[#This Row],[peso_errado]]+Fato_Producao[[#This Row],[impressao]]</f>
        <v>271</v>
      </c>
      <c r="L1476" s="1" t="d">
        <v>2026-02-27</v>
      </c>
      <c r="M1476">
        <v>21</v>
      </c>
      <c r="N1476" s="7">
        <v>15.18</v>
      </c>
      <c r="O1476" s="4" t="str">
        <f t="shared" si="69"/>
        <v>março</v>
      </c>
      <c r="P1476" s="4">
        <f t="shared" si="70"/>
        <v>2026</v>
      </c>
      <c r="Q1476" s="4" t="str">
        <f t="shared" si="71"/>
        <v/>
      </c>
      <c r="R1476" t="s">
        <v>24</v>
      </c>
    </row>
    <row r="1477" spans="1:18" x14ac:dyDescent="0.3">
      <c r="A1477" s="1" t="d">
        <v>2026-03-21</v>
      </c>
      <c r="B1477">
        <v>45513</v>
      </c>
      <c r="C1477" t="str">
        <f>VLOOKUP(Fato_Producao[[#This Row],[referencia]], Dim_Produtos!A:B,2,FALSE)</f>
        <v>filete pescada</v>
      </c>
      <c r="D1477">
        <v>2827</v>
      </c>
      <c r="E1477">
        <v>2660</v>
      </c>
      <c r="F1477" s="5">
        <v>5.91E-2</v>
      </c>
      <c r="G1477" s="6">
        <v>53.44</v>
      </c>
      <c r="H1477">
        <v>10</v>
      </c>
      <c r="I1477">
        <v>155</v>
      </c>
      <c r="J1477">
        <v>2</v>
      </c>
      <c r="K1477">
        <f>Fato_Producao[[#This Row],[embalagens_danificadas]]+Fato_Producao[[#This Row],[peso_errado]]+Fato_Producao[[#This Row],[impressao]]</f>
        <v>167</v>
      </c>
      <c r="L1477" s="1" t="d">
        <v>2026-02-27</v>
      </c>
      <c r="M1477">
        <v>22</v>
      </c>
      <c r="N1477" s="7">
        <v>6.95</v>
      </c>
      <c r="O1477" s="4" t="str">
        <f t="shared" si="69"/>
        <v>março</v>
      </c>
      <c r="P1477" s="4">
        <f t="shared" si="70"/>
        <v>2026</v>
      </c>
      <c r="Q1477" s="4" t="str">
        <f t="shared" si="71"/>
        <v/>
      </c>
      <c r="R1477" t="s">
        <v>24</v>
      </c>
    </row>
    <row r="1478" spans="1:18" x14ac:dyDescent="0.3">
      <c r="A1478" s="1" t="d">
        <v>2026-03-21</v>
      </c>
      <c r="B1478">
        <v>45512</v>
      </c>
      <c r="C1478" t="str">
        <f>VLOOKUP(Fato_Producao[[#This Row],[referencia]], Dim_Produtos!A:B,2,FALSE)</f>
        <v>red-fish posta</v>
      </c>
      <c r="D1478">
        <v>2997</v>
      </c>
      <c r="E1478">
        <v>2742</v>
      </c>
      <c r="F1478" s="5">
        <v>8.5099999999999995E-2</v>
      </c>
      <c r="G1478" s="6">
        <v>86.7</v>
      </c>
      <c r="H1478">
        <v>8</v>
      </c>
      <c r="I1478">
        <v>241</v>
      </c>
      <c r="J1478">
        <v>6</v>
      </c>
      <c r="K1478">
        <f>Fato_Producao[[#This Row],[embalagens_danificadas]]+Fato_Producao[[#This Row],[peso_errado]]+Fato_Producao[[#This Row],[impressao]]</f>
        <v>255</v>
      </c>
      <c r="L1478" s="1" t="d">
        <v>2026-02-27</v>
      </c>
      <c r="M1478">
        <v>22</v>
      </c>
      <c r="N1478" s="7">
        <v>12.14</v>
      </c>
      <c r="O1478" s="4" t="str">
        <f t="shared" si="69"/>
        <v>março</v>
      </c>
      <c r="P1478" s="4">
        <f t="shared" si="70"/>
        <v>2026</v>
      </c>
      <c r="Q1478" s="4" t="str">
        <f t="shared" si="71"/>
        <v/>
      </c>
      <c r="R1478" t="s">
        <v>24</v>
      </c>
    </row>
    <row r="1479" spans="1:18" x14ac:dyDescent="0.3">
      <c r="A1479" s="1" t="d">
        <v>2026-03-22</v>
      </c>
      <c r="B1479">
        <v>45502</v>
      </c>
      <c r="C1479" t="str">
        <f>VLOOKUP(Fato_Producao[[#This Row],[referencia]], Dim_Produtos!A:B,2,FALSE)</f>
        <v>carapau pelim</v>
      </c>
      <c r="D1479">
        <v>2103</v>
      </c>
      <c r="E1479">
        <v>1974</v>
      </c>
      <c r="F1479" s="5">
        <v>6.13E-2</v>
      </c>
      <c r="G1479" s="6">
        <v>38.700000000000003</v>
      </c>
      <c r="H1479">
        <v>24</v>
      </c>
      <c r="I1479">
        <v>101</v>
      </c>
      <c r="J1479">
        <v>4</v>
      </c>
      <c r="K1479">
        <f>Fato_Producao[[#This Row],[embalagens_danificadas]]+Fato_Producao[[#This Row],[peso_errado]]+Fato_Producao[[#This Row],[impressao]]</f>
        <v>129</v>
      </c>
      <c r="L1479" s="1" t="d">
        <v>2026-02-27</v>
      </c>
      <c r="M1479">
        <v>23</v>
      </c>
      <c r="N1479" s="7">
        <v>5.03</v>
      </c>
      <c r="O1479" s="4" t="str">
        <f t="shared" si="69"/>
        <v>março</v>
      </c>
      <c r="P1479" s="4">
        <f t="shared" si="70"/>
        <v>2026</v>
      </c>
      <c r="Q1479" s="4" t="str">
        <f t="shared" si="71"/>
        <v/>
      </c>
      <c r="R1479" t="s">
        <v>24</v>
      </c>
    </row>
    <row r="1480" spans="1:18" x14ac:dyDescent="0.3">
      <c r="A1480" s="1" t="d">
        <v>2026-03-23</v>
      </c>
      <c r="B1480">
        <v>45510</v>
      </c>
      <c r="C1480" t="str">
        <f>VLOOKUP(Fato_Producao[[#This Row],[referencia]], Dim_Produtos!A:B,2,FALSE)</f>
        <v>tiras pota</v>
      </c>
      <c r="D1480">
        <v>4095</v>
      </c>
      <c r="E1480">
        <v>3771</v>
      </c>
      <c r="F1480" s="5">
        <v>7.9100000000000004E-2</v>
      </c>
      <c r="G1480" s="6">
        <v>103.68</v>
      </c>
      <c r="H1480">
        <v>43</v>
      </c>
      <c r="I1480">
        <v>277</v>
      </c>
      <c r="J1480">
        <v>4</v>
      </c>
      <c r="K1480">
        <f>Fato_Producao[[#This Row],[embalagens_danificadas]]+Fato_Producao[[#This Row],[peso_errado]]+Fato_Producao[[#This Row],[impressao]]</f>
        <v>324</v>
      </c>
      <c r="L1480" s="1" t="d">
        <v>2026-02-27</v>
      </c>
      <c r="M1480">
        <v>24</v>
      </c>
      <c r="N1480" s="7">
        <v>14.52</v>
      </c>
      <c r="O1480" s="4" t="str">
        <f t="shared" si="69"/>
        <v>março</v>
      </c>
      <c r="P1480" s="4">
        <f t="shared" si="70"/>
        <v>2026</v>
      </c>
      <c r="Q1480" s="4" t="str">
        <f t="shared" si="71"/>
        <v/>
      </c>
      <c r="R1480" t="s">
        <v>24</v>
      </c>
    </row>
    <row r="1481" spans="1:18" x14ac:dyDescent="0.3">
      <c r="A1481" s="1" t="d">
        <v>2026-03-24</v>
      </c>
      <c r="B1481">
        <v>45504</v>
      </c>
      <c r="C1481" t="str">
        <f>VLOOKUP(Fato_Producao[[#This Row],[referencia]], Dim_Produtos!A:B,2,FALSE)</f>
        <v>pescada posta fritar</v>
      </c>
      <c r="D1481">
        <v>4141</v>
      </c>
      <c r="E1481">
        <v>3831</v>
      </c>
      <c r="F1481" s="5">
        <v>7.4899999999999994E-2</v>
      </c>
      <c r="G1481" s="6">
        <v>99.2</v>
      </c>
      <c r="H1481">
        <v>10</v>
      </c>
      <c r="I1481">
        <v>291</v>
      </c>
      <c r="J1481">
        <v>9</v>
      </c>
      <c r="K1481">
        <f>Fato_Producao[[#This Row],[embalagens_danificadas]]+Fato_Producao[[#This Row],[peso_errado]]+Fato_Producao[[#This Row],[impressao]]</f>
        <v>310</v>
      </c>
      <c r="L1481" s="1" t="d">
        <v>2026-02-27</v>
      </c>
      <c r="M1481">
        <v>25</v>
      </c>
      <c r="N1481" s="7">
        <v>13.89</v>
      </c>
      <c r="O1481" s="4" t="str">
        <f t="shared" si="69"/>
        <v>março</v>
      </c>
      <c r="P1481" s="4">
        <f t="shared" si="70"/>
        <v>2026</v>
      </c>
      <c r="Q1481" s="4" t="str">
        <f t="shared" si="71"/>
        <v/>
      </c>
      <c r="R1481" t="s">
        <v>24</v>
      </c>
    </row>
    <row r="1482" spans="1:18" x14ac:dyDescent="0.3">
      <c r="A1482" s="1" t="d">
        <v>2026-03-25</v>
      </c>
      <c r="B1482">
        <v>45510</v>
      </c>
      <c r="C1482" t="str">
        <f>VLOOKUP(Fato_Producao[[#This Row],[referencia]], Dim_Produtos!A:B,2,FALSE)</f>
        <v>tiras pota</v>
      </c>
      <c r="D1482">
        <v>2751</v>
      </c>
      <c r="E1482">
        <v>2548</v>
      </c>
      <c r="F1482" s="5">
        <v>7.3800000000000004E-2</v>
      </c>
      <c r="G1482" s="6">
        <v>64.959999999999994</v>
      </c>
      <c r="H1482">
        <v>23</v>
      </c>
      <c r="I1482">
        <v>174</v>
      </c>
      <c r="J1482">
        <v>6</v>
      </c>
      <c r="K1482">
        <f>Fato_Producao[[#This Row],[embalagens_danificadas]]+Fato_Producao[[#This Row],[peso_errado]]+Fato_Producao[[#This Row],[impressao]]</f>
        <v>203</v>
      </c>
      <c r="L1482" s="1" t="d">
        <v>2026-02-27</v>
      </c>
      <c r="M1482">
        <v>26</v>
      </c>
      <c r="N1482" s="7">
        <v>9.09</v>
      </c>
      <c r="O1482" s="4" t="str">
        <f t="shared" si="69"/>
        <v>março</v>
      </c>
      <c r="P1482" s="4">
        <f t="shared" si="70"/>
        <v>2026</v>
      </c>
      <c r="Q1482" s="4" t="str">
        <f t="shared" si="71"/>
        <v/>
      </c>
      <c r="R1482" t="s">
        <v>24</v>
      </c>
    </row>
    <row r="1483" spans="1:18" x14ac:dyDescent="0.3">
      <c r="A1483" s="1" t="d">
        <v>2026-03-25</v>
      </c>
      <c r="B1483">
        <v>45502</v>
      </c>
      <c r="C1483" t="str">
        <f>VLOOKUP(Fato_Producao[[#This Row],[referencia]], Dim_Produtos!A:B,2,FALSE)</f>
        <v>carapau pelim</v>
      </c>
      <c r="D1483">
        <v>3042</v>
      </c>
      <c r="E1483">
        <v>2837</v>
      </c>
      <c r="F1483" s="5">
        <v>6.7400000000000002E-2</v>
      </c>
      <c r="G1483" s="6">
        <v>61.5</v>
      </c>
      <c r="H1483">
        <v>65</v>
      </c>
      <c r="I1483">
        <v>133</v>
      </c>
      <c r="J1483">
        <v>7</v>
      </c>
      <c r="K1483">
        <f>Fato_Producao[[#This Row],[embalagens_danificadas]]+Fato_Producao[[#This Row],[peso_errado]]+Fato_Producao[[#This Row],[impressao]]</f>
        <v>205</v>
      </c>
      <c r="L1483" s="1" t="d">
        <v>2026-02-27</v>
      </c>
      <c r="M1483">
        <v>26</v>
      </c>
      <c r="N1483" s="7">
        <v>8</v>
      </c>
      <c r="O1483" s="4" t="str">
        <f t="shared" si="69"/>
        <v>março</v>
      </c>
      <c r="P1483" s="4">
        <f t="shared" si="70"/>
        <v>2026</v>
      </c>
      <c r="Q1483" s="4" t="str">
        <f t="shared" si="71"/>
        <v/>
      </c>
      <c r="R1483" t="s">
        <v>24</v>
      </c>
    </row>
    <row r="1484" spans="1:18" x14ac:dyDescent="0.3">
      <c r="A1484" s="1" t="d">
        <v>2026-03-26</v>
      </c>
      <c r="B1484">
        <v>45505</v>
      </c>
      <c r="C1484" t="str">
        <f>VLOOKUP(Fato_Producao[[#This Row],[referencia]], Dim_Produtos!A:B,2,FALSE)</f>
        <v>camarao</v>
      </c>
      <c r="D1484">
        <v>2006</v>
      </c>
      <c r="E1484">
        <v>1834</v>
      </c>
      <c r="F1484" s="5">
        <v>8.5699999999999998E-2</v>
      </c>
      <c r="G1484" s="6">
        <v>51.6</v>
      </c>
      <c r="H1484">
        <v>48</v>
      </c>
      <c r="I1484">
        <v>120</v>
      </c>
      <c r="J1484">
        <v>4</v>
      </c>
      <c r="K1484">
        <f>Fato_Producao[[#This Row],[embalagens_danificadas]]+Fato_Producao[[#This Row],[peso_errado]]+Fato_Producao[[#This Row],[impressao]]</f>
        <v>172</v>
      </c>
      <c r="L1484" s="1" t="d">
        <v>2026-02-27</v>
      </c>
      <c r="M1484">
        <v>27</v>
      </c>
      <c r="N1484" s="7">
        <v>7.74</v>
      </c>
      <c r="O1484" s="4" t="str">
        <f t="shared" si="69"/>
        <v>março</v>
      </c>
      <c r="P1484" s="4">
        <f t="shared" si="70"/>
        <v>2026</v>
      </c>
      <c r="Q1484" s="4" t="str">
        <f t="shared" si="71"/>
        <v/>
      </c>
      <c r="R1484" t="s">
        <v>24</v>
      </c>
    </row>
    <row r="1485" spans="1:18" x14ac:dyDescent="0.3">
      <c r="A1485" s="1" t="d">
        <v>2026-03-27</v>
      </c>
      <c r="B1485">
        <v>45511</v>
      </c>
      <c r="C1485" t="str">
        <f>VLOOKUP(Fato_Producao[[#This Row],[referencia]], Dim_Produtos!A:B,2,FALSE)</f>
        <v>lula limpa</v>
      </c>
      <c r="D1485">
        <v>2893</v>
      </c>
      <c r="E1485">
        <v>2615</v>
      </c>
      <c r="F1485" s="5">
        <v>9.6100000000000005E-2</v>
      </c>
      <c r="G1485" s="6">
        <v>88.96</v>
      </c>
      <c r="H1485">
        <v>31</v>
      </c>
      <c r="I1485">
        <v>240</v>
      </c>
      <c r="J1485">
        <v>7</v>
      </c>
      <c r="K1485">
        <f>Fato_Producao[[#This Row],[embalagens_danificadas]]+Fato_Producao[[#This Row],[peso_errado]]+Fato_Producao[[#This Row],[impressao]]</f>
        <v>278</v>
      </c>
      <c r="L1485" s="1" t="d">
        <v>2026-02-27</v>
      </c>
      <c r="M1485">
        <v>28</v>
      </c>
      <c r="N1485" s="7">
        <v>12.45</v>
      </c>
      <c r="O1485" s="4" t="str">
        <f t="shared" si="69"/>
        <v>março</v>
      </c>
      <c r="P1485" s="4">
        <f t="shared" si="70"/>
        <v>2026</v>
      </c>
      <c r="Q1485" s="4" t="str">
        <f t="shared" si="71"/>
        <v/>
      </c>
      <c r="R1485" t="s">
        <v>24</v>
      </c>
    </row>
    <row r="1486" spans="1:18" x14ac:dyDescent="0.3">
      <c r="A1486" s="1" t="d">
        <v>2026-03-28</v>
      </c>
      <c r="B1486">
        <v>45508</v>
      </c>
      <c r="C1486" t="str">
        <f>VLOOKUP(Fato_Producao[[#This Row],[referencia]], Dim_Produtos!A:B,2,FALSE)</f>
        <v>lula suja</v>
      </c>
      <c r="D1486">
        <v>2960</v>
      </c>
      <c r="E1486">
        <v>2655</v>
      </c>
      <c r="F1486" s="5">
        <v>0.10299999999999999</v>
      </c>
      <c r="G1486" s="6">
        <v>97.6</v>
      </c>
      <c r="H1486">
        <v>27</v>
      </c>
      <c r="I1486">
        <v>273</v>
      </c>
      <c r="J1486">
        <v>5</v>
      </c>
      <c r="K1486">
        <f>Fato_Producao[[#This Row],[embalagens_danificadas]]+Fato_Producao[[#This Row],[peso_errado]]+Fato_Producao[[#This Row],[impressao]]</f>
        <v>305</v>
      </c>
      <c r="L1486" s="1" t="d">
        <v>2026-02-27</v>
      </c>
      <c r="M1486">
        <v>29</v>
      </c>
      <c r="N1486" s="7">
        <v>13.66</v>
      </c>
      <c r="O1486" s="4" t="str">
        <f t="shared" si="69"/>
        <v>março</v>
      </c>
      <c r="P1486" s="4">
        <f t="shared" si="70"/>
        <v>2026</v>
      </c>
      <c r="Q1486" s="4" t="str">
        <f t="shared" si="71"/>
        <v/>
      </c>
      <c r="R1486" t="s">
        <v>24</v>
      </c>
    </row>
    <row r="1487" spans="1:18" x14ac:dyDescent="0.3">
      <c r="A1487" s="1" t="d">
        <v>2026-03-28</v>
      </c>
      <c r="B1487">
        <v>45514</v>
      </c>
      <c r="C1487" t="str">
        <f>VLOOKUP(Fato_Producao[[#This Row],[referencia]], Dim_Produtos!A:B,2,FALSE)</f>
        <v>sardinha pequena</v>
      </c>
      <c r="D1487">
        <v>3681</v>
      </c>
      <c r="E1487">
        <v>3338</v>
      </c>
      <c r="F1487" s="5">
        <v>9.3200000000000005E-2</v>
      </c>
      <c r="G1487" s="6">
        <v>102.9</v>
      </c>
      <c r="H1487">
        <v>8</v>
      </c>
      <c r="I1487">
        <v>326</v>
      </c>
      <c r="J1487">
        <v>9</v>
      </c>
      <c r="K1487">
        <f>Fato_Producao[[#This Row],[embalagens_danificadas]]+Fato_Producao[[#This Row],[peso_errado]]+Fato_Producao[[#This Row],[impressao]]</f>
        <v>343</v>
      </c>
      <c r="L1487" s="1" t="d">
        <v>2026-02-27</v>
      </c>
      <c r="M1487">
        <v>29</v>
      </c>
      <c r="N1487" s="7">
        <v>12.35</v>
      </c>
      <c r="O1487" s="4" t="str">
        <f t="shared" si="69"/>
        <v>março</v>
      </c>
      <c r="P1487" s="4">
        <f t="shared" si="70"/>
        <v>2026</v>
      </c>
      <c r="Q1487" s="4" t="str">
        <f t="shared" si="71"/>
        <v/>
      </c>
      <c r="R1487" t="s">
        <v>24</v>
      </c>
    </row>
    <row r="1488" spans="1:18" x14ac:dyDescent="0.3">
      <c r="A1488" s="1" t="d">
        <v>2026-03-29</v>
      </c>
      <c r="B1488">
        <v>45507</v>
      </c>
      <c r="C1488" t="str">
        <f>VLOOKUP(Fato_Producao[[#This Row],[referencia]], Dim_Produtos!A:B,2,FALSE)</f>
        <v>salmao posta</v>
      </c>
      <c r="D1488">
        <v>2744</v>
      </c>
      <c r="E1488">
        <v>2564</v>
      </c>
      <c r="F1488" s="5">
        <v>6.5600000000000006E-2</v>
      </c>
      <c r="G1488" s="6">
        <v>63</v>
      </c>
      <c r="H1488">
        <v>8</v>
      </c>
      <c r="I1488">
        <v>170</v>
      </c>
      <c r="J1488">
        <v>2</v>
      </c>
      <c r="K1488">
        <f>Fato_Producao[[#This Row],[embalagens_danificadas]]+Fato_Producao[[#This Row],[peso_errado]]+Fato_Producao[[#This Row],[impressao]]</f>
        <v>180</v>
      </c>
      <c r="L1488" s="1" t="d">
        <v>2026-02-27</v>
      </c>
      <c r="M1488">
        <v>30</v>
      </c>
      <c r="N1488" s="7">
        <v>10.08</v>
      </c>
      <c r="O1488" s="4" t="str">
        <f t="shared" si="69"/>
        <v>março</v>
      </c>
      <c r="P1488" s="4">
        <f t="shared" si="70"/>
        <v>2026</v>
      </c>
      <c r="Q1488" s="4" t="str">
        <f t="shared" si="71"/>
        <v/>
      </c>
      <c r="R1488" t="s">
        <v>24</v>
      </c>
    </row>
    <row r="1489" spans="1:18" x14ac:dyDescent="0.3">
      <c r="A1489" s="1" t="d">
        <v>2026-03-30</v>
      </c>
      <c r="B1489">
        <v>45501</v>
      </c>
      <c r="C1489" t="str">
        <f>VLOOKUP(Fato_Producao[[#This Row],[referencia]], Dim_Produtos!A:B,2,FALSE)</f>
        <v>pescada posta cozer</v>
      </c>
      <c r="D1489">
        <v>2889</v>
      </c>
      <c r="E1489">
        <v>2673</v>
      </c>
      <c r="F1489" s="5">
        <v>7.4800000000000005E-2</v>
      </c>
      <c r="G1489" s="6">
        <v>69.12</v>
      </c>
      <c r="H1489">
        <v>6</v>
      </c>
      <c r="I1489">
        <v>205</v>
      </c>
      <c r="J1489">
        <v>5</v>
      </c>
      <c r="K1489">
        <f>Fato_Producao[[#This Row],[embalagens_danificadas]]+Fato_Producao[[#This Row],[peso_errado]]+Fato_Producao[[#This Row],[impressao]]</f>
        <v>216</v>
      </c>
      <c r="L1489" s="1" t="d">
        <v>2026-02-27</v>
      </c>
      <c r="M1489">
        <v>31</v>
      </c>
      <c r="N1489" s="7">
        <v>9.68</v>
      </c>
      <c r="O1489" s="4" t="str">
        <f t="shared" si="69"/>
        <v>março</v>
      </c>
      <c r="P1489" s="4">
        <f t="shared" si="70"/>
        <v>2026</v>
      </c>
      <c r="Q1489" s="4" t="str">
        <f t="shared" si="71"/>
        <v/>
      </c>
      <c r="R1489" t="s">
        <v>24</v>
      </c>
    </row>
    <row r="1490" spans="1:18" x14ac:dyDescent="0.3">
      <c r="A1490" s="1" t="d">
        <v>2026-03-31</v>
      </c>
      <c r="B1490">
        <v>45507</v>
      </c>
      <c r="C1490" t="str">
        <f>VLOOKUP(Fato_Producao[[#This Row],[referencia]], Dim_Produtos!A:B,2,FALSE)</f>
        <v>salmao posta</v>
      </c>
      <c r="D1490">
        <v>3889</v>
      </c>
      <c r="E1490">
        <v>3626</v>
      </c>
      <c r="F1490" s="5">
        <v>6.7599999999999993E-2</v>
      </c>
      <c r="G1490" s="6">
        <v>92.05</v>
      </c>
      <c r="H1490">
        <v>11</v>
      </c>
      <c r="I1490">
        <v>245</v>
      </c>
      <c r="J1490">
        <v>7</v>
      </c>
      <c r="K1490">
        <f>Fato_Producao[[#This Row],[embalagens_danificadas]]+Fato_Producao[[#This Row],[peso_errado]]+Fato_Producao[[#This Row],[impressao]]</f>
        <v>263</v>
      </c>
      <c r="L1490" s="1" t="d">
        <v>2026-02-27</v>
      </c>
      <c r="M1490">
        <v>32</v>
      </c>
      <c r="N1490" s="7">
        <v>14.73</v>
      </c>
      <c r="O1490" s="4" t="str">
        <f t="shared" si="69"/>
        <v>março</v>
      </c>
      <c r="P1490" s="4">
        <f t="shared" si="70"/>
        <v>2026</v>
      </c>
      <c r="Q1490" s="4" t="str">
        <f t="shared" si="71"/>
        <v/>
      </c>
      <c r="R1490" t="s">
        <v>24</v>
      </c>
    </row>
    <row r="1491" spans="1:18" x14ac:dyDescent="0.3">
      <c r="A1491" s="1" t="d">
        <v>2026-03-31</v>
      </c>
      <c r="B1491">
        <v>45503</v>
      </c>
      <c r="C1491" t="str">
        <f>VLOOKUP(Fato_Producao[[#This Row],[referencia]], Dim_Produtos!A:B,2,FALSE)</f>
        <v>sardinha pequena</v>
      </c>
      <c r="D1491">
        <v>2630</v>
      </c>
      <c r="E1491">
        <v>2425</v>
      </c>
      <c r="F1491" s="5">
        <v>7.7899999999999997E-2</v>
      </c>
      <c r="G1491" s="6">
        <v>53.3</v>
      </c>
      <c r="H1491">
        <v>75</v>
      </c>
      <c r="I1491">
        <v>43</v>
      </c>
      <c r="J1491">
        <v>87</v>
      </c>
      <c r="K1491">
        <f>Fato_Producao[[#This Row],[embalagens_danificadas]]+Fato_Producao[[#This Row],[peso_errado]]+Fato_Producao[[#This Row],[impressao]]</f>
        <v>205</v>
      </c>
      <c r="L1491" s="1" t="d">
        <v>2026-02-27</v>
      </c>
      <c r="M1491">
        <v>32</v>
      </c>
      <c r="N1491" s="7">
        <v>5.86</v>
      </c>
      <c r="O1491" s="4" t="str">
        <f t="shared" si="69"/>
        <v>março</v>
      </c>
      <c r="P1491" s="4">
        <f t="shared" si="70"/>
        <v>2026</v>
      </c>
      <c r="Q1491" s="4" t="str">
        <f t="shared" si="71"/>
        <v/>
      </c>
      <c r="R1491" t="s">
        <v>50</v>
      </c>
    </row>
    <row r="1492" spans="1:18" x14ac:dyDescent="0.3">
      <c r="A1492" s="1" t="d">
        <v>2026-04-01</v>
      </c>
      <c r="B1492">
        <v>45509</v>
      </c>
      <c r="C1492" t="str">
        <f>VLOOKUP(Fato_Producao[[#This Row],[referencia]], Dim_Produtos!A:B,2,FALSE)</f>
        <v>lascas bacalhau</v>
      </c>
      <c r="D1492">
        <v>1870</v>
      </c>
      <c r="E1492">
        <v>1725</v>
      </c>
      <c r="F1492" s="5">
        <v>7.7499999999999999E-2</v>
      </c>
      <c r="G1492" s="6">
        <v>40.6</v>
      </c>
      <c r="H1492">
        <v>2</v>
      </c>
      <c r="I1492">
        <v>139</v>
      </c>
      <c r="J1492">
        <v>4</v>
      </c>
      <c r="K1492">
        <f>Fato_Producao[[#This Row],[embalagens_danificadas]]+Fato_Producao[[#This Row],[peso_errado]]+Fato_Producao[[#This Row],[impressao]]</f>
        <v>145</v>
      </c>
      <c r="L1492" s="1" t="d">
        <v>2026-02-27</v>
      </c>
      <c r="M1492">
        <v>33</v>
      </c>
      <c r="N1492" s="7">
        <v>5.28</v>
      </c>
      <c r="O1492" s="4" t="str">
        <f t="shared" si="69"/>
        <v>abril</v>
      </c>
      <c r="P1492" s="4">
        <f t="shared" si="70"/>
        <v>2026</v>
      </c>
      <c r="Q1492" s="4" t="str">
        <f t="shared" si="71"/>
        <v/>
      </c>
      <c r="R1492" t="s">
        <v>24</v>
      </c>
    </row>
    <row r="1493" spans="1:18" x14ac:dyDescent="0.3">
      <c r="A1493" s="1" t="d">
        <v>2026-04-02</v>
      </c>
      <c r="B1493">
        <v>45510</v>
      </c>
      <c r="C1493" t="str">
        <f>VLOOKUP(Fato_Producao[[#This Row],[referencia]], Dim_Produtos!A:B,2,FALSE)</f>
        <v>tiras pota</v>
      </c>
      <c r="D1493">
        <v>4095</v>
      </c>
      <c r="E1493">
        <v>3783</v>
      </c>
      <c r="F1493" s="5">
        <v>7.6200000000000004E-2</v>
      </c>
      <c r="G1493" s="6">
        <v>99.84</v>
      </c>
      <c r="H1493">
        <v>25</v>
      </c>
      <c r="I1493">
        <v>284</v>
      </c>
      <c r="J1493">
        <v>3</v>
      </c>
      <c r="K1493">
        <f>Fato_Producao[[#This Row],[embalagens_danificadas]]+Fato_Producao[[#This Row],[peso_errado]]+Fato_Producao[[#This Row],[impressao]]</f>
        <v>312</v>
      </c>
      <c r="L1493" s="1" t="d">
        <v>2026-02-27</v>
      </c>
      <c r="M1493">
        <v>34</v>
      </c>
      <c r="N1493" s="7">
        <v>13.98</v>
      </c>
      <c r="O1493" s="4" t="str">
        <f t="shared" si="69"/>
        <v>abril</v>
      </c>
      <c r="P1493" s="4">
        <f t="shared" si="70"/>
        <v>2026</v>
      </c>
      <c r="Q1493" s="4" t="str">
        <f t="shared" si="71"/>
        <v/>
      </c>
      <c r="R1493" t="s">
        <v>24</v>
      </c>
    </row>
    <row r="1494" spans="1:18" x14ac:dyDescent="0.3">
      <c r="A1494" s="1" t="d">
        <v>2026-04-03</v>
      </c>
      <c r="B1494">
        <v>45507</v>
      </c>
      <c r="C1494" t="str">
        <f>VLOOKUP(Fato_Producao[[#This Row],[referencia]], Dim_Produtos!A:B,2,FALSE)</f>
        <v>salmao posta</v>
      </c>
      <c r="D1494">
        <v>1975</v>
      </c>
      <c r="E1494">
        <v>1858</v>
      </c>
      <c r="F1494" s="5">
        <v>5.9200000000000003E-2</v>
      </c>
      <c r="G1494" s="6">
        <v>40.950000000000003</v>
      </c>
      <c r="H1494">
        <v>8</v>
      </c>
      <c r="I1494">
        <v>107</v>
      </c>
      <c r="J1494">
        <v>2</v>
      </c>
      <c r="K1494">
        <f>Fato_Producao[[#This Row],[embalagens_danificadas]]+Fato_Producao[[#This Row],[peso_errado]]+Fato_Producao[[#This Row],[impressao]]</f>
        <v>117</v>
      </c>
      <c r="L1494" s="1" t="d">
        <v>2026-02-27</v>
      </c>
      <c r="M1494">
        <v>35</v>
      </c>
      <c r="N1494" s="7">
        <v>6.55</v>
      </c>
      <c r="O1494" s="4" t="str">
        <f t="shared" si="69"/>
        <v>abril</v>
      </c>
      <c r="P1494" s="4">
        <f t="shared" si="70"/>
        <v>2026</v>
      </c>
      <c r="Q1494" s="4" t="str">
        <f t="shared" si="71"/>
        <v/>
      </c>
      <c r="R1494" t="s">
        <v>24</v>
      </c>
    </row>
    <row r="1495" spans="1:18" x14ac:dyDescent="0.3">
      <c r="A1495" s="1" t="d">
        <v>2026-04-03</v>
      </c>
      <c r="B1495">
        <v>45500</v>
      </c>
      <c r="C1495" t="str">
        <f>VLOOKUP(Fato_Producao[[#This Row],[referencia]], Dim_Produtos!A:B,2,FALSE)</f>
        <v>filete pescada</v>
      </c>
      <c r="D1495">
        <v>4197</v>
      </c>
      <c r="E1495">
        <v>3944</v>
      </c>
      <c r="F1495" s="5">
        <v>6.0299999999999999E-2</v>
      </c>
      <c r="G1495" s="6">
        <v>70.84</v>
      </c>
      <c r="H1495">
        <v>12</v>
      </c>
      <c r="I1495">
        <v>237</v>
      </c>
      <c r="J1495">
        <v>4</v>
      </c>
      <c r="K1495">
        <f>Fato_Producao[[#This Row],[embalagens_danificadas]]+Fato_Producao[[#This Row],[peso_errado]]+Fato_Producao[[#This Row],[impressao]]</f>
        <v>253</v>
      </c>
      <c r="L1495" s="1" t="d">
        <v>2026-02-27</v>
      </c>
      <c r="M1495">
        <v>35</v>
      </c>
      <c r="N1495" s="7">
        <v>8.5</v>
      </c>
      <c r="O1495" s="4" t="str">
        <f t="shared" si="69"/>
        <v>abril</v>
      </c>
      <c r="P1495" s="4">
        <f t="shared" si="70"/>
        <v>2026</v>
      </c>
      <c r="Q1495" s="4" t="str">
        <f t="shared" si="71"/>
        <v/>
      </c>
      <c r="R1495" t="s">
        <v>24</v>
      </c>
    </row>
    <row r="1496" spans="1:18" x14ac:dyDescent="0.3">
      <c r="A1496" s="1" t="d">
        <v>2026-04-04</v>
      </c>
      <c r="B1496">
        <v>45508</v>
      </c>
      <c r="C1496" t="str">
        <f>VLOOKUP(Fato_Producao[[#This Row],[referencia]], Dim_Produtos!A:B,2,FALSE)</f>
        <v>lula suja</v>
      </c>
      <c r="D1496">
        <v>2109</v>
      </c>
      <c r="E1496">
        <v>1863</v>
      </c>
      <c r="F1496" s="5">
        <v>0.1166</v>
      </c>
      <c r="G1496" s="6">
        <v>78.72</v>
      </c>
      <c r="H1496">
        <v>28</v>
      </c>
      <c r="I1496">
        <v>215</v>
      </c>
      <c r="J1496">
        <v>3</v>
      </c>
      <c r="K1496">
        <f>Fato_Producao[[#This Row],[embalagens_danificadas]]+Fato_Producao[[#This Row],[peso_errado]]+Fato_Producao[[#This Row],[impressao]]</f>
        <v>246</v>
      </c>
      <c r="L1496" s="1" t="d">
        <v>2026-02-27</v>
      </c>
      <c r="M1496">
        <v>36</v>
      </c>
      <c r="N1496" s="7">
        <v>11.02</v>
      </c>
      <c r="O1496" s="4" t="str">
        <f t="shared" si="69"/>
        <v>abril</v>
      </c>
      <c r="P1496" s="4">
        <f t="shared" si="70"/>
        <v>2026</v>
      </c>
      <c r="Q1496" s="4" t="str">
        <f t="shared" si="71"/>
        <v/>
      </c>
      <c r="R1496" t="s">
        <v>24</v>
      </c>
    </row>
    <row r="1497" spans="1:18" x14ac:dyDescent="0.3">
      <c r="A1497" s="1" t="d">
        <v>2026-04-04</v>
      </c>
      <c r="B1497">
        <v>45502</v>
      </c>
      <c r="C1497" t="str">
        <f>VLOOKUP(Fato_Producao[[#This Row],[referencia]], Dim_Produtos!A:B,2,FALSE)</f>
        <v>carapau pelim</v>
      </c>
      <c r="D1497">
        <v>2569</v>
      </c>
      <c r="E1497">
        <v>2336</v>
      </c>
      <c r="F1497" s="5">
        <v>9.0700000000000003E-2</v>
      </c>
      <c r="G1497" s="6">
        <v>69.900000000000006</v>
      </c>
      <c r="H1497">
        <v>59</v>
      </c>
      <c r="I1497">
        <v>168</v>
      </c>
      <c r="J1497">
        <v>6</v>
      </c>
      <c r="K1497">
        <f>Fato_Producao[[#This Row],[embalagens_danificadas]]+Fato_Producao[[#This Row],[peso_errado]]+Fato_Producao[[#This Row],[impressao]]</f>
        <v>233</v>
      </c>
      <c r="L1497" s="1" t="d">
        <v>2026-02-27</v>
      </c>
      <c r="M1497">
        <v>36</v>
      </c>
      <c r="N1497" s="7">
        <v>9.09</v>
      </c>
      <c r="O1497" s="4" t="str">
        <f t="shared" si="69"/>
        <v>abril</v>
      </c>
      <c r="P1497" s="4">
        <f t="shared" si="70"/>
        <v>2026</v>
      </c>
      <c r="Q1497" s="4" t="str">
        <f t="shared" si="71"/>
        <v/>
      </c>
      <c r="R1497" t="s">
        <v>24</v>
      </c>
    </row>
    <row r="1498" spans="1:18" x14ac:dyDescent="0.3">
      <c r="A1498" s="1" t="d">
        <v>2026-04-05</v>
      </c>
      <c r="B1498">
        <v>45506</v>
      </c>
      <c r="C1498" t="str">
        <f>VLOOKUP(Fato_Producao[[#This Row],[referencia]], Dim_Produtos!A:B,2,FALSE)</f>
        <v>perca posta</v>
      </c>
      <c r="D1498">
        <v>2694</v>
      </c>
      <c r="E1498">
        <v>2471</v>
      </c>
      <c r="F1498" s="5">
        <v>8.2799999999999999E-2</v>
      </c>
      <c r="G1498" s="6">
        <v>78.05</v>
      </c>
      <c r="H1498">
        <v>11</v>
      </c>
      <c r="I1498">
        <v>206</v>
      </c>
      <c r="J1498">
        <v>6</v>
      </c>
      <c r="K1498">
        <f>Fato_Producao[[#This Row],[embalagens_danificadas]]+Fato_Producao[[#This Row],[peso_errado]]+Fato_Producao[[#This Row],[impressao]]</f>
        <v>223</v>
      </c>
      <c r="L1498" s="1" t="d">
        <v>2026-02-27</v>
      </c>
      <c r="M1498">
        <v>37</v>
      </c>
      <c r="N1498" s="7">
        <v>11.71</v>
      </c>
      <c r="O1498" s="4" t="str">
        <f t="shared" si="69"/>
        <v>abril</v>
      </c>
      <c r="P1498" s="4">
        <f t="shared" si="70"/>
        <v>2026</v>
      </c>
      <c r="Q1498" s="4" t="str">
        <f t="shared" si="71"/>
        <v/>
      </c>
      <c r="R1498" t="s">
        <v>24</v>
      </c>
    </row>
    <row r="1499" spans="1:18" x14ac:dyDescent="0.3">
      <c r="A1499" s="1" t="d">
        <v>2026-04-05</v>
      </c>
      <c r="B1499">
        <v>45510</v>
      </c>
      <c r="C1499" t="str">
        <f>VLOOKUP(Fato_Producao[[#This Row],[referencia]], Dim_Produtos!A:B,2,FALSE)</f>
        <v>tiras pota</v>
      </c>
      <c r="D1499">
        <v>2770</v>
      </c>
      <c r="E1499">
        <v>2448</v>
      </c>
      <c r="F1499" s="5">
        <v>0.1162</v>
      </c>
      <c r="G1499" s="6">
        <v>103.04</v>
      </c>
      <c r="H1499">
        <v>32</v>
      </c>
      <c r="I1499">
        <v>283</v>
      </c>
      <c r="J1499">
        <v>7</v>
      </c>
      <c r="K1499">
        <f>Fato_Producao[[#This Row],[embalagens_danificadas]]+Fato_Producao[[#This Row],[peso_errado]]+Fato_Producao[[#This Row],[impressao]]</f>
        <v>322</v>
      </c>
      <c r="L1499" s="1" t="d">
        <v>2026-02-27</v>
      </c>
      <c r="M1499">
        <v>37</v>
      </c>
      <c r="N1499" s="7">
        <v>14.43</v>
      </c>
      <c r="O1499" s="4" t="str">
        <f t="shared" si="69"/>
        <v>abril</v>
      </c>
      <c r="P1499" s="4">
        <f t="shared" si="70"/>
        <v>2026</v>
      </c>
      <c r="Q1499" s="4" t="str">
        <f t="shared" si="71"/>
        <v/>
      </c>
      <c r="R1499" t="s">
        <v>24</v>
      </c>
    </row>
    <row r="1500" spans="1:18" x14ac:dyDescent="0.3">
      <c r="A1500" s="1" t="d">
        <v>2026-04-06</v>
      </c>
      <c r="B1500">
        <v>45511</v>
      </c>
      <c r="C1500" t="str">
        <f>VLOOKUP(Fato_Producao[[#This Row],[referencia]], Dim_Produtos!A:B,2,FALSE)</f>
        <v>lula limpa</v>
      </c>
      <c r="D1500">
        <v>3773</v>
      </c>
      <c r="E1500">
        <v>3439</v>
      </c>
      <c r="F1500" s="5">
        <v>8.8499999999999995E-2</v>
      </c>
      <c r="G1500" s="6">
        <v>106.88</v>
      </c>
      <c r="H1500">
        <v>32</v>
      </c>
      <c r="I1500">
        <v>296</v>
      </c>
      <c r="J1500">
        <v>6</v>
      </c>
      <c r="K1500">
        <f>Fato_Producao[[#This Row],[embalagens_danificadas]]+Fato_Producao[[#This Row],[peso_errado]]+Fato_Producao[[#This Row],[impressao]]</f>
        <v>334</v>
      </c>
      <c r="L1500" s="1" t="d">
        <v>2026-02-27</v>
      </c>
      <c r="M1500">
        <v>38</v>
      </c>
      <c r="N1500" s="7">
        <v>14.96</v>
      </c>
      <c r="O1500" s="4" t="str">
        <f t="shared" si="69"/>
        <v>abril</v>
      </c>
      <c r="P1500" s="4">
        <f t="shared" si="70"/>
        <v>2026</v>
      </c>
      <c r="Q1500" s="4" t="str">
        <f t="shared" si="71"/>
        <v/>
      </c>
      <c r="R1500" t="s">
        <v>24</v>
      </c>
    </row>
    <row r="1501" spans="1:18" x14ac:dyDescent="0.3">
      <c r="A1501" s="1" t="d">
        <v>2026-04-06</v>
      </c>
      <c r="B1501">
        <v>45503</v>
      </c>
      <c r="C1501" t="str">
        <f>VLOOKUP(Fato_Producao[[#This Row],[referencia]], Dim_Produtos!A:B,2,FALSE)</f>
        <v>sardinha pequena</v>
      </c>
      <c r="D1501">
        <v>3860</v>
      </c>
      <c r="E1501">
        <v>3512</v>
      </c>
      <c r="F1501" s="5">
        <v>9.0200000000000002E-2</v>
      </c>
      <c r="G1501" s="6">
        <v>90.48</v>
      </c>
      <c r="H1501">
        <v>6</v>
      </c>
      <c r="I1501">
        <v>334</v>
      </c>
      <c r="J1501">
        <v>8</v>
      </c>
      <c r="K1501">
        <f>Fato_Producao[[#This Row],[embalagens_danificadas]]+Fato_Producao[[#This Row],[peso_errado]]+Fato_Producao[[#This Row],[impressao]]</f>
        <v>348</v>
      </c>
      <c r="L1501" s="1" t="d">
        <v>2026-02-27</v>
      </c>
      <c r="M1501">
        <v>38</v>
      </c>
      <c r="N1501" s="7">
        <v>9.9499999999999993</v>
      </c>
      <c r="O1501" s="4" t="str">
        <f t="shared" si="69"/>
        <v>abril</v>
      </c>
      <c r="P1501" s="4">
        <f t="shared" si="70"/>
        <v>2026</v>
      </c>
      <c r="Q1501" s="4" t="str">
        <f t="shared" si="71"/>
        <v/>
      </c>
      <c r="R1501" t="s">
        <v>24</v>
      </c>
    </row>
    <row r="1502" spans="1:18" x14ac:dyDescent="0.3">
      <c r="A1502" s="1" t="d">
        <v>2026-04-07</v>
      </c>
      <c r="B1502">
        <v>45503</v>
      </c>
      <c r="C1502" t="str">
        <f>VLOOKUP(Fato_Producao[[#This Row],[referencia]], Dim_Produtos!A:B,2,FALSE)</f>
        <v>sardinha pequena</v>
      </c>
      <c r="D1502">
        <v>2991</v>
      </c>
      <c r="E1502">
        <v>2750</v>
      </c>
      <c r="F1502" s="5">
        <v>8.0600000000000005E-2</v>
      </c>
      <c r="G1502" s="6">
        <v>62.66</v>
      </c>
      <c r="H1502">
        <v>15</v>
      </c>
      <c r="I1502">
        <v>220</v>
      </c>
      <c r="J1502">
        <v>6</v>
      </c>
      <c r="K1502">
        <f>Fato_Producao[[#This Row],[embalagens_danificadas]]+Fato_Producao[[#This Row],[peso_errado]]+Fato_Producao[[#This Row],[impressao]]</f>
        <v>241</v>
      </c>
      <c r="L1502" s="1" t="d">
        <v>2026-02-27</v>
      </c>
      <c r="M1502">
        <v>39</v>
      </c>
      <c r="N1502" s="7">
        <v>6.89</v>
      </c>
      <c r="O1502" s="4" t="str">
        <f t="shared" si="69"/>
        <v>abril</v>
      </c>
      <c r="P1502" s="4">
        <f t="shared" si="70"/>
        <v>2026</v>
      </c>
      <c r="Q1502" s="4" t="str">
        <f t="shared" si="71"/>
        <v/>
      </c>
      <c r="R1502" t="s">
        <v>24</v>
      </c>
    </row>
    <row r="1503" spans="1:18" x14ac:dyDescent="0.3">
      <c r="A1503" s="1" t="d">
        <v>2026-04-08</v>
      </c>
      <c r="B1503">
        <v>45510</v>
      </c>
      <c r="C1503" t="str">
        <f>VLOOKUP(Fato_Producao[[#This Row],[referencia]], Dim_Produtos!A:B,2,FALSE)</f>
        <v>tiras pota</v>
      </c>
      <c r="D1503">
        <v>4136</v>
      </c>
      <c r="E1503">
        <v>3800</v>
      </c>
      <c r="F1503" s="5">
        <v>8.1199999999999994E-2</v>
      </c>
      <c r="G1503" s="6">
        <v>107.52</v>
      </c>
      <c r="H1503">
        <v>43</v>
      </c>
      <c r="I1503">
        <v>290</v>
      </c>
      <c r="J1503">
        <v>3</v>
      </c>
      <c r="K1503">
        <f>Fato_Producao[[#This Row],[embalagens_danificadas]]+Fato_Producao[[#This Row],[peso_errado]]+Fato_Producao[[#This Row],[impressao]]</f>
        <v>336</v>
      </c>
      <c r="L1503" s="1" t="d">
        <v>2026-02-27</v>
      </c>
      <c r="M1503">
        <v>40</v>
      </c>
      <c r="N1503" s="7">
        <v>15.05</v>
      </c>
      <c r="O1503" s="4" t="str">
        <f t="shared" si="69"/>
        <v>abril</v>
      </c>
      <c r="P1503" s="4">
        <f t="shared" si="70"/>
        <v>2026</v>
      </c>
      <c r="Q1503" s="4" t="str">
        <f t="shared" si="71"/>
        <v/>
      </c>
      <c r="R1503" t="s">
        <v>24</v>
      </c>
    </row>
    <row r="1504" spans="1:18" x14ac:dyDescent="0.3">
      <c r="A1504" s="1" t="d">
        <v>2026-04-08</v>
      </c>
      <c r="B1504">
        <v>45500</v>
      </c>
      <c r="C1504" t="str">
        <f>VLOOKUP(Fato_Producao[[#This Row],[referencia]], Dim_Produtos!A:B,2,FALSE)</f>
        <v>filete pescada</v>
      </c>
      <c r="D1504">
        <v>1931</v>
      </c>
      <c r="E1504">
        <v>1773</v>
      </c>
      <c r="F1504" s="5">
        <v>8.1799999999999998E-2</v>
      </c>
      <c r="G1504" s="6">
        <v>44.24</v>
      </c>
      <c r="H1504">
        <v>3</v>
      </c>
      <c r="I1504">
        <v>151</v>
      </c>
      <c r="J1504">
        <v>4</v>
      </c>
      <c r="K1504">
        <f>Fato_Producao[[#This Row],[embalagens_danificadas]]+Fato_Producao[[#This Row],[peso_errado]]+Fato_Producao[[#This Row],[impressao]]</f>
        <v>158</v>
      </c>
      <c r="L1504" s="1" t="d">
        <v>2026-02-27</v>
      </c>
      <c r="M1504">
        <v>40</v>
      </c>
      <c r="N1504" s="7">
        <v>5.31</v>
      </c>
      <c r="O1504" s="4" t="str">
        <f t="shared" si="69"/>
        <v>abril</v>
      </c>
      <c r="P1504" s="4">
        <f t="shared" si="70"/>
        <v>2026</v>
      </c>
      <c r="Q1504" s="4" t="str">
        <f t="shared" si="71"/>
        <v/>
      </c>
      <c r="R1504" t="s">
        <v>24</v>
      </c>
    </row>
    <row r="1505" spans="1:18" x14ac:dyDescent="0.3">
      <c r="A1505" s="1" t="d">
        <v>2026-04-09</v>
      </c>
      <c r="B1505">
        <v>45506</v>
      </c>
      <c r="C1505" t="str">
        <f>VLOOKUP(Fato_Producao[[#This Row],[referencia]], Dim_Produtos!A:B,2,FALSE)</f>
        <v>perca posta</v>
      </c>
      <c r="D1505">
        <v>1815</v>
      </c>
      <c r="E1505">
        <v>1678</v>
      </c>
      <c r="F1505" s="5">
        <v>7.5499999999999998E-2</v>
      </c>
      <c r="G1505" s="6">
        <v>47.95</v>
      </c>
      <c r="H1505">
        <v>4</v>
      </c>
      <c r="I1505">
        <v>129</v>
      </c>
      <c r="J1505">
        <v>4</v>
      </c>
      <c r="K1505">
        <f>Fato_Producao[[#This Row],[embalagens_danificadas]]+Fato_Producao[[#This Row],[peso_errado]]+Fato_Producao[[#This Row],[impressao]]</f>
        <v>137</v>
      </c>
      <c r="L1505" s="1" t="d">
        <v>2026-02-27</v>
      </c>
      <c r="M1505">
        <v>41</v>
      </c>
      <c r="N1505" s="7">
        <v>7.19</v>
      </c>
      <c r="O1505" s="4" t="str">
        <f t="shared" si="69"/>
        <v>abril</v>
      </c>
      <c r="P1505" s="4">
        <f t="shared" si="70"/>
        <v>2026</v>
      </c>
      <c r="Q1505" s="4" t="str">
        <f t="shared" si="71"/>
        <v/>
      </c>
      <c r="R1505" t="s">
        <v>24</v>
      </c>
    </row>
    <row r="1506" spans="1:18" x14ac:dyDescent="0.3">
      <c r="A1506" s="1" t="d">
        <v>2026-04-09</v>
      </c>
      <c r="B1506">
        <v>45506</v>
      </c>
      <c r="C1506" t="str">
        <f>VLOOKUP(Fato_Producao[[#This Row],[referencia]], Dim_Produtos!A:B,2,FALSE)</f>
        <v>perca posta</v>
      </c>
      <c r="D1506">
        <v>3053</v>
      </c>
      <c r="E1506">
        <v>2768</v>
      </c>
      <c r="F1506" s="5">
        <v>9.3399999999999997E-2</v>
      </c>
      <c r="G1506" s="6">
        <v>99.75</v>
      </c>
      <c r="H1506">
        <v>20</v>
      </c>
      <c r="I1506">
        <v>260</v>
      </c>
      <c r="J1506">
        <v>5</v>
      </c>
      <c r="K1506">
        <f>Fato_Producao[[#This Row],[embalagens_danificadas]]+Fato_Producao[[#This Row],[peso_errado]]+Fato_Producao[[#This Row],[impressao]]</f>
        <v>285</v>
      </c>
      <c r="L1506" s="1" t="d">
        <v>2026-02-27</v>
      </c>
      <c r="M1506">
        <v>41</v>
      </c>
      <c r="N1506" s="7">
        <v>14.96</v>
      </c>
      <c r="O1506" s="4" t="str">
        <f t="shared" si="69"/>
        <v>abril</v>
      </c>
      <c r="P1506" s="4">
        <f t="shared" si="70"/>
        <v>2026</v>
      </c>
      <c r="Q1506" s="4" t="str">
        <f t="shared" si="71"/>
        <v/>
      </c>
      <c r="R1506" t="s">
        <v>24</v>
      </c>
    </row>
    <row r="1507" spans="1:18" x14ac:dyDescent="0.3">
      <c r="A1507" s="1" t="d">
        <v>2026-04-10</v>
      </c>
      <c r="B1507">
        <v>45502</v>
      </c>
      <c r="C1507" t="str">
        <f>VLOOKUP(Fato_Producao[[#This Row],[referencia]], Dim_Produtos!A:B,2,FALSE)</f>
        <v>carapau pelim</v>
      </c>
      <c r="D1507">
        <v>2275</v>
      </c>
      <c r="E1507">
        <v>2049</v>
      </c>
      <c r="F1507" s="5">
        <v>9.9299999999999999E-2</v>
      </c>
      <c r="G1507" s="6">
        <v>67.8</v>
      </c>
      <c r="H1507">
        <v>66</v>
      </c>
      <c r="I1507">
        <v>152</v>
      </c>
      <c r="J1507">
        <v>8</v>
      </c>
      <c r="K1507">
        <f>Fato_Producao[[#This Row],[embalagens_danificadas]]+Fato_Producao[[#This Row],[peso_errado]]+Fato_Producao[[#This Row],[impressao]]</f>
        <v>226</v>
      </c>
      <c r="L1507" s="1" t="d">
        <v>2026-02-27</v>
      </c>
      <c r="M1507">
        <v>42</v>
      </c>
      <c r="N1507" s="7">
        <v>8.81</v>
      </c>
      <c r="O1507" s="4" t="str">
        <f t="shared" si="69"/>
        <v>abril</v>
      </c>
      <c r="P1507" s="4">
        <f t="shared" si="70"/>
        <v>2026</v>
      </c>
      <c r="Q1507" s="4" t="str">
        <f t="shared" si="71"/>
        <v/>
      </c>
      <c r="R1507" t="s">
        <v>24</v>
      </c>
    </row>
    <row r="1508" spans="1:18" x14ac:dyDescent="0.3">
      <c r="A1508" s="1" t="d">
        <v>2026-04-10</v>
      </c>
      <c r="B1508">
        <v>45506</v>
      </c>
      <c r="C1508" t="str">
        <f>VLOOKUP(Fato_Producao[[#This Row],[referencia]], Dim_Produtos!A:B,2,FALSE)</f>
        <v>perca posta</v>
      </c>
      <c r="D1508">
        <v>3190</v>
      </c>
      <c r="E1508">
        <v>2953</v>
      </c>
      <c r="F1508" s="5">
        <v>7.4300000000000005E-2</v>
      </c>
      <c r="G1508" s="6">
        <v>82.95</v>
      </c>
      <c r="H1508">
        <v>17</v>
      </c>
      <c r="I1508">
        <v>216</v>
      </c>
      <c r="J1508">
        <v>4</v>
      </c>
      <c r="K1508">
        <f>Fato_Producao[[#This Row],[embalagens_danificadas]]+Fato_Producao[[#This Row],[peso_errado]]+Fato_Producao[[#This Row],[impressao]]</f>
        <v>237</v>
      </c>
      <c r="L1508" s="1" t="d">
        <v>2026-02-27</v>
      </c>
      <c r="M1508">
        <v>42</v>
      </c>
      <c r="N1508" s="7">
        <v>12.44</v>
      </c>
      <c r="O1508" s="4" t="str">
        <f t="shared" si="69"/>
        <v>abril</v>
      </c>
      <c r="P1508" s="4">
        <f t="shared" si="70"/>
        <v>2026</v>
      </c>
      <c r="Q1508" s="4" t="str">
        <f t="shared" si="71"/>
        <v/>
      </c>
      <c r="R1508" t="s">
        <v>24</v>
      </c>
    </row>
    <row r="1509" spans="1:18" x14ac:dyDescent="0.3">
      <c r="A1509" s="1" t="d">
        <v>2026-04-11</v>
      </c>
      <c r="B1509">
        <v>45510</v>
      </c>
      <c r="C1509" t="str">
        <f>VLOOKUP(Fato_Producao[[#This Row],[referencia]], Dim_Produtos!A:B,2,FALSE)</f>
        <v>tiras pota</v>
      </c>
      <c r="D1509">
        <v>3589</v>
      </c>
      <c r="E1509">
        <v>3255</v>
      </c>
      <c r="F1509" s="5">
        <v>9.3100000000000002E-2</v>
      </c>
      <c r="G1509" s="6">
        <v>106.88</v>
      </c>
      <c r="H1509">
        <v>38</v>
      </c>
      <c r="I1509">
        <v>290</v>
      </c>
      <c r="J1509">
        <v>6</v>
      </c>
      <c r="K1509">
        <f>Fato_Producao[[#This Row],[embalagens_danificadas]]+Fato_Producao[[#This Row],[peso_errado]]+Fato_Producao[[#This Row],[impressao]]</f>
        <v>334</v>
      </c>
      <c r="L1509" s="1" t="d">
        <v>2026-02-27</v>
      </c>
      <c r="M1509">
        <v>43</v>
      </c>
      <c r="N1509" s="7">
        <v>14.96</v>
      </c>
      <c r="O1509" s="4" t="str">
        <f t="shared" si="69"/>
        <v>abril</v>
      </c>
      <c r="P1509" s="4">
        <f t="shared" si="70"/>
        <v>2026</v>
      </c>
      <c r="Q1509" s="4" t="str">
        <f t="shared" si="71"/>
        <v/>
      </c>
      <c r="R1509" t="s">
        <v>24</v>
      </c>
    </row>
    <row r="1510" spans="1:18" x14ac:dyDescent="0.3">
      <c r="A1510" s="1" t="d">
        <v>2026-04-12</v>
      </c>
      <c r="B1510">
        <v>45504</v>
      </c>
      <c r="C1510" t="str">
        <f>VLOOKUP(Fato_Producao[[#This Row],[referencia]], Dim_Produtos!A:B,2,FALSE)</f>
        <v>pescada posta fritar</v>
      </c>
      <c r="D1510">
        <v>3586</v>
      </c>
      <c r="E1510">
        <v>3261</v>
      </c>
      <c r="F1510" s="5">
        <v>9.06E-2</v>
      </c>
      <c r="G1510" s="6">
        <v>104</v>
      </c>
      <c r="H1510">
        <v>17</v>
      </c>
      <c r="I1510">
        <v>302</v>
      </c>
      <c r="J1510">
        <v>6</v>
      </c>
      <c r="K1510">
        <f>Fato_Producao[[#This Row],[embalagens_danificadas]]+Fato_Producao[[#This Row],[peso_errado]]+Fato_Producao[[#This Row],[impressao]]</f>
        <v>325</v>
      </c>
      <c r="L1510" s="1" t="d">
        <v>2026-02-27</v>
      </c>
      <c r="M1510">
        <v>44</v>
      </c>
      <c r="N1510" s="7">
        <v>14.56</v>
      </c>
      <c r="O1510" s="4" t="str">
        <f t="shared" si="69"/>
        <v>abril</v>
      </c>
      <c r="P1510" s="4">
        <f t="shared" si="70"/>
        <v>2026</v>
      </c>
      <c r="Q1510" s="4" t="str">
        <f t="shared" si="71"/>
        <v/>
      </c>
      <c r="R1510" t="s">
        <v>24</v>
      </c>
    </row>
    <row r="1511" spans="1:18" x14ac:dyDescent="0.3">
      <c r="A1511" s="1" t="d">
        <v>2026-04-12</v>
      </c>
      <c r="B1511">
        <v>45506</v>
      </c>
      <c r="C1511" t="str">
        <f>VLOOKUP(Fato_Producao[[#This Row],[referencia]], Dim_Produtos!A:B,2,FALSE)</f>
        <v>perca posta</v>
      </c>
      <c r="D1511">
        <v>3925</v>
      </c>
      <c r="E1511">
        <v>3551</v>
      </c>
      <c r="F1511" s="5">
        <v>9.5299999999999996E-2</v>
      </c>
      <c r="G1511" s="6">
        <v>130.9</v>
      </c>
      <c r="H1511">
        <v>23</v>
      </c>
      <c r="I1511">
        <v>346</v>
      </c>
      <c r="J1511">
        <v>5</v>
      </c>
      <c r="K1511">
        <f>Fato_Producao[[#This Row],[embalagens_danificadas]]+Fato_Producao[[#This Row],[peso_errado]]+Fato_Producao[[#This Row],[impressao]]</f>
        <v>374</v>
      </c>
      <c r="L1511" s="1" t="d">
        <v>2026-02-27</v>
      </c>
      <c r="M1511">
        <v>44</v>
      </c>
      <c r="N1511" s="7">
        <v>19.64</v>
      </c>
      <c r="O1511" s="4" t="str">
        <f t="shared" si="69"/>
        <v>abril</v>
      </c>
      <c r="P1511" s="4">
        <f t="shared" si="70"/>
        <v>2026</v>
      </c>
      <c r="Q1511" s="4" t="str">
        <f t="shared" si="71"/>
        <v/>
      </c>
      <c r="R1511" t="s">
        <v>24</v>
      </c>
    </row>
    <row r="1512" spans="1:18" x14ac:dyDescent="0.3">
      <c r="A1512" s="1" t="d">
        <v>2026-04-13</v>
      </c>
      <c r="B1512">
        <v>45512</v>
      </c>
      <c r="C1512" t="str">
        <f>VLOOKUP(Fato_Producao[[#This Row],[referencia]], Dim_Produtos!A:B,2,FALSE)</f>
        <v>red-fish posta</v>
      </c>
      <c r="D1512">
        <v>2566</v>
      </c>
      <c r="E1512">
        <v>2339</v>
      </c>
      <c r="F1512" s="5">
        <v>8.8499999999999995E-2</v>
      </c>
      <c r="G1512" s="6">
        <v>77.180000000000007</v>
      </c>
      <c r="H1512">
        <v>13</v>
      </c>
      <c r="I1512">
        <v>209</v>
      </c>
      <c r="J1512">
        <v>5</v>
      </c>
      <c r="K1512">
        <f>Fato_Producao[[#This Row],[embalagens_danificadas]]+Fato_Producao[[#This Row],[peso_errado]]+Fato_Producao[[#This Row],[impressao]]</f>
        <v>227</v>
      </c>
      <c r="L1512" s="1" t="d">
        <v>2026-02-27</v>
      </c>
      <c r="M1512">
        <v>45</v>
      </c>
      <c r="N1512" s="7">
        <v>10.81</v>
      </c>
      <c r="O1512" s="4" t="str">
        <f t="shared" si="69"/>
        <v>abril</v>
      </c>
      <c r="P1512" s="4">
        <f t="shared" si="70"/>
        <v>2026</v>
      </c>
      <c r="Q1512" s="4" t="str">
        <f t="shared" si="71"/>
        <v/>
      </c>
      <c r="R1512" t="s">
        <v>24</v>
      </c>
    </row>
    <row r="1513" spans="1:18" x14ac:dyDescent="0.3">
      <c r="A1513" s="1" t="d">
        <v>2026-04-13</v>
      </c>
      <c r="B1513">
        <v>45501</v>
      </c>
      <c r="C1513" t="str">
        <f>VLOOKUP(Fato_Producao[[#This Row],[referencia]], Dim_Produtos!A:B,2,FALSE)</f>
        <v>pescada posta cozer</v>
      </c>
      <c r="D1513">
        <v>3325</v>
      </c>
      <c r="E1513">
        <v>3052</v>
      </c>
      <c r="F1513" s="5">
        <v>8.2100000000000006E-2</v>
      </c>
      <c r="G1513" s="6">
        <v>87.36</v>
      </c>
      <c r="H1513">
        <v>14</v>
      </c>
      <c r="I1513">
        <v>253</v>
      </c>
      <c r="J1513">
        <v>6</v>
      </c>
      <c r="K1513">
        <f>Fato_Producao[[#This Row],[embalagens_danificadas]]+Fato_Producao[[#This Row],[peso_errado]]+Fato_Producao[[#This Row],[impressao]]</f>
        <v>273</v>
      </c>
      <c r="L1513" s="1" t="d">
        <v>2026-02-27</v>
      </c>
      <c r="M1513">
        <v>45</v>
      </c>
      <c r="N1513" s="7">
        <v>12.23</v>
      </c>
      <c r="O1513" s="4" t="str">
        <f t="shared" si="69"/>
        <v>abril</v>
      </c>
      <c r="P1513" s="4">
        <f t="shared" si="70"/>
        <v>2026</v>
      </c>
      <c r="Q1513" s="4" t="str">
        <f t="shared" si="71"/>
        <v/>
      </c>
      <c r="R1513" t="s">
        <v>24</v>
      </c>
    </row>
    <row r="1514" spans="1:18" x14ac:dyDescent="0.3">
      <c r="A1514" s="1" t="d">
        <v>2026-04-14</v>
      </c>
      <c r="B1514">
        <v>45510</v>
      </c>
      <c r="C1514" t="str">
        <f>VLOOKUP(Fato_Producao[[#This Row],[referencia]], Dim_Produtos!A:B,2,FALSE)</f>
        <v>tiras pota</v>
      </c>
      <c r="D1514">
        <v>3837</v>
      </c>
      <c r="E1514">
        <v>3443</v>
      </c>
      <c r="F1514" s="5">
        <v>0.1027</v>
      </c>
      <c r="G1514" s="6">
        <v>126.08</v>
      </c>
      <c r="H1514">
        <v>34</v>
      </c>
      <c r="I1514">
        <v>348</v>
      </c>
      <c r="J1514">
        <v>12</v>
      </c>
      <c r="K1514">
        <f>Fato_Producao[[#This Row],[embalagens_danificadas]]+Fato_Producao[[#This Row],[peso_errado]]+Fato_Producao[[#This Row],[impressao]]</f>
        <v>394</v>
      </c>
      <c r="L1514" s="1" t="d">
        <v>2026-02-27</v>
      </c>
      <c r="M1514">
        <v>46</v>
      </c>
      <c r="N1514" s="7">
        <v>17.649999999999999</v>
      </c>
      <c r="O1514" s="4" t="str">
        <f t="shared" si="69"/>
        <v>abril</v>
      </c>
      <c r="P1514" s="4">
        <f t="shared" si="70"/>
        <v>2026</v>
      </c>
      <c r="Q1514" s="4" t="str">
        <f t="shared" si="71"/>
        <v/>
      </c>
      <c r="R1514" t="s">
        <v>24</v>
      </c>
    </row>
    <row r="1515" spans="1:18" x14ac:dyDescent="0.3">
      <c r="A1515" s="1" t="d">
        <v>2026-04-14</v>
      </c>
      <c r="B1515">
        <v>45508</v>
      </c>
      <c r="C1515" t="str">
        <f>VLOOKUP(Fato_Producao[[#This Row],[referencia]], Dim_Produtos!A:B,2,FALSE)</f>
        <v>lula suja</v>
      </c>
      <c r="D1515">
        <v>2881</v>
      </c>
      <c r="E1515">
        <v>2577</v>
      </c>
      <c r="F1515" s="5">
        <v>0.1055</v>
      </c>
      <c r="G1515" s="6">
        <v>97.28</v>
      </c>
      <c r="H1515">
        <v>32</v>
      </c>
      <c r="I1515">
        <v>264</v>
      </c>
      <c r="J1515">
        <v>8</v>
      </c>
      <c r="K1515">
        <f>Fato_Producao[[#This Row],[embalagens_danificadas]]+Fato_Producao[[#This Row],[peso_errado]]+Fato_Producao[[#This Row],[impressao]]</f>
        <v>304</v>
      </c>
      <c r="L1515" s="1" t="d">
        <v>2026-02-27</v>
      </c>
      <c r="M1515">
        <v>46</v>
      </c>
      <c r="N1515" s="7">
        <v>13.62</v>
      </c>
      <c r="O1515" s="4" t="str">
        <f t="shared" si="69"/>
        <v>abril</v>
      </c>
      <c r="P1515" s="4">
        <f t="shared" si="70"/>
        <v>2026</v>
      </c>
      <c r="Q1515" s="4" t="str">
        <f t="shared" si="71"/>
        <v/>
      </c>
      <c r="R1515" t="s">
        <v>24</v>
      </c>
    </row>
    <row r="1516" spans="1:18" x14ac:dyDescent="0.3">
      <c r="A1516" s="1" t="d">
        <v>2026-04-15</v>
      </c>
      <c r="B1516">
        <v>45502</v>
      </c>
      <c r="C1516" t="str">
        <f>VLOOKUP(Fato_Producao[[#This Row],[referencia]], Dim_Produtos!A:B,2,FALSE)</f>
        <v>carapau pelim</v>
      </c>
      <c r="D1516">
        <v>2386</v>
      </c>
      <c r="E1516">
        <v>2136</v>
      </c>
      <c r="F1516" s="5">
        <v>0.1048</v>
      </c>
      <c r="G1516" s="6">
        <v>75</v>
      </c>
      <c r="H1516">
        <v>71</v>
      </c>
      <c r="I1516">
        <v>54</v>
      </c>
      <c r="J1516">
        <v>125</v>
      </c>
      <c r="K1516">
        <f>Fato_Producao[[#This Row],[embalagens_danificadas]]+Fato_Producao[[#This Row],[peso_errado]]+Fato_Producao[[#This Row],[impressao]]</f>
        <v>250</v>
      </c>
      <c r="L1516" s="1" t="d">
        <v>2026-02-27</v>
      </c>
      <c r="M1516">
        <v>47</v>
      </c>
      <c r="N1516" s="7">
        <v>9.75</v>
      </c>
      <c r="O1516" s="4" t="str">
        <f t="shared" si="69"/>
        <v>abril</v>
      </c>
      <c r="P1516" s="4">
        <f t="shared" si="70"/>
        <v>2026</v>
      </c>
      <c r="Q1516" s="4" t="str">
        <f t="shared" si="71"/>
        <v/>
      </c>
      <c r="R1516" t="s">
        <v>50</v>
      </c>
    </row>
    <row r="1517" spans="1:18" x14ac:dyDescent="0.3">
      <c r="A1517" s="1" t="d">
        <v>2026-04-15</v>
      </c>
      <c r="B1517">
        <v>45506</v>
      </c>
      <c r="C1517" t="str">
        <f>VLOOKUP(Fato_Producao[[#This Row],[referencia]], Dim_Produtos!A:B,2,FALSE)</f>
        <v>perca posta</v>
      </c>
      <c r="D1517">
        <v>3507</v>
      </c>
      <c r="E1517">
        <v>3201</v>
      </c>
      <c r="F1517" s="5">
        <v>8.7300000000000003E-2</v>
      </c>
      <c r="G1517" s="6">
        <v>107.1</v>
      </c>
      <c r="H1517">
        <v>22</v>
      </c>
      <c r="I1517">
        <v>279</v>
      </c>
      <c r="J1517">
        <v>5</v>
      </c>
      <c r="K1517">
        <f>Fato_Producao[[#This Row],[embalagens_danificadas]]+Fato_Producao[[#This Row],[peso_errado]]+Fato_Producao[[#This Row],[impressao]]</f>
        <v>306</v>
      </c>
      <c r="L1517" s="1" t="d">
        <v>2026-02-27</v>
      </c>
      <c r="M1517">
        <v>47</v>
      </c>
      <c r="N1517" s="7">
        <v>16.059999999999999</v>
      </c>
      <c r="O1517" s="4" t="str">
        <f t="shared" si="69"/>
        <v>abril</v>
      </c>
      <c r="P1517" s="4">
        <f t="shared" si="70"/>
        <v>2026</v>
      </c>
      <c r="Q1517" s="4" t="str">
        <f t="shared" si="71"/>
        <v/>
      </c>
      <c r="R1517" t="s">
        <v>24</v>
      </c>
    </row>
    <row r="1518" spans="1:18" x14ac:dyDescent="0.3">
      <c r="A1518" s="1" t="d">
        <v>2026-04-16</v>
      </c>
      <c r="B1518">
        <v>45509</v>
      </c>
      <c r="C1518" t="str">
        <f>VLOOKUP(Fato_Producao[[#This Row],[referencia]], Dim_Produtos!A:B,2,FALSE)</f>
        <v>lascas bacalhau</v>
      </c>
      <c r="D1518">
        <v>2643</v>
      </c>
      <c r="E1518">
        <v>2360</v>
      </c>
      <c r="F1518" s="5">
        <v>0.1071</v>
      </c>
      <c r="G1518" s="6">
        <v>79.239999999999995</v>
      </c>
      <c r="H1518">
        <v>18</v>
      </c>
      <c r="I1518">
        <v>259</v>
      </c>
      <c r="J1518">
        <v>6</v>
      </c>
      <c r="K1518">
        <f>Fato_Producao[[#This Row],[embalagens_danificadas]]+Fato_Producao[[#This Row],[peso_errado]]+Fato_Producao[[#This Row],[impressao]]</f>
        <v>283</v>
      </c>
      <c r="L1518" s="1" t="d">
        <v>2026-02-27</v>
      </c>
      <c r="M1518">
        <v>48</v>
      </c>
      <c r="N1518" s="7">
        <v>10.3</v>
      </c>
      <c r="O1518" s="4" t="str">
        <f t="shared" si="69"/>
        <v>abril</v>
      </c>
      <c r="P1518" s="4">
        <f t="shared" si="70"/>
        <v>2026</v>
      </c>
      <c r="Q1518" s="4" t="str">
        <f t="shared" si="71"/>
        <v/>
      </c>
      <c r="R1518" t="s">
        <v>24</v>
      </c>
    </row>
    <row r="1519" spans="1:18" x14ac:dyDescent="0.3">
      <c r="A1519" s="1" t="d">
        <v>2026-04-16</v>
      </c>
      <c r="B1519">
        <v>45504</v>
      </c>
      <c r="C1519" t="str">
        <f>VLOOKUP(Fato_Producao[[#This Row],[referencia]], Dim_Produtos!A:B,2,FALSE)</f>
        <v>pescada posta fritar</v>
      </c>
      <c r="D1519">
        <v>2113</v>
      </c>
      <c r="E1519">
        <v>1895</v>
      </c>
      <c r="F1519" s="5">
        <v>0.1032</v>
      </c>
      <c r="G1519" s="6">
        <v>69.760000000000005</v>
      </c>
      <c r="H1519">
        <v>14</v>
      </c>
      <c r="I1519">
        <v>199</v>
      </c>
      <c r="J1519">
        <v>5</v>
      </c>
      <c r="K1519">
        <f>Fato_Producao[[#This Row],[embalagens_danificadas]]+Fato_Producao[[#This Row],[peso_errado]]+Fato_Producao[[#This Row],[impressao]]</f>
        <v>218</v>
      </c>
      <c r="L1519" s="1" t="d">
        <v>2026-02-27</v>
      </c>
      <c r="M1519">
        <v>48</v>
      </c>
      <c r="N1519" s="7">
        <v>9.77</v>
      </c>
      <c r="O1519" s="4" t="str">
        <f t="shared" si="69"/>
        <v>abril</v>
      </c>
      <c r="P1519" s="4">
        <f t="shared" si="70"/>
        <v>2026</v>
      </c>
      <c r="Q1519" s="4" t="str">
        <f t="shared" si="71"/>
        <v/>
      </c>
      <c r="R1519" t="s">
        <v>24</v>
      </c>
    </row>
    <row r="1520" spans="1:18" x14ac:dyDescent="0.3">
      <c r="A1520" s="1" t="d">
        <v>2026-04-17</v>
      </c>
      <c r="B1520">
        <v>45513</v>
      </c>
      <c r="C1520" t="str">
        <f>VLOOKUP(Fato_Producao[[#This Row],[referencia]], Dim_Produtos!A:B,2,FALSE)</f>
        <v>filete pescada</v>
      </c>
      <c r="D1520">
        <v>3426</v>
      </c>
      <c r="E1520">
        <v>3103</v>
      </c>
      <c r="F1520" s="5">
        <v>9.4299999999999995E-2</v>
      </c>
      <c r="G1520" s="6">
        <v>103.36</v>
      </c>
      <c r="H1520">
        <v>12</v>
      </c>
      <c r="I1520">
        <v>302</v>
      </c>
      <c r="J1520">
        <v>9</v>
      </c>
      <c r="K1520">
        <f>Fato_Producao[[#This Row],[embalagens_danificadas]]+Fato_Producao[[#This Row],[peso_errado]]+Fato_Producao[[#This Row],[impressao]]</f>
        <v>323</v>
      </c>
      <c r="L1520" s="1" t="d">
        <v>2026-02-27</v>
      </c>
      <c r="M1520">
        <v>49</v>
      </c>
      <c r="N1520" s="7">
        <v>13.44</v>
      </c>
      <c r="O1520" s="4" t="str">
        <f t="shared" si="69"/>
        <v>abril</v>
      </c>
      <c r="P1520" s="4">
        <f t="shared" si="70"/>
        <v>2026</v>
      </c>
      <c r="Q1520" s="4" t="str">
        <f t="shared" si="71"/>
        <v/>
      </c>
      <c r="R1520" t="s">
        <v>24</v>
      </c>
    </row>
    <row r="1521" spans="1:18" x14ac:dyDescent="0.3">
      <c r="A1521" s="1" t="d">
        <v>2026-04-17</v>
      </c>
      <c r="B1521">
        <v>45501</v>
      </c>
      <c r="C1521" t="str">
        <f>VLOOKUP(Fato_Producao[[#This Row],[referencia]], Dim_Produtos!A:B,2,FALSE)</f>
        <v>pescada posta cozer</v>
      </c>
      <c r="D1521">
        <v>2696</v>
      </c>
      <c r="E1521">
        <v>2492</v>
      </c>
      <c r="F1521" s="5">
        <v>7.5700000000000003E-2</v>
      </c>
      <c r="G1521" s="6">
        <v>65.28</v>
      </c>
      <c r="H1521">
        <v>16</v>
      </c>
      <c r="I1521">
        <v>186</v>
      </c>
      <c r="J1521">
        <v>2</v>
      </c>
      <c r="K1521">
        <f>Fato_Producao[[#This Row],[embalagens_danificadas]]+Fato_Producao[[#This Row],[peso_errado]]+Fato_Producao[[#This Row],[impressao]]</f>
        <v>204</v>
      </c>
      <c r="L1521" s="1" t="d">
        <v>2026-02-27</v>
      </c>
      <c r="M1521">
        <v>49</v>
      </c>
      <c r="N1521" s="7">
        <v>9.14</v>
      </c>
      <c r="O1521" s="4" t="str">
        <f t="shared" si="69"/>
        <v>abril</v>
      </c>
      <c r="P1521" s="4">
        <f t="shared" si="70"/>
        <v>2026</v>
      </c>
      <c r="Q1521" s="4" t="str">
        <f t="shared" si="71"/>
        <v/>
      </c>
      <c r="R1521" t="s">
        <v>24</v>
      </c>
    </row>
    <row r="1522" spans="1:18" x14ac:dyDescent="0.3">
      <c r="A1522" s="1" t="d">
        <v>2026-04-18</v>
      </c>
      <c r="B1522">
        <v>45505</v>
      </c>
      <c r="C1522" t="str">
        <f>VLOOKUP(Fato_Producao[[#This Row],[referencia]], Dim_Produtos!A:B,2,FALSE)</f>
        <v>camarao</v>
      </c>
      <c r="D1522">
        <v>3185</v>
      </c>
      <c r="E1522">
        <v>2853</v>
      </c>
      <c r="F1522" s="5">
        <v>0.1042</v>
      </c>
      <c r="G1522" s="6">
        <v>99.6</v>
      </c>
      <c r="H1522">
        <v>70</v>
      </c>
      <c r="I1522">
        <v>256</v>
      </c>
      <c r="J1522">
        <v>6</v>
      </c>
      <c r="K1522">
        <f>Fato_Producao[[#This Row],[embalagens_danificadas]]+Fato_Producao[[#This Row],[peso_errado]]+Fato_Producao[[#This Row],[impressao]]</f>
        <v>332</v>
      </c>
      <c r="L1522" s="1" t="d">
        <v>2026-02-27</v>
      </c>
      <c r="M1522">
        <v>50</v>
      </c>
      <c r="N1522" s="7">
        <v>14.94</v>
      </c>
      <c r="O1522" s="4" t="str">
        <f t="shared" si="69"/>
        <v>abril</v>
      </c>
      <c r="P1522" s="4">
        <f t="shared" si="70"/>
        <v>2026</v>
      </c>
      <c r="Q1522" s="4" t="str">
        <f t="shared" si="71"/>
        <v/>
      </c>
      <c r="R1522" t="s">
        <v>24</v>
      </c>
    </row>
    <row r="1523" spans="1:18" x14ac:dyDescent="0.3">
      <c r="A1523" s="1" t="d">
        <v>2026-04-19</v>
      </c>
      <c r="B1523">
        <v>45508</v>
      </c>
      <c r="C1523" t="str">
        <f>VLOOKUP(Fato_Producao[[#This Row],[referencia]], Dim_Produtos!A:B,2,FALSE)</f>
        <v>lula suja</v>
      </c>
      <c r="D1523">
        <v>1970</v>
      </c>
      <c r="E1523">
        <v>1721</v>
      </c>
      <c r="F1523" s="5">
        <v>0.12640000000000001</v>
      </c>
      <c r="G1523" s="6">
        <v>79.680000000000007</v>
      </c>
      <c r="H1523">
        <v>37</v>
      </c>
      <c r="I1523">
        <v>206</v>
      </c>
      <c r="J1523">
        <v>6</v>
      </c>
      <c r="K1523">
        <f>Fato_Producao[[#This Row],[embalagens_danificadas]]+Fato_Producao[[#This Row],[peso_errado]]+Fato_Producao[[#This Row],[impressao]]</f>
        <v>249</v>
      </c>
      <c r="L1523" s="1" t="d">
        <v>2026-02-27</v>
      </c>
      <c r="M1523">
        <v>51</v>
      </c>
      <c r="N1523" s="7">
        <v>11.16</v>
      </c>
      <c r="O1523" s="4" t="str">
        <f t="shared" si="69"/>
        <v>abril</v>
      </c>
      <c r="P1523" s="4">
        <f t="shared" si="70"/>
        <v>2026</v>
      </c>
      <c r="Q1523" s="4" t="str">
        <f t="shared" si="71"/>
        <v/>
      </c>
      <c r="R1523" t="s">
        <v>24</v>
      </c>
    </row>
    <row r="1524" spans="1:18" x14ac:dyDescent="0.3">
      <c r="A1524" s="1" t="d">
        <v>2026-04-19</v>
      </c>
      <c r="B1524">
        <v>45507</v>
      </c>
      <c r="C1524" t="str">
        <f>VLOOKUP(Fato_Producao[[#This Row],[referencia]], Dim_Produtos!A:B,2,FALSE)</f>
        <v>salmao posta</v>
      </c>
      <c r="D1524">
        <v>1826</v>
      </c>
      <c r="E1524">
        <v>1703</v>
      </c>
      <c r="F1524" s="5">
        <v>6.7400000000000002E-2</v>
      </c>
      <c r="G1524" s="6">
        <v>43.05</v>
      </c>
      <c r="H1524">
        <v>6</v>
      </c>
      <c r="I1524">
        <v>115</v>
      </c>
      <c r="J1524">
        <v>2</v>
      </c>
      <c r="K1524">
        <f>Fato_Producao[[#This Row],[embalagens_danificadas]]+Fato_Producao[[#This Row],[peso_errado]]+Fato_Producao[[#This Row],[impressao]]</f>
        <v>123</v>
      </c>
      <c r="L1524" s="1" t="d">
        <v>2026-02-27</v>
      </c>
      <c r="M1524">
        <v>51</v>
      </c>
      <c r="N1524" s="7">
        <v>6.89</v>
      </c>
      <c r="O1524" s="4" t="str">
        <f t="shared" si="69"/>
        <v>abril</v>
      </c>
      <c r="P1524" s="4">
        <f t="shared" si="70"/>
        <v>2026</v>
      </c>
      <c r="Q1524" s="4" t="str">
        <f t="shared" si="71"/>
        <v/>
      </c>
      <c r="R1524" t="s">
        <v>24</v>
      </c>
    </row>
    <row r="1525" spans="1:18" x14ac:dyDescent="0.3">
      <c r="A1525" s="1" t="d">
        <v>2026-04-20</v>
      </c>
      <c r="B1525">
        <v>45500</v>
      </c>
      <c r="C1525" t="str">
        <f>VLOOKUP(Fato_Producao[[#This Row],[referencia]], Dim_Produtos!A:B,2,FALSE)</f>
        <v>filete pescada</v>
      </c>
      <c r="D1525">
        <v>2669</v>
      </c>
      <c r="E1525">
        <v>2490</v>
      </c>
      <c r="F1525" s="5">
        <v>6.7100000000000007E-2</v>
      </c>
      <c r="G1525" s="6">
        <v>50.12</v>
      </c>
      <c r="H1525">
        <v>9</v>
      </c>
      <c r="I1525">
        <v>166</v>
      </c>
      <c r="J1525">
        <v>4</v>
      </c>
      <c r="K1525">
        <f>Fato_Producao[[#This Row],[embalagens_danificadas]]+Fato_Producao[[#This Row],[peso_errado]]+Fato_Producao[[#This Row],[impressao]]</f>
        <v>179</v>
      </c>
      <c r="L1525" s="1" t="d">
        <v>2026-02-27</v>
      </c>
      <c r="M1525">
        <v>52</v>
      </c>
      <c r="N1525" s="7">
        <v>6.01</v>
      </c>
      <c r="O1525" s="4" t="str">
        <f t="shared" si="69"/>
        <v>abril</v>
      </c>
      <c r="P1525" s="4">
        <f t="shared" si="70"/>
        <v>2026</v>
      </c>
      <c r="Q1525" s="4" t="str">
        <f t="shared" si="71"/>
        <v/>
      </c>
      <c r="R1525" t="s">
        <v>24</v>
      </c>
    </row>
    <row r="1526" spans="1:18" x14ac:dyDescent="0.3">
      <c r="A1526" s="1" t="d">
        <v>2026-04-20</v>
      </c>
      <c r="B1526">
        <v>45513</v>
      </c>
      <c r="C1526" t="str">
        <f>VLOOKUP(Fato_Producao[[#This Row],[referencia]], Dim_Produtos!A:B,2,FALSE)</f>
        <v>filete pescada</v>
      </c>
      <c r="D1526">
        <v>2705</v>
      </c>
      <c r="E1526">
        <v>2489</v>
      </c>
      <c r="F1526" s="5">
        <v>7.9899999999999999E-2</v>
      </c>
      <c r="G1526" s="6">
        <v>69.12</v>
      </c>
      <c r="H1526">
        <v>62</v>
      </c>
      <c r="I1526">
        <v>37</v>
      </c>
      <c r="J1526">
        <v>117</v>
      </c>
      <c r="K1526">
        <f>Fato_Producao[[#This Row],[embalagens_danificadas]]+Fato_Producao[[#This Row],[peso_errado]]+Fato_Producao[[#This Row],[impressao]]</f>
        <v>216</v>
      </c>
      <c r="L1526" s="1" t="d">
        <v>2026-02-27</v>
      </c>
      <c r="M1526">
        <v>52</v>
      </c>
      <c r="N1526" s="7">
        <v>8.99</v>
      </c>
      <c r="O1526" s="4" t="str">
        <f t="shared" si="69"/>
        <v>abril</v>
      </c>
      <c r="P1526" s="4">
        <f t="shared" si="70"/>
        <v>2026</v>
      </c>
      <c r="Q1526" s="4" t="str">
        <f t="shared" si="71"/>
        <v/>
      </c>
      <c r="R1526" t="s">
        <v>50</v>
      </c>
    </row>
    <row r="1527" spans="1:18" x14ac:dyDescent="0.3">
      <c r="A1527" s="1" t="d">
        <v>2026-04-21</v>
      </c>
      <c r="B1527">
        <v>45512</v>
      </c>
      <c r="C1527" t="str">
        <f>VLOOKUP(Fato_Producao[[#This Row],[referencia]], Dim_Produtos!A:B,2,FALSE)</f>
        <v>red-fish posta</v>
      </c>
      <c r="D1527">
        <v>2646</v>
      </c>
      <c r="E1527">
        <v>2456</v>
      </c>
      <c r="F1527" s="5">
        <v>7.1800000000000003E-2</v>
      </c>
      <c r="G1527" s="6">
        <v>64.599999999999994</v>
      </c>
      <c r="H1527">
        <v>9</v>
      </c>
      <c r="I1527">
        <v>178</v>
      </c>
      <c r="J1527">
        <v>3</v>
      </c>
      <c r="K1527">
        <f>Fato_Producao[[#This Row],[embalagens_danificadas]]+Fato_Producao[[#This Row],[peso_errado]]+Fato_Producao[[#This Row],[impressao]]</f>
        <v>190</v>
      </c>
      <c r="L1527" s="1" t="d">
        <v>2026-02-27</v>
      </c>
      <c r="M1527">
        <v>53</v>
      </c>
      <c r="N1527" s="7">
        <v>9.0399999999999991</v>
      </c>
      <c r="O1527" s="4" t="str">
        <f t="shared" si="69"/>
        <v>abril</v>
      </c>
      <c r="P1527" s="4">
        <f t="shared" si="70"/>
        <v>2026</v>
      </c>
      <c r="Q1527" s="4" t="str">
        <f t="shared" si="71"/>
        <v/>
      </c>
      <c r="R1527" t="s">
        <v>24</v>
      </c>
    </row>
    <row r="1528" spans="1:18" x14ac:dyDescent="0.3">
      <c r="A1528" s="1" t="d">
        <v>2026-04-22</v>
      </c>
      <c r="B1528">
        <v>45500</v>
      </c>
      <c r="C1528" t="str">
        <f>VLOOKUP(Fato_Producao[[#This Row],[referencia]], Dim_Produtos!A:B,2,FALSE)</f>
        <v>filete pescada</v>
      </c>
      <c r="D1528">
        <v>2868</v>
      </c>
      <c r="E1528">
        <v>2628</v>
      </c>
      <c r="F1528" s="5">
        <v>8.3699999999999997E-2</v>
      </c>
      <c r="G1528" s="6">
        <v>67.2</v>
      </c>
      <c r="H1528">
        <v>3</v>
      </c>
      <c r="I1528">
        <v>230</v>
      </c>
      <c r="J1528">
        <v>7</v>
      </c>
      <c r="K1528">
        <f>Fato_Producao[[#This Row],[embalagens_danificadas]]+Fato_Producao[[#This Row],[peso_errado]]+Fato_Producao[[#This Row],[impressao]]</f>
        <v>240</v>
      </c>
      <c r="L1528" s="1" t="d">
        <v>2026-02-27</v>
      </c>
      <c r="M1528">
        <v>54</v>
      </c>
      <c r="N1528" s="7">
        <v>8.06</v>
      </c>
      <c r="O1528" s="4" t="str">
        <f t="shared" si="69"/>
        <v>abril</v>
      </c>
      <c r="P1528" s="4">
        <f t="shared" si="70"/>
        <v>2026</v>
      </c>
      <c r="Q1528" s="4" t="str">
        <f t="shared" si="71"/>
        <v/>
      </c>
      <c r="R1528" t="s">
        <v>24</v>
      </c>
    </row>
    <row r="1529" spans="1:18" x14ac:dyDescent="0.3">
      <c r="A1529" s="1" t="d">
        <v>2026-04-22</v>
      </c>
      <c r="B1529">
        <v>45513</v>
      </c>
      <c r="C1529" t="str">
        <f>VLOOKUP(Fato_Producao[[#This Row],[referencia]], Dim_Produtos!A:B,2,FALSE)</f>
        <v>filete pescada</v>
      </c>
      <c r="D1529">
        <v>2885</v>
      </c>
      <c r="E1529">
        <v>2641</v>
      </c>
      <c r="F1529" s="5">
        <v>8.4599999999999995E-2</v>
      </c>
      <c r="G1529" s="6">
        <v>78.08</v>
      </c>
      <c r="H1529">
        <v>10</v>
      </c>
      <c r="I1529">
        <v>231</v>
      </c>
      <c r="J1529">
        <v>3</v>
      </c>
      <c r="K1529">
        <f>Fato_Producao[[#This Row],[embalagens_danificadas]]+Fato_Producao[[#This Row],[peso_errado]]+Fato_Producao[[#This Row],[impressao]]</f>
        <v>244</v>
      </c>
      <c r="L1529" s="1" t="d">
        <v>2026-02-27</v>
      </c>
      <c r="M1529">
        <v>54</v>
      </c>
      <c r="N1529" s="7">
        <v>10.15</v>
      </c>
      <c r="O1529" s="4" t="str">
        <f t="shared" si="69"/>
        <v>abril</v>
      </c>
      <c r="P1529" s="4">
        <f t="shared" si="70"/>
        <v>2026</v>
      </c>
      <c r="Q1529" s="4" t="str">
        <f t="shared" si="71"/>
        <v/>
      </c>
      <c r="R1529" t="s">
        <v>24</v>
      </c>
    </row>
    <row r="1530" spans="1:18" x14ac:dyDescent="0.3">
      <c r="A1530" s="1" t="d">
        <v>2026-04-23</v>
      </c>
      <c r="B1530">
        <v>45514</v>
      </c>
      <c r="C1530" t="str">
        <f>VLOOKUP(Fato_Producao[[#This Row],[referencia]], Dim_Produtos!A:B,2,FALSE)</f>
        <v>sardinha pequena</v>
      </c>
      <c r="D1530">
        <v>2938</v>
      </c>
      <c r="E1530">
        <v>2585</v>
      </c>
      <c r="F1530" s="5">
        <v>0.1201</v>
      </c>
      <c r="G1530" s="6">
        <v>105.9</v>
      </c>
      <c r="H1530">
        <v>18</v>
      </c>
      <c r="I1530">
        <v>327</v>
      </c>
      <c r="J1530">
        <v>8</v>
      </c>
      <c r="K1530">
        <f>Fato_Producao[[#This Row],[embalagens_danificadas]]+Fato_Producao[[#This Row],[peso_errado]]+Fato_Producao[[#This Row],[impressao]]</f>
        <v>353</v>
      </c>
      <c r="L1530" s="1" t="d">
        <v>2026-02-27</v>
      </c>
      <c r="M1530">
        <v>55</v>
      </c>
      <c r="N1530" s="7">
        <v>12.71</v>
      </c>
      <c r="O1530" s="4" t="str">
        <f t="shared" si="69"/>
        <v>abril</v>
      </c>
      <c r="P1530" s="4">
        <f t="shared" si="70"/>
        <v>2026</v>
      </c>
      <c r="Q1530" s="4" t="str">
        <f t="shared" si="71"/>
        <v/>
      </c>
      <c r="R1530" t="s">
        <v>24</v>
      </c>
    </row>
    <row r="1531" spans="1:18" x14ac:dyDescent="0.3">
      <c r="A1531" s="1" t="d">
        <v>2026-04-23</v>
      </c>
      <c r="B1531">
        <v>45505</v>
      </c>
      <c r="C1531" t="str">
        <f>VLOOKUP(Fato_Producao[[#This Row],[referencia]], Dim_Produtos!A:B,2,FALSE)</f>
        <v>camarao</v>
      </c>
      <c r="D1531">
        <v>3160</v>
      </c>
      <c r="E1531">
        <v>2869</v>
      </c>
      <c r="F1531" s="5">
        <v>9.2100000000000001E-2</v>
      </c>
      <c r="G1531" s="6">
        <v>87.3</v>
      </c>
      <c r="H1531">
        <v>68</v>
      </c>
      <c r="I1531">
        <v>219</v>
      </c>
      <c r="J1531">
        <v>4</v>
      </c>
      <c r="K1531">
        <f>Fato_Producao[[#This Row],[embalagens_danificadas]]+Fato_Producao[[#This Row],[peso_errado]]+Fato_Producao[[#This Row],[impressao]]</f>
        <v>291</v>
      </c>
      <c r="L1531" s="1" t="d">
        <v>2026-02-27</v>
      </c>
      <c r="M1531">
        <v>55</v>
      </c>
      <c r="N1531" s="7">
        <v>13.09</v>
      </c>
      <c r="O1531" s="4" t="str">
        <f t="shared" si="69"/>
        <v>abril</v>
      </c>
      <c r="P1531" s="4">
        <f t="shared" si="70"/>
        <v>2026</v>
      </c>
      <c r="Q1531" s="4">
        <f t="shared" si="71"/>
        <v>55</v>
      </c>
      <c r="R1531" t="s">
        <v>24</v>
      </c>
    </row>
    <row r="1532" spans="1:18" x14ac:dyDescent="0.3">
      <c r="A1532" s="1" t="d">
        <v>2026-04-24</v>
      </c>
      <c r="B1532">
        <v>45514</v>
      </c>
      <c r="C1532" t="str">
        <f>VLOOKUP(Fato_Producao[[#This Row],[referencia]], Dim_Produtos!A:B,2,FALSE)</f>
        <v>sardinha pequena</v>
      </c>
      <c r="D1532">
        <v>1865</v>
      </c>
      <c r="E1532">
        <v>1776</v>
      </c>
      <c r="F1532" s="5">
        <v>4.7699999999999999E-2</v>
      </c>
      <c r="G1532" s="6">
        <v>26.7</v>
      </c>
      <c r="H1532">
        <v>3</v>
      </c>
      <c r="I1532">
        <v>85</v>
      </c>
      <c r="J1532">
        <v>1</v>
      </c>
      <c r="K1532">
        <f>Fato_Producao[[#This Row],[embalagens_danificadas]]+Fato_Producao[[#This Row],[peso_errado]]+Fato_Producao[[#This Row],[impressao]]</f>
        <v>89</v>
      </c>
      <c r="L1532" s="1" t="d">
        <v>2026-04-24</v>
      </c>
      <c r="M1532">
        <v>0</v>
      </c>
      <c r="N1532" s="7">
        <v>3.2</v>
      </c>
      <c r="O1532" s="4" t="str">
        <f t="shared" si="69"/>
        <v>abril</v>
      </c>
      <c r="P1532" s="4">
        <f t="shared" si="70"/>
        <v>2026</v>
      </c>
      <c r="Q1532" s="4" t="str">
        <f t="shared" si="71"/>
        <v/>
      </c>
      <c r="R1532" t="s">
        <v>24</v>
      </c>
    </row>
    <row r="1533" spans="1:18" x14ac:dyDescent="0.3">
      <c r="A1533" s="1" t="d">
        <v>2026-04-24</v>
      </c>
      <c r="B1533">
        <v>45502</v>
      </c>
      <c r="C1533" t="str">
        <f>VLOOKUP(Fato_Producao[[#This Row],[referencia]], Dim_Produtos!A:B,2,FALSE)</f>
        <v>carapau pelim</v>
      </c>
      <c r="D1533">
        <v>3759</v>
      </c>
      <c r="E1533">
        <v>3524</v>
      </c>
      <c r="F1533" s="5">
        <v>6.25E-2</v>
      </c>
      <c r="G1533" s="6">
        <v>70.5</v>
      </c>
      <c r="H1533">
        <v>82</v>
      </c>
      <c r="I1533">
        <v>42</v>
      </c>
      <c r="J1533">
        <v>111</v>
      </c>
      <c r="K1533">
        <f>Fato_Producao[[#This Row],[embalagens_danificadas]]+Fato_Producao[[#This Row],[peso_errado]]+Fato_Producao[[#This Row],[impressao]]</f>
        <v>235</v>
      </c>
      <c r="L1533" s="1" t="d">
        <v>2026-04-24</v>
      </c>
      <c r="M1533">
        <v>0</v>
      </c>
      <c r="N1533" s="7">
        <v>9.17</v>
      </c>
      <c r="O1533" s="4" t="str">
        <f t="shared" si="69"/>
        <v>abril</v>
      </c>
      <c r="P1533" s="4">
        <f t="shared" si="70"/>
        <v>2026</v>
      </c>
      <c r="Q1533" s="4" t="str">
        <f t="shared" si="71"/>
        <v/>
      </c>
      <c r="R1533" t="s">
        <v>50</v>
      </c>
    </row>
    <row r="1534" spans="1:18" x14ac:dyDescent="0.3">
      <c r="A1534" s="1" t="d">
        <v>2026-04-25</v>
      </c>
      <c r="B1534">
        <v>45511</v>
      </c>
      <c r="C1534" t="str">
        <f>VLOOKUP(Fato_Producao[[#This Row],[referencia]], Dim_Produtos!A:B,2,FALSE)</f>
        <v>lula limpa</v>
      </c>
      <c r="D1534">
        <v>3742</v>
      </c>
      <c r="E1534">
        <v>3439</v>
      </c>
      <c r="F1534" s="5">
        <v>8.1000000000000003E-2</v>
      </c>
      <c r="G1534" s="6">
        <v>96.96</v>
      </c>
      <c r="H1534">
        <v>35</v>
      </c>
      <c r="I1534">
        <v>261</v>
      </c>
      <c r="J1534">
        <v>7</v>
      </c>
      <c r="K1534">
        <f>Fato_Producao[[#This Row],[embalagens_danificadas]]+Fato_Producao[[#This Row],[peso_errado]]+Fato_Producao[[#This Row],[impressao]]</f>
        <v>303</v>
      </c>
      <c r="L1534" s="1" t="d">
        <v>2026-04-24</v>
      </c>
      <c r="M1534">
        <v>1</v>
      </c>
      <c r="N1534" s="7">
        <v>13.57</v>
      </c>
      <c r="O1534" s="4" t="str">
        <f t="shared" si="69"/>
        <v>abril</v>
      </c>
      <c r="P1534" s="4">
        <f t="shared" si="70"/>
        <v>2026</v>
      </c>
      <c r="Q1534" s="4" t="str">
        <f t="shared" si="71"/>
        <v/>
      </c>
      <c r="R1534" t="s">
        <v>24</v>
      </c>
    </row>
    <row r="1535" spans="1:18" x14ac:dyDescent="0.3">
      <c r="A1535" s="1" t="d">
        <v>2026-04-26</v>
      </c>
      <c r="B1535">
        <v>45506</v>
      </c>
      <c r="C1535" t="str">
        <f>VLOOKUP(Fato_Producao[[#This Row],[referencia]], Dim_Produtos!A:B,2,FALSE)</f>
        <v>perca posta</v>
      </c>
      <c r="D1535">
        <v>3923</v>
      </c>
      <c r="E1535">
        <v>3794</v>
      </c>
      <c r="F1535" s="5">
        <v>3.2899999999999999E-2</v>
      </c>
      <c r="G1535" s="6">
        <v>45.15</v>
      </c>
      <c r="H1535">
        <v>7</v>
      </c>
      <c r="I1535">
        <v>119</v>
      </c>
      <c r="J1535">
        <v>3</v>
      </c>
      <c r="K1535">
        <f>Fato_Producao[[#This Row],[embalagens_danificadas]]+Fato_Producao[[#This Row],[peso_errado]]+Fato_Producao[[#This Row],[impressao]]</f>
        <v>129</v>
      </c>
      <c r="L1535" s="1" t="d">
        <v>2026-04-24</v>
      </c>
      <c r="M1535">
        <v>2</v>
      </c>
      <c r="N1535" s="7">
        <v>6.77</v>
      </c>
      <c r="O1535" s="4" t="str">
        <f t="shared" si="69"/>
        <v>abril</v>
      </c>
      <c r="P1535" s="4">
        <f t="shared" si="70"/>
        <v>2026</v>
      </c>
      <c r="Q1535" s="4" t="str">
        <f t="shared" si="71"/>
        <v/>
      </c>
      <c r="R1535" t="s">
        <v>24</v>
      </c>
    </row>
    <row r="1536" spans="1:18" x14ac:dyDescent="0.3">
      <c r="A1536" s="1" t="d">
        <v>2026-04-27</v>
      </c>
      <c r="B1536">
        <v>45509</v>
      </c>
      <c r="C1536" t="str">
        <f>VLOOKUP(Fato_Producao[[#This Row],[referencia]], Dim_Produtos!A:B,2,FALSE)</f>
        <v>lascas bacalhau</v>
      </c>
      <c r="D1536">
        <v>4142</v>
      </c>
      <c r="E1536">
        <v>3866</v>
      </c>
      <c r="F1536" s="5">
        <v>6.6600000000000006E-2</v>
      </c>
      <c r="G1536" s="6">
        <v>77.28</v>
      </c>
      <c r="H1536">
        <v>17</v>
      </c>
      <c r="I1536">
        <v>255</v>
      </c>
      <c r="J1536">
        <v>4</v>
      </c>
      <c r="K1536">
        <f>Fato_Producao[[#This Row],[embalagens_danificadas]]+Fato_Producao[[#This Row],[peso_errado]]+Fato_Producao[[#This Row],[impressao]]</f>
        <v>276</v>
      </c>
      <c r="L1536" s="1" t="d">
        <v>2026-04-24</v>
      </c>
      <c r="M1536">
        <v>3</v>
      </c>
      <c r="N1536" s="7">
        <v>10.050000000000001</v>
      </c>
      <c r="O1536" s="4" t="str">
        <f t="shared" si="69"/>
        <v>abril</v>
      </c>
      <c r="P1536" s="4">
        <f t="shared" si="70"/>
        <v>2026</v>
      </c>
      <c r="Q1536" s="4" t="str">
        <f t="shared" si="71"/>
        <v/>
      </c>
      <c r="R1536" t="s">
        <v>24</v>
      </c>
    </row>
    <row r="1537" spans="1:18" x14ac:dyDescent="0.3">
      <c r="A1537" s="1" t="d">
        <v>2026-04-27</v>
      </c>
      <c r="B1537">
        <v>45508</v>
      </c>
      <c r="C1537" t="str">
        <f>VLOOKUP(Fato_Producao[[#This Row],[referencia]], Dim_Produtos!A:B,2,FALSE)</f>
        <v>lula suja</v>
      </c>
      <c r="D1537">
        <v>3805</v>
      </c>
      <c r="E1537">
        <v>3491</v>
      </c>
      <c r="F1537" s="5">
        <v>8.2500000000000004E-2</v>
      </c>
      <c r="G1537" s="6">
        <v>100.48</v>
      </c>
      <c r="H1537">
        <v>26</v>
      </c>
      <c r="I1537">
        <v>282</v>
      </c>
      <c r="J1537">
        <v>6</v>
      </c>
      <c r="K1537">
        <f>Fato_Producao[[#This Row],[embalagens_danificadas]]+Fato_Producao[[#This Row],[peso_errado]]+Fato_Producao[[#This Row],[impressao]]</f>
        <v>314</v>
      </c>
      <c r="L1537" s="1" t="d">
        <v>2026-04-24</v>
      </c>
      <c r="M1537">
        <v>3</v>
      </c>
      <c r="N1537" s="7">
        <v>14.07</v>
      </c>
      <c r="O1537" s="4" t="str">
        <f t="shared" si="69"/>
        <v>abril</v>
      </c>
      <c r="P1537" s="4">
        <f t="shared" si="70"/>
        <v>2026</v>
      </c>
      <c r="Q1537" s="4" t="str">
        <f t="shared" si="71"/>
        <v/>
      </c>
      <c r="R1537" t="s">
        <v>24</v>
      </c>
    </row>
    <row r="1538" spans="1:18" x14ac:dyDescent="0.3">
      <c r="A1538" s="1" t="d">
        <v>2026-04-28</v>
      </c>
      <c r="B1538">
        <v>45505</v>
      </c>
      <c r="C1538" t="str">
        <f>VLOOKUP(Fato_Producao[[#This Row],[referencia]], Dim_Produtos!A:B,2,FALSE)</f>
        <v>camarao</v>
      </c>
      <c r="D1538">
        <v>2253</v>
      </c>
      <c r="E1538">
        <v>2146</v>
      </c>
      <c r="F1538" s="5">
        <v>4.7500000000000001E-2</v>
      </c>
      <c r="G1538" s="6">
        <v>32.1</v>
      </c>
      <c r="H1538">
        <v>25</v>
      </c>
      <c r="I1538">
        <v>79</v>
      </c>
      <c r="J1538">
        <v>3</v>
      </c>
      <c r="K1538">
        <f>Fato_Producao[[#This Row],[embalagens_danificadas]]+Fato_Producao[[#This Row],[peso_errado]]+Fato_Producao[[#This Row],[impressao]]</f>
        <v>107</v>
      </c>
      <c r="L1538" s="1" t="d">
        <v>2026-04-24</v>
      </c>
      <c r="M1538">
        <v>4</v>
      </c>
      <c r="N1538" s="7">
        <v>4.82</v>
      </c>
      <c r="O1538" s="4" t="str">
        <f t="shared" ref="O1538:O1601" si="72">TEXT(A1538, "mmmm")</f>
        <v>abril</v>
      </c>
      <c r="P1538" s="4">
        <f t="shared" ref="P1538:P1601" si="73">YEAR(A1538)</f>
        <v>2026</v>
      </c>
      <c r="Q1538" s="4" t="str">
        <f t="shared" ref="Q1538:Q1601" si="74">IF(M1539 &gt;= M1538, "", M1538)</f>
        <v/>
      </c>
      <c r="R1538" t="s">
        <v>24</v>
      </c>
    </row>
    <row r="1539" spans="1:18" x14ac:dyDescent="0.3">
      <c r="A1539" s="1" t="d">
        <v>2026-04-28</v>
      </c>
      <c r="B1539">
        <v>45514</v>
      </c>
      <c r="C1539" t="str">
        <f>VLOOKUP(Fato_Producao[[#This Row],[referencia]], Dim_Produtos!A:B,2,FALSE)</f>
        <v>sardinha pequena</v>
      </c>
      <c r="D1539">
        <v>2894</v>
      </c>
      <c r="E1539">
        <v>2666</v>
      </c>
      <c r="F1539" s="5">
        <v>7.8799999999999995E-2</v>
      </c>
      <c r="G1539" s="6">
        <v>68.400000000000006</v>
      </c>
      <c r="H1539">
        <v>11</v>
      </c>
      <c r="I1539">
        <v>211</v>
      </c>
      <c r="J1539">
        <v>6</v>
      </c>
      <c r="K1539">
        <f>Fato_Producao[[#This Row],[embalagens_danificadas]]+Fato_Producao[[#This Row],[peso_errado]]+Fato_Producao[[#This Row],[impressao]]</f>
        <v>228</v>
      </c>
      <c r="L1539" s="1" t="d">
        <v>2026-04-24</v>
      </c>
      <c r="M1539">
        <v>4</v>
      </c>
      <c r="N1539" s="7">
        <v>8.2100000000000009</v>
      </c>
      <c r="O1539" s="4" t="str">
        <f t="shared" si="72"/>
        <v>abril</v>
      </c>
      <c r="P1539" s="4">
        <f t="shared" si="73"/>
        <v>2026</v>
      </c>
      <c r="Q1539" s="4" t="str">
        <f t="shared" si="74"/>
        <v/>
      </c>
      <c r="R1539" t="s">
        <v>24</v>
      </c>
    </row>
    <row r="1540" spans="1:18" x14ac:dyDescent="0.3">
      <c r="A1540" s="1" t="d">
        <v>2026-04-29</v>
      </c>
      <c r="B1540">
        <v>45513</v>
      </c>
      <c r="C1540" t="str">
        <f>VLOOKUP(Fato_Producao[[#This Row],[referencia]], Dim_Produtos!A:B,2,FALSE)</f>
        <v>filete pescada</v>
      </c>
      <c r="D1540">
        <v>2075</v>
      </c>
      <c r="E1540">
        <v>2023</v>
      </c>
      <c r="F1540" s="5">
        <v>2.5100000000000001E-2</v>
      </c>
      <c r="G1540" s="6">
        <v>16.64</v>
      </c>
      <c r="H1540">
        <v>4</v>
      </c>
      <c r="I1540">
        <v>47</v>
      </c>
      <c r="J1540">
        <v>1</v>
      </c>
      <c r="K1540">
        <f>Fato_Producao[[#This Row],[embalagens_danificadas]]+Fato_Producao[[#This Row],[peso_errado]]+Fato_Producao[[#This Row],[impressao]]</f>
        <v>52</v>
      </c>
      <c r="L1540" s="1" t="d">
        <v>2026-04-24</v>
      </c>
      <c r="M1540">
        <v>5</v>
      </c>
      <c r="N1540" s="7">
        <v>2.16</v>
      </c>
      <c r="O1540" s="4" t="str">
        <f t="shared" si="72"/>
        <v>abril</v>
      </c>
      <c r="P1540" s="4">
        <f t="shared" si="73"/>
        <v>2026</v>
      </c>
      <c r="Q1540" s="4" t="str">
        <f t="shared" si="74"/>
        <v/>
      </c>
      <c r="R1540" t="s">
        <v>24</v>
      </c>
    </row>
    <row r="1541" spans="1:18" x14ac:dyDescent="0.3">
      <c r="A1541" s="1" t="d">
        <v>2026-04-30</v>
      </c>
      <c r="B1541">
        <v>45502</v>
      </c>
      <c r="C1541" t="str">
        <f>VLOOKUP(Fato_Producao[[#This Row],[referencia]], Dim_Produtos!A:B,2,FALSE)</f>
        <v>carapau pelim</v>
      </c>
      <c r="D1541">
        <v>3220</v>
      </c>
      <c r="E1541">
        <v>3066</v>
      </c>
      <c r="F1541" s="5">
        <v>4.7800000000000002E-2</v>
      </c>
      <c r="G1541" s="6">
        <v>46.2</v>
      </c>
      <c r="H1541">
        <v>45</v>
      </c>
      <c r="I1541">
        <v>107</v>
      </c>
      <c r="J1541">
        <v>2</v>
      </c>
      <c r="K1541">
        <f>Fato_Producao[[#This Row],[embalagens_danificadas]]+Fato_Producao[[#This Row],[peso_errado]]+Fato_Producao[[#This Row],[impressao]]</f>
        <v>154</v>
      </c>
      <c r="L1541" s="1" t="d">
        <v>2026-04-24</v>
      </c>
      <c r="M1541">
        <v>6</v>
      </c>
      <c r="N1541" s="7">
        <v>6.01</v>
      </c>
      <c r="O1541" s="4" t="str">
        <f t="shared" si="72"/>
        <v>abril</v>
      </c>
      <c r="P1541" s="4">
        <f t="shared" si="73"/>
        <v>2026</v>
      </c>
      <c r="Q1541" s="4" t="str">
        <f t="shared" si="74"/>
        <v/>
      </c>
      <c r="R1541" t="s">
        <v>24</v>
      </c>
    </row>
    <row r="1542" spans="1:18" x14ac:dyDescent="0.3">
      <c r="A1542" s="1" t="d">
        <v>2026-05-01</v>
      </c>
      <c r="B1542">
        <v>45503</v>
      </c>
      <c r="C1542" t="str">
        <f>VLOOKUP(Fato_Producao[[#This Row],[referencia]], Dim_Produtos!A:B,2,FALSE)</f>
        <v>sardinha pequena</v>
      </c>
      <c r="D1542">
        <v>3642</v>
      </c>
      <c r="E1542">
        <v>3378</v>
      </c>
      <c r="F1542" s="5">
        <v>7.2499999999999995E-2</v>
      </c>
      <c r="G1542" s="6">
        <v>68.64</v>
      </c>
      <c r="H1542">
        <v>15</v>
      </c>
      <c r="I1542">
        <v>243</v>
      </c>
      <c r="J1542">
        <v>6</v>
      </c>
      <c r="K1542">
        <f>Fato_Producao[[#This Row],[embalagens_danificadas]]+Fato_Producao[[#This Row],[peso_errado]]+Fato_Producao[[#This Row],[impressao]]</f>
        <v>264</v>
      </c>
      <c r="L1542" s="1" t="d">
        <v>2026-04-24</v>
      </c>
      <c r="M1542">
        <v>7</v>
      </c>
      <c r="N1542" s="7">
        <v>7.55</v>
      </c>
      <c r="O1542" s="4" t="str">
        <f t="shared" si="72"/>
        <v>maio</v>
      </c>
      <c r="P1542" s="4">
        <f t="shared" si="73"/>
        <v>2026</v>
      </c>
      <c r="Q1542" s="4" t="str">
        <f t="shared" si="74"/>
        <v/>
      </c>
      <c r="R1542" t="s">
        <v>24</v>
      </c>
    </row>
    <row r="1543" spans="1:18" x14ac:dyDescent="0.3">
      <c r="A1543" s="1" t="d">
        <v>2026-05-01</v>
      </c>
      <c r="B1543">
        <v>45510</v>
      </c>
      <c r="C1543" t="str">
        <f>VLOOKUP(Fato_Producao[[#This Row],[referencia]], Dim_Produtos!A:B,2,FALSE)</f>
        <v>tiras pota</v>
      </c>
      <c r="D1543">
        <v>1941</v>
      </c>
      <c r="E1543">
        <v>1801</v>
      </c>
      <c r="F1543" s="5">
        <v>7.2099999999999997E-2</v>
      </c>
      <c r="G1543" s="6">
        <v>44.8</v>
      </c>
      <c r="H1543">
        <v>11</v>
      </c>
      <c r="I1543">
        <v>126</v>
      </c>
      <c r="J1543">
        <v>3</v>
      </c>
      <c r="K1543">
        <f>Fato_Producao[[#This Row],[embalagens_danificadas]]+Fato_Producao[[#This Row],[peso_errado]]+Fato_Producao[[#This Row],[impressao]]</f>
        <v>140</v>
      </c>
      <c r="L1543" s="1" t="d">
        <v>2026-04-24</v>
      </c>
      <c r="M1543">
        <v>7</v>
      </c>
      <c r="N1543" s="7">
        <v>6.27</v>
      </c>
      <c r="O1543" s="4" t="str">
        <f t="shared" si="72"/>
        <v>maio</v>
      </c>
      <c r="P1543" s="4">
        <f t="shared" si="73"/>
        <v>2026</v>
      </c>
      <c r="Q1543" s="4" t="str">
        <f t="shared" si="74"/>
        <v/>
      </c>
      <c r="R1543" t="s">
        <v>24</v>
      </c>
    </row>
    <row r="1544" spans="1:18" x14ac:dyDescent="0.3">
      <c r="A1544" s="1" t="d">
        <v>2026-05-02</v>
      </c>
      <c r="B1544">
        <v>45512</v>
      </c>
      <c r="C1544" t="str">
        <f>VLOOKUP(Fato_Producao[[#This Row],[referencia]], Dim_Produtos!A:B,2,FALSE)</f>
        <v>red-fish posta</v>
      </c>
      <c r="D1544">
        <v>3829</v>
      </c>
      <c r="E1544">
        <v>3630</v>
      </c>
      <c r="F1544" s="5">
        <v>5.1999999999999998E-2</v>
      </c>
      <c r="G1544" s="6">
        <v>67.66</v>
      </c>
      <c r="H1544">
        <v>12</v>
      </c>
      <c r="I1544">
        <v>183</v>
      </c>
      <c r="J1544">
        <v>4</v>
      </c>
      <c r="K1544">
        <f>Fato_Producao[[#This Row],[embalagens_danificadas]]+Fato_Producao[[#This Row],[peso_errado]]+Fato_Producao[[#This Row],[impressao]]</f>
        <v>199</v>
      </c>
      <c r="L1544" s="1" t="d">
        <v>2026-04-24</v>
      </c>
      <c r="M1544">
        <v>8</v>
      </c>
      <c r="N1544" s="7">
        <v>9.4700000000000006</v>
      </c>
      <c r="O1544" s="4" t="str">
        <f t="shared" si="72"/>
        <v>maio</v>
      </c>
      <c r="P1544" s="4">
        <f t="shared" si="73"/>
        <v>2026</v>
      </c>
      <c r="Q1544" s="4" t="str">
        <f t="shared" si="74"/>
        <v/>
      </c>
      <c r="R1544" t="s">
        <v>24</v>
      </c>
    </row>
    <row r="1545" spans="1:18" x14ac:dyDescent="0.3">
      <c r="A1545" s="1" t="d">
        <v>2026-05-03</v>
      </c>
      <c r="B1545">
        <v>45504</v>
      </c>
      <c r="C1545" t="str">
        <f>VLOOKUP(Fato_Producao[[#This Row],[referencia]], Dim_Produtos!A:B,2,FALSE)</f>
        <v>pescada posta fritar</v>
      </c>
      <c r="D1545">
        <v>2106</v>
      </c>
      <c r="E1545">
        <v>1991</v>
      </c>
      <c r="F1545" s="5">
        <v>5.4600000000000003E-2</v>
      </c>
      <c r="G1545" s="6">
        <v>36.799999999999997</v>
      </c>
      <c r="H1545">
        <v>6</v>
      </c>
      <c r="I1545">
        <v>106</v>
      </c>
      <c r="J1545">
        <v>3</v>
      </c>
      <c r="K1545">
        <f>Fato_Producao[[#This Row],[embalagens_danificadas]]+Fato_Producao[[#This Row],[peso_errado]]+Fato_Producao[[#This Row],[impressao]]</f>
        <v>115</v>
      </c>
      <c r="L1545" s="1" t="d">
        <v>2026-04-24</v>
      </c>
      <c r="M1545">
        <v>9</v>
      </c>
      <c r="N1545" s="7">
        <v>5.15</v>
      </c>
      <c r="O1545" s="4" t="str">
        <f t="shared" si="72"/>
        <v>maio</v>
      </c>
      <c r="P1545" s="4">
        <f t="shared" si="73"/>
        <v>2026</v>
      </c>
      <c r="Q1545" s="4" t="str">
        <f t="shared" si="74"/>
        <v/>
      </c>
      <c r="R1545" t="s">
        <v>24</v>
      </c>
    </row>
    <row r="1546" spans="1:18" x14ac:dyDescent="0.3">
      <c r="A1546" s="1" t="d">
        <v>2026-05-03</v>
      </c>
      <c r="B1546">
        <v>45513</v>
      </c>
      <c r="C1546" t="str">
        <f>VLOOKUP(Fato_Producao[[#This Row],[referencia]], Dim_Produtos!A:B,2,FALSE)</f>
        <v>filete pescada</v>
      </c>
      <c r="D1546">
        <v>2548</v>
      </c>
      <c r="E1546">
        <v>2376</v>
      </c>
      <c r="F1546" s="5">
        <v>6.7500000000000004E-2</v>
      </c>
      <c r="G1546" s="6">
        <v>55.04</v>
      </c>
      <c r="H1546">
        <v>9</v>
      </c>
      <c r="I1546">
        <v>158</v>
      </c>
      <c r="J1546">
        <v>5</v>
      </c>
      <c r="K1546">
        <f>Fato_Producao[[#This Row],[embalagens_danificadas]]+Fato_Producao[[#This Row],[peso_errado]]+Fato_Producao[[#This Row],[impressao]]</f>
        <v>172</v>
      </c>
      <c r="L1546" s="1" t="d">
        <v>2026-04-24</v>
      </c>
      <c r="M1546">
        <v>9</v>
      </c>
      <c r="N1546" s="7">
        <v>7.16</v>
      </c>
      <c r="O1546" s="4" t="str">
        <f t="shared" si="72"/>
        <v>maio</v>
      </c>
      <c r="P1546" s="4">
        <f t="shared" si="73"/>
        <v>2026</v>
      </c>
      <c r="Q1546" s="4" t="str">
        <f t="shared" si="74"/>
        <v/>
      </c>
      <c r="R1546" t="s">
        <v>24</v>
      </c>
    </row>
    <row r="1547" spans="1:18" x14ac:dyDescent="0.3">
      <c r="A1547" s="1" t="d">
        <v>2026-05-04</v>
      </c>
      <c r="B1547">
        <v>45508</v>
      </c>
      <c r="C1547" t="str">
        <f>VLOOKUP(Fato_Producao[[#This Row],[referencia]], Dim_Produtos!A:B,2,FALSE)</f>
        <v>lula suja</v>
      </c>
      <c r="D1547">
        <v>3361</v>
      </c>
      <c r="E1547">
        <v>3092</v>
      </c>
      <c r="F1547" s="5">
        <v>0.08</v>
      </c>
      <c r="G1547" s="6">
        <v>86.08</v>
      </c>
      <c r="H1547">
        <v>24</v>
      </c>
      <c r="I1547">
        <v>242</v>
      </c>
      <c r="J1547">
        <v>3</v>
      </c>
      <c r="K1547">
        <f>Fato_Producao[[#This Row],[embalagens_danificadas]]+Fato_Producao[[#This Row],[peso_errado]]+Fato_Producao[[#This Row],[impressao]]</f>
        <v>269</v>
      </c>
      <c r="L1547" s="1" t="d">
        <v>2026-04-24</v>
      </c>
      <c r="M1547">
        <v>10</v>
      </c>
      <c r="N1547" s="7">
        <v>12.05</v>
      </c>
      <c r="O1547" s="4" t="str">
        <f t="shared" si="72"/>
        <v>maio</v>
      </c>
      <c r="P1547" s="4">
        <f t="shared" si="73"/>
        <v>2026</v>
      </c>
      <c r="Q1547" s="4" t="str">
        <f t="shared" si="74"/>
        <v/>
      </c>
      <c r="R1547" t="s">
        <v>24</v>
      </c>
    </row>
    <row r="1548" spans="1:18" x14ac:dyDescent="0.3">
      <c r="A1548" s="1" t="d">
        <v>2026-05-04</v>
      </c>
      <c r="B1548">
        <v>45502</v>
      </c>
      <c r="C1548" t="str">
        <f>VLOOKUP(Fato_Producao[[#This Row],[referencia]], Dim_Produtos!A:B,2,FALSE)</f>
        <v>carapau pelim</v>
      </c>
      <c r="D1548">
        <v>3398</v>
      </c>
      <c r="E1548">
        <v>3139</v>
      </c>
      <c r="F1548" s="5">
        <v>7.6200000000000004E-2</v>
      </c>
      <c r="G1548" s="6">
        <v>77.7</v>
      </c>
      <c r="H1548">
        <v>68</v>
      </c>
      <c r="I1548">
        <v>183</v>
      </c>
      <c r="J1548">
        <v>8</v>
      </c>
      <c r="K1548">
        <f>Fato_Producao[[#This Row],[embalagens_danificadas]]+Fato_Producao[[#This Row],[peso_errado]]+Fato_Producao[[#This Row],[impressao]]</f>
        <v>259</v>
      </c>
      <c r="L1548" s="1" t="d">
        <v>2026-04-24</v>
      </c>
      <c r="M1548">
        <v>10</v>
      </c>
      <c r="N1548" s="7">
        <v>10.1</v>
      </c>
      <c r="O1548" s="4" t="str">
        <f t="shared" si="72"/>
        <v>maio</v>
      </c>
      <c r="P1548" s="4">
        <f t="shared" si="73"/>
        <v>2026</v>
      </c>
      <c r="Q1548" s="4" t="str">
        <f t="shared" si="74"/>
        <v/>
      </c>
      <c r="R1548" t="s">
        <v>24</v>
      </c>
    </row>
    <row r="1549" spans="1:18" x14ac:dyDescent="0.3">
      <c r="A1549" s="1" t="d">
        <v>2026-05-05</v>
      </c>
      <c r="B1549">
        <v>45514</v>
      </c>
      <c r="C1549" t="str">
        <f>VLOOKUP(Fato_Producao[[#This Row],[referencia]], Dim_Produtos!A:B,2,FALSE)</f>
        <v>sardinha pequena</v>
      </c>
      <c r="D1549">
        <v>3210</v>
      </c>
      <c r="E1549">
        <v>2993</v>
      </c>
      <c r="F1549" s="5">
        <v>6.7599999999999993E-2</v>
      </c>
      <c r="G1549" s="6">
        <v>65.099999999999994</v>
      </c>
      <c r="H1549">
        <v>17</v>
      </c>
      <c r="I1549">
        <v>198</v>
      </c>
      <c r="J1549">
        <v>2</v>
      </c>
      <c r="K1549">
        <f>Fato_Producao[[#This Row],[embalagens_danificadas]]+Fato_Producao[[#This Row],[peso_errado]]+Fato_Producao[[#This Row],[impressao]]</f>
        <v>217</v>
      </c>
      <c r="L1549" s="1" t="d">
        <v>2026-04-24</v>
      </c>
      <c r="M1549">
        <v>11</v>
      </c>
      <c r="N1549" s="7">
        <v>7.81</v>
      </c>
      <c r="O1549" s="4" t="str">
        <f t="shared" si="72"/>
        <v>maio</v>
      </c>
      <c r="P1549" s="4">
        <f t="shared" si="73"/>
        <v>2026</v>
      </c>
      <c r="Q1549" s="4" t="str">
        <f t="shared" si="74"/>
        <v/>
      </c>
      <c r="R1549" t="s">
        <v>24</v>
      </c>
    </row>
    <row r="1550" spans="1:18" x14ac:dyDescent="0.3">
      <c r="A1550" s="1" t="d">
        <v>2026-05-06</v>
      </c>
      <c r="B1550">
        <v>45508</v>
      </c>
      <c r="C1550" t="str">
        <f>VLOOKUP(Fato_Producao[[#This Row],[referencia]], Dim_Produtos!A:B,2,FALSE)</f>
        <v>lula suja</v>
      </c>
      <c r="D1550">
        <v>3159</v>
      </c>
      <c r="E1550">
        <v>2930</v>
      </c>
      <c r="F1550" s="5">
        <v>7.2499999999999995E-2</v>
      </c>
      <c r="G1550" s="6">
        <v>73.28</v>
      </c>
      <c r="H1550">
        <v>28</v>
      </c>
      <c r="I1550">
        <v>194</v>
      </c>
      <c r="J1550">
        <v>7</v>
      </c>
      <c r="K1550">
        <f>Fato_Producao[[#This Row],[embalagens_danificadas]]+Fato_Producao[[#This Row],[peso_errado]]+Fato_Producao[[#This Row],[impressao]]</f>
        <v>229</v>
      </c>
      <c r="L1550" s="1" t="d">
        <v>2026-04-24</v>
      </c>
      <c r="M1550">
        <v>12</v>
      </c>
      <c r="N1550" s="7">
        <v>10.26</v>
      </c>
      <c r="O1550" s="4" t="str">
        <f t="shared" si="72"/>
        <v>maio</v>
      </c>
      <c r="P1550" s="4">
        <f t="shared" si="73"/>
        <v>2026</v>
      </c>
      <c r="Q1550" s="4" t="str">
        <f t="shared" si="74"/>
        <v/>
      </c>
      <c r="R1550" t="s">
        <v>24</v>
      </c>
    </row>
    <row r="1551" spans="1:18" x14ac:dyDescent="0.3">
      <c r="A1551" s="1" t="d">
        <v>2026-05-06</v>
      </c>
      <c r="B1551">
        <v>45511</v>
      </c>
      <c r="C1551" t="str">
        <f>VLOOKUP(Fato_Producao[[#This Row],[referencia]], Dim_Produtos!A:B,2,FALSE)</f>
        <v>lula limpa</v>
      </c>
      <c r="D1551">
        <v>2988</v>
      </c>
      <c r="E1551">
        <v>2725</v>
      </c>
      <c r="F1551" s="5">
        <v>8.7999999999999995E-2</v>
      </c>
      <c r="G1551" s="6">
        <v>84.16</v>
      </c>
      <c r="H1551">
        <v>27</v>
      </c>
      <c r="I1551">
        <v>229</v>
      </c>
      <c r="J1551">
        <v>7</v>
      </c>
      <c r="K1551">
        <f>Fato_Producao[[#This Row],[embalagens_danificadas]]+Fato_Producao[[#This Row],[peso_errado]]+Fato_Producao[[#This Row],[impressao]]</f>
        <v>263</v>
      </c>
      <c r="L1551" s="1" t="d">
        <v>2026-04-24</v>
      </c>
      <c r="M1551">
        <v>12</v>
      </c>
      <c r="N1551" s="7">
        <v>11.78</v>
      </c>
      <c r="O1551" s="4" t="str">
        <f t="shared" si="72"/>
        <v>maio</v>
      </c>
      <c r="P1551" s="4">
        <f t="shared" si="73"/>
        <v>2026</v>
      </c>
      <c r="Q1551" s="4" t="str">
        <f t="shared" si="74"/>
        <v/>
      </c>
      <c r="R1551" t="s">
        <v>24</v>
      </c>
    </row>
    <row r="1552" spans="1:18" x14ac:dyDescent="0.3">
      <c r="A1552" s="1" t="d">
        <v>2026-05-07</v>
      </c>
      <c r="B1552">
        <v>45505</v>
      </c>
      <c r="C1552" t="str">
        <f>VLOOKUP(Fato_Producao[[#This Row],[referencia]], Dim_Produtos!A:B,2,FALSE)</f>
        <v>camarao</v>
      </c>
      <c r="D1552">
        <v>2257</v>
      </c>
      <c r="E1552">
        <v>2101</v>
      </c>
      <c r="F1552" s="5">
        <v>6.9099999999999995E-2</v>
      </c>
      <c r="G1552" s="6">
        <v>46.8</v>
      </c>
      <c r="H1552">
        <v>59</v>
      </c>
      <c r="I1552">
        <v>14</v>
      </c>
      <c r="J1552">
        <v>83</v>
      </c>
      <c r="K1552">
        <f>Fato_Producao[[#This Row],[embalagens_danificadas]]+Fato_Producao[[#This Row],[peso_errado]]+Fato_Producao[[#This Row],[impressao]]</f>
        <v>156</v>
      </c>
      <c r="L1552" s="1" t="d">
        <v>2026-04-24</v>
      </c>
      <c r="M1552">
        <v>13</v>
      </c>
      <c r="N1552" s="7">
        <v>7.02</v>
      </c>
      <c r="O1552" s="4" t="str">
        <f t="shared" si="72"/>
        <v>maio</v>
      </c>
      <c r="P1552" s="4">
        <f t="shared" si="73"/>
        <v>2026</v>
      </c>
      <c r="Q1552" s="4" t="str">
        <f t="shared" si="74"/>
        <v/>
      </c>
      <c r="R1552" t="s">
        <v>50</v>
      </c>
    </row>
    <row r="1553" spans="1:18" x14ac:dyDescent="0.3">
      <c r="A1553" s="1" t="d">
        <v>2026-05-07</v>
      </c>
      <c r="B1553">
        <v>45514</v>
      </c>
      <c r="C1553" t="str">
        <f>VLOOKUP(Fato_Producao[[#This Row],[referencia]], Dim_Produtos!A:B,2,FALSE)</f>
        <v>sardinha pequena</v>
      </c>
      <c r="D1553">
        <v>4178</v>
      </c>
      <c r="E1553">
        <v>3875</v>
      </c>
      <c r="F1553" s="5">
        <v>7.2499999999999995E-2</v>
      </c>
      <c r="G1553" s="6">
        <v>90.9</v>
      </c>
      <c r="H1553">
        <v>10</v>
      </c>
      <c r="I1553">
        <v>285</v>
      </c>
      <c r="J1553">
        <v>8</v>
      </c>
      <c r="K1553">
        <f>Fato_Producao[[#This Row],[embalagens_danificadas]]+Fato_Producao[[#This Row],[peso_errado]]+Fato_Producao[[#This Row],[impressao]]</f>
        <v>303</v>
      </c>
      <c r="L1553" s="1" t="d">
        <v>2026-04-24</v>
      </c>
      <c r="M1553">
        <v>13</v>
      </c>
      <c r="N1553" s="7">
        <v>10.91</v>
      </c>
      <c r="O1553" s="4" t="str">
        <f t="shared" si="72"/>
        <v>maio</v>
      </c>
      <c r="P1553" s="4">
        <f t="shared" si="73"/>
        <v>2026</v>
      </c>
      <c r="Q1553" s="4" t="str">
        <f t="shared" si="74"/>
        <v/>
      </c>
      <c r="R1553" t="s">
        <v>24</v>
      </c>
    </row>
    <row r="1554" spans="1:18" x14ac:dyDescent="0.3">
      <c r="A1554" s="1" t="d">
        <v>2026-05-08</v>
      </c>
      <c r="B1554">
        <v>45502</v>
      </c>
      <c r="C1554" t="str">
        <f>VLOOKUP(Fato_Producao[[#This Row],[referencia]], Dim_Produtos!A:B,2,FALSE)</f>
        <v>carapau pelim</v>
      </c>
      <c r="D1554">
        <v>3321</v>
      </c>
      <c r="E1554">
        <v>3125</v>
      </c>
      <c r="F1554" s="5">
        <v>5.8999999999999997E-2</v>
      </c>
      <c r="G1554" s="6">
        <v>58.8</v>
      </c>
      <c r="H1554">
        <v>54</v>
      </c>
      <c r="I1554">
        <v>137</v>
      </c>
      <c r="J1554">
        <v>5</v>
      </c>
      <c r="K1554">
        <f>Fato_Producao[[#This Row],[embalagens_danificadas]]+Fato_Producao[[#This Row],[peso_errado]]+Fato_Producao[[#This Row],[impressao]]</f>
        <v>196</v>
      </c>
      <c r="L1554" s="1" t="d">
        <v>2026-04-24</v>
      </c>
      <c r="M1554">
        <v>14</v>
      </c>
      <c r="N1554" s="7">
        <v>7.64</v>
      </c>
      <c r="O1554" s="4" t="str">
        <f t="shared" si="72"/>
        <v>maio</v>
      </c>
      <c r="P1554" s="4">
        <f t="shared" si="73"/>
        <v>2026</v>
      </c>
      <c r="Q1554" s="4" t="str">
        <f t="shared" si="74"/>
        <v/>
      </c>
      <c r="R1554" t="s">
        <v>24</v>
      </c>
    </row>
    <row r="1555" spans="1:18" x14ac:dyDescent="0.3">
      <c r="A1555" s="1" t="d">
        <v>2026-05-08</v>
      </c>
      <c r="B1555">
        <v>45501</v>
      </c>
      <c r="C1555" t="str">
        <f>VLOOKUP(Fato_Producao[[#This Row],[referencia]], Dim_Produtos!A:B,2,FALSE)</f>
        <v>pescada posta cozer</v>
      </c>
      <c r="D1555">
        <v>3221</v>
      </c>
      <c r="E1555">
        <v>2997</v>
      </c>
      <c r="F1555" s="5">
        <v>6.9500000000000006E-2</v>
      </c>
      <c r="G1555" s="6">
        <v>71.680000000000007</v>
      </c>
      <c r="H1555">
        <v>11</v>
      </c>
      <c r="I1555">
        <v>208</v>
      </c>
      <c r="J1555">
        <v>5</v>
      </c>
      <c r="K1555">
        <f>Fato_Producao[[#This Row],[embalagens_danificadas]]+Fato_Producao[[#This Row],[peso_errado]]+Fato_Producao[[#This Row],[impressao]]</f>
        <v>224</v>
      </c>
      <c r="L1555" s="1" t="d">
        <v>2026-04-24</v>
      </c>
      <c r="M1555">
        <v>14</v>
      </c>
      <c r="N1555" s="7">
        <v>10.039999999999999</v>
      </c>
      <c r="O1555" s="4" t="str">
        <f t="shared" si="72"/>
        <v>maio</v>
      </c>
      <c r="P1555" s="4">
        <f t="shared" si="73"/>
        <v>2026</v>
      </c>
      <c r="Q1555" s="4" t="str">
        <f t="shared" si="74"/>
        <v/>
      </c>
      <c r="R1555" t="s">
        <v>24</v>
      </c>
    </row>
    <row r="1556" spans="1:18" x14ac:dyDescent="0.3">
      <c r="A1556" s="1" t="d">
        <v>2026-05-09</v>
      </c>
      <c r="B1556">
        <v>45511</v>
      </c>
      <c r="C1556" t="str">
        <f>VLOOKUP(Fato_Producao[[#This Row],[referencia]], Dim_Produtos!A:B,2,FALSE)</f>
        <v>lula limpa</v>
      </c>
      <c r="D1556">
        <v>2192</v>
      </c>
      <c r="E1556">
        <v>2014</v>
      </c>
      <c r="F1556" s="5">
        <v>8.1199999999999994E-2</v>
      </c>
      <c r="G1556" s="6">
        <v>56.96</v>
      </c>
      <c r="H1556">
        <v>24</v>
      </c>
      <c r="I1556">
        <v>152</v>
      </c>
      <c r="J1556">
        <v>2</v>
      </c>
      <c r="K1556">
        <f>Fato_Producao[[#This Row],[embalagens_danificadas]]+Fato_Producao[[#This Row],[peso_errado]]+Fato_Producao[[#This Row],[impressao]]</f>
        <v>178</v>
      </c>
      <c r="L1556" s="1" t="d">
        <v>2026-04-24</v>
      </c>
      <c r="M1556">
        <v>15</v>
      </c>
      <c r="N1556" s="7">
        <v>7.97</v>
      </c>
      <c r="O1556" s="4" t="str">
        <f t="shared" si="72"/>
        <v>maio</v>
      </c>
      <c r="P1556" s="4">
        <f t="shared" si="73"/>
        <v>2026</v>
      </c>
      <c r="Q1556" s="4" t="str">
        <f t="shared" si="74"/>
        <v/>
      </c>
      <c r="R1556" t="s">
        <v>24</v>
      </c>
    </row>
    <row r="1557" spans="1:18" x14ac:dyDescent="0.3">
      <c r="A1557" s="1" t="d">
        <v>2026-05-10</v>
      </c>
      <c r="B1557">
        <v>45500</v>
      </c>
      <c r="C1557" t="str">
        <f>VLOOKUP(Fato_Producao[[#This Row],[referencia]], Dim_Produtos!A:B,2,FALSE)</f>
        <v>filete pescada</v>
      </c>
      <c r="D1557">
        <v>3163</v>
      </c>
      <c r="E1557">
        <v>3005</v>
      </c>
      <c r="F1557" s="5">
        <v>0.05</v>
      </c>
      <c r="G1557" s="6">
        <v>44.24</v>
      </c>
      <c r="H1557">
        <v>12</v>
      </c>
      <c r="I1557">
        <v>144</v>
      </c>
      <c r="J1557">
        <v>2</v>
      </c>
      <c r="K1557">
        <f>Fato_Producao[[#This Row],[embalagens_danificadas]]+Fato_Producao[[#This Row],[peso_errado]]+Fato_Producao[[#This Row],[impressao]]</f>
        <v>158</v>
      </c>
      <c r="L1557" s="1" t="d">
        <v>2026-04-24</v>
      </c>
      <c r="M1557">
        <v>16</v>
      </c>
      <c r="N1557" s="7">
        <v>5.31</v>
      </c>
      <c r="O1557" s="4" t="str">
        <f t="shared" si="72"/>
        <v>maio</v>
      </c>
      <c r="P1557" s="4">
        <f t="shared" si="73"/>
        <v>2026</v>
      </c>
      <c r="Q1557" s="4" t="str">
        <f t="shared" si="74"/>
        <v/>
      </c>
      <c r="R1557" t="s">
        <v>24</v>
      </c>
    </row>
    <row r="1558" spans="1:18" x14ac:dyDescent="0.3">
      <c r="A1558" s="1" t="d">
        <v>2026-05-11</v>
      </c>
      <c r="B1558">
        <v>45505</v>
      </c>
      <c r="C1558" t="str">
        <f>VLOOKUP(Fato_Producao[[#This Row],[referencia]], Dim_Produtos!A:B,2,FALSE)</f>
        <v>camarao</v>
      </c>
      <c r="D1558">
        <v>4163</v>
      </c>
      <c r="E1558">
        <v>3875</v>
      </c>
      <c r="F1558" s="5">
        <v>6.9199999999999998E-2</v>
      </c>
      <c r="G1558" s="6">
        <v>86.4</v>
      </c>
      <c r="H1558">
        <v>89</v>
      </c>
      <c r="I1558">
        <v>189</v>
      </c>
      <c r="J1558">
        <v>10</v>
      </c>
      <c r="K1558">
        <f>Fato_Producao[[#This Row],[embalagens_danificadas]]+Fato_Producao[[#This Row],[peso_errado]]+Fato_Producao[[#This Row],[impressao]]</f>
        <v>288</v>
      </c>
      <c r="L1558" s="1" t="d">
        <v>2026-04-24</v>
      </c>
      <c r="M1558">
        <v>17</v>
      </c>
      <c r="N1558" s="7">
        <v>12.96</v>
      </c>
      <c r="O1558" s="4" t="str">
        <f t="shared" si="72"/>
        <v>maio</v>
      </c>
      <c r="P1558" s="4">
        <f t="shared" si="73"/>
        <v>2026</v>
      </c>
      <c r="Q1558" s="4" t="str">
        <f t="shared" si="74"/>
        <v/>
      </c>
      <c r="R1558" t="s">
        <v>24</v>
      </c>
    </row>
    <row r="1559" spans="1:18" x14ac:dyDescent="0.3">
      <c r="A1559" s="1" t="d">
        <v>2026-05-11</v>
      </c>
      <c r="B1559">
        <v>45513</v>
      </c>
      <c r="C1559" t="str">
        <f>VLOOKUP(Fato_Producao[[#This Row],[referencia]], Dim_Produtos!A:B,2,FALSE)</f>
        <v>filete pescada</v>
      </c>
      <c r="D1559">
        <v>1951</v>
      </c>
      <c r="E1559">
        <v>1829</v>
      </c>
      <c r="F1559" s="5">
        <v>6.25E-2</v>
      </c>
      <c r="G1559" s="6">
        <v>39.04</v>
      </c>
      <c r="H1559">
        <v>4</v>
      </c>
      <c r="I1559">
        <v>115</v>
      </c>
      <c r="J1559">
        <v>3</v>
      </c>
      <c r="K1559">
        <f>Fato_Producao[[#This Row],[embalagens_danificadas]]+Fato_Producao[[#This Row],[peso_errado]]+Fato_Producao[[#This Row],[impressao]]</f>
        <v>122</v>
      </c>
      <c r="L1559" s="1" t="d">
        <v>2026-04-24</v>
      </c>
      <c r="M1559">
        <v>17</v>
      </c>
      <c r="N1559" s="7">
        <v>5.08</v>
      </c>
      <c r="O1559" s="4" t="str">
        <f t="shared" si="72"/>
        <v>maio</v>
      </c>
      <c r="P1559" s="4">
        <f t="shared" si="73"/>
        <v>2026</v>
      </c>
      <c r="Q1559" s="4" t="str">
        <f t="shared" si="74"/>
        <v/>
      </c>
      <c r="R1559" t="s">
        <v>24</v>
      </c>
    </row>
    <row r="1560" spans="1:18" x14ac:dyDescent="0.3">
      <c r="A1560" s="1" t="d">
        <v>2026-05-12</v>
      </c>
      <c r="B1560">
        <v>45506</v>
      </c>
      <c r="C1560" t="str">
        <f>VLOOKUP(Fato_Producao[[#This Row],[referencia]], Dim_Produtos!A:B,2,FALSE)</f>
        <v>perca posta</v>
      </c>
      <c r="D1560">
        <v>3321</v>
      </c>
      <c r="E1560">
        <v>3165</v>
      </c>
      <c r="F1560" s="5">
        <v>4.7E-2</v>
      </c>
      <c r="G1560" s="6">
        <v>54.6</v>
      </c>
      <c r="H1560">
        <v>8</v>
      </c>
      <c r="I1560">
        <v>144</v>
      </c>
      <c r="J1560">
        <v>4</v>
      </c>
      <c r="K1560">
        <f>Fato_Producao[[#This Row],[embalagens_danificadas]]+Fato_Producao[[#This Row],[peso_errado]]+Fato_Producao[[#This Row],[impressao]]</f>
        <v>156</v>
      </c>
      <c r="L1560" s="1" t="d">
        <v>2026-04-24</v>
      </c>
      <c r="M1560">
        <v>18</v>
      </c>
      <c r="N1560" s="7">
        <v>8.19</v>
      </c>
      <c r="O1560" s="4" t="str">
        <f t="shared" si="72"/>
        <v>maio</v>
      </c>
      <c r="P1560" s="4">
        <f t="shared" si="73"/>
        <v>2026</v>
      </c>
      <c r="Q1560" s="4" t="str">
        <f t="shared" si="74"/>
        <v/>
      </c>
      <c r="R1560" t="s">
        <v>24</v>
      </c>
    </row>
    <row r="1561" spans="1:18" x14ac:dyDescent="0.3">
      <c r="A1561" s="1" t="d">
        <v>2026-05-12</v>
      </c>
      <c r="B1561">
        <v>45509</v>
      </c>
      <c r="C1561" t="str">
        <f>VLOOKUP(Fato_Producao[[#This Row],[referencia]], Dim_Produtos!A:B,2,FALSE)</f>
        <v>lascas bacalhau</v>
      </c>
      <c r="D1561">
        <v>1964</v>
      </c>
      <c r="E1561">
        <v>1829</v>
      </c>
      <c r="F1561" s="5">
        <v>6.8699999999999997E-2</v>
      </c>
      <c r="G1561" s="6">
        <v>37.799999999999997</v>
      </c>
      <c r="H1561">
        <v>5</v>
      </c>
      <c r="I1561">
        <v>127</v>
      </c>
      <c r="J1561">
        <v>3</v>
      </c>
      <c r="K1561">
        <f>Fato_Producao[[#This Row],[embalagens_danificadas]]+Fato_Producao[[#This Row],[peso_errado]]+Fato_Producao[[#This Row],[impressao]]</f>
        <v>135</v>
      </c>
      <c r="L1561" s="1" t="d">
        <v>2026-04-24</v>
      </c>
      <c r="M1561">
        <v>18</v>
      </c>
      <c r="N1561" s="7">
        <v>4.91</v>
      </c>
      <c r="O1561" s="4" t="str">
        <f t="shared" si="72"/>
        <v>maio</v>
      </c>
      <c r="P1561" s="4">
        <f t="shared" si="73"/>
        <v>2026</v>
      </c>
      <c r="Q1561" s="4" t="str">
        <f t="shared" si="74"/>
        <v/>
      </c>
      <c r="R1561" t="s">
        <v>24</v>
      </c>
    </row>
    <row r="1562" spans="1:18" x14ac:dyDescent="0.3">
      <c r="A1562" s="1" t="d">
        <v>2026-05-13</v>
      </c>
      <c r="B1562">
        <v>45503</v>
      </c>
      <c r="C1562" t="str">
        <f>VLOOKUP(Fato_Producao[[#This Row],[referencia]], Dim_Produtos!A:B,2,FALSE)</f>
        <v>sardinha pequena</v>
      </c>
      <c r="D1562">
        <v>2902</v>
      </c>
      <c r="E1562">
        <v>2664</v>
      </c>
      <c r="F1562" s="5">
        <v>8.2000000000000003E-2</v>
      </c>
      <c r="G1562" s="6">
        <v>61.88</v>
      </c>
      <c r="H1562">
        <v>14</v>
      </c>
      <c r="I1562">
        <v>219</v>
      </c>
      <c r="J1562">
        <v>5</v>
      </c>
      <c r="K1562">
        <f>Fato_Producao[[#This Row],[embalagens_danificadas]]+Fato_Producao[[#This Row],[peso_errado]]+Fato_Producao[[#This Row],[impressao]]</f>
        <v>238</v>
      </c>
      <c r="L1562" s="1" t="d">
        <v>2026-04-24</v>
      </c>
      <c r="M1562">
        <v>19</v>
      </c>
      <c r="N1562" s="7">
        <v>6.81</v>
      </c>
      <c r="O1562" s="4" t="str">
        <f t="shared" si="72"/>
        <v>maio</v>
      </c>
      <c r="P1562" s="4">
        <f t="shared" si="73"/>
        <v>2026</v>
      </c>
      <c r="Q1562" s="4" t="str">
        <f t="shared" si="74"/>
        <v/>
      </c>
      <c r="R1562" t="s">
        <v>24</v>
      </c>
    </row>
    <row r="1563" spans="1:18" x14ac:dyDescent="0.3">
      <c r="A1563" s="1" t="d">
        <v>2026-05-14</v>
      </c>
      <c r="B1563">
        <v>45501</v>
      </c>
      <c r="C1563" t="str">
        <f>VLOOKUP(Fato_Producao[[#This Row],[referencia]], Dim_Produtos!A:B,2,FALSE)</f>
        <v>pescada posta cozer</v>
      </c>
      <c r="D1563">
        <v>3265</v>
      </c>
      <c r="E1563">
        <v>3024</v>
      </c>
      <c r="F1563" s="5">
        <v>7.3800000000000004E-2</v>
      </c>
      <c r="G1563" s="6">
        <v>77.12</v>
      </c>
      <c r="H1563">
        <v>6</v>
      </c>
      <c r="I1563">
        <v>229</v>
      </c>
      <c r="J1563">
        <v>6</v>
      </c>
      <c r="K1563">
        <f>Fato_Producao[[#This Row],[embalagens_danificadas]]+Fato_Producao[[#This Row],[peso_errado]]+Fato_Producao[[#This Row],[impressao]]</f>
        <v>241</v>
      </c>
      <c r="L1563" s="1" t="d">
        <v>2026-04-24</v>
      </c>
      <c r="M1563">
        <v>20</v>
      </c>
      <c r="N1563" s="7">
        <v>10.8</v>
      </c>
      <c r="O1563" s="4" t="str">
        <f t="shared" si="72"/>
        <v>maio</v>
      </c>
      <c r="P1563" s="4">
        <f t="shared" si="73"/>
        <v>2026</v>
      </c>
      <c r="Q1563" s="4" t="str">
        <f t="shared" si="74"/>
        <v/>
      </c>
      <c r="R1563" t="s">
        <v>24</v>
      </c>
    </row>
    <row r="1564" spans="1:18" x14ac:dyDescent="0.3">
      <c r="A1564" s="1" t="d">
        <v>2026-05-14</v>
      </c>
      <c r="B1564">
        <v>45507</v>
      </c>
      <c r="C1564" t="str">
        <f>VLOOKUP(Fato_Producao[[#This Row],[referencia]], Dim_Produtos!A:B,2,FALSE)</f>
        <v>salmao posta</v>
      </c>
      <c r="D1564">
        <v>3414</v>
      </c>
      <c r="E1564">
        <v>3186</v>
      </c>
      <c r="F1564" s="5">
        <v>6.6799999999999998E-2</v>
      </c>
      <c r="G1564" s="6">
        <v>79.8</v>
      </c>
      <c r="H1564">
        <v>4</v>
      </c>
      <c r="I1564">
        <v>217</v>
      </c>
      <c r="J1564">
        <v>7</v>
      </c>
      <c r="K1564">
        <f>Fato_Producao[[#This Row],[embalagens_danificadas]]+Fato_Producao[[#This Row],[peso_errado]]+Fato_Producao[[#This Row],[impressao]]</f>
        <v>228</v>
      </c>
      <c r="L1564" s="1" t="d">
        <v>2026-04-24</v>
      </c>
      <c r="M1564">
        <v>20</v>
      </c>
      <c r="N1564" s="7">
        <v>12.77</v>
      </c>
      <c r="O1564" s="4" t="str">
        <f t="shared" si="72"/>
        <v>maio</v>
      </c>
      <c r="P1564" s="4">
        <f t="shared" si="73"/>
        <v>2026</v>
      </c>
      <c r="Q1564" s="4" t="str">
        <f t="shared" si="74"/>
        <v/>
      </c>
      <c r="R1564" t="s">
        <v>24</v>
      </c>
    </row>
    <row r="1565" spans="1:18" x14ac:dyDescent="0.3">
      <c r="A1565" s="1" t="d">
        <v>2026-05-15</v>
      </c>
      <c r="B1565">
        <v>45504</v>
      </c>
      <c r="C1565" t="str">
        <f>VLOOKUP(Fato_Producao[[#This Row],[referencia]], Dim_Produtos!A:B,2,FALSE)</f>
        <v>pescada posta fritar</v>
      </c>
      <c r="D1565">
        <v>3923</v>
      </c>
      <c r="E1565">
        <v>3694</v>
      </c>
      <c r="F1565" s="5">
        <v>5.8400000000000001E-2</v>
      </c>
      <c r="G1565" s="6">
        <v>73.28</v>
      </c>
      <c r="H1565">
        <v>8</v>
      </c>
      <c r="I1565">
        <v>218</v>
      </c>
      <c r="J1565">
        <v>3</v>
      </c>
      <c r="K1565">
        <f>Fato_Producao[[#This Row],[embalagens_danificadas]]+Fato_Producao[[#This Row],[peso_errado]]+Fato_Producao[[#This Row],[impressao]]</f>
        <v>229</v>
      </c>
      <c r="L1565" s="1" t="d">
        <v>2026-04-24</v>
      </c>
      <c r="M1565">
        <v>21</v>
      </c>
      <c r="N1565" s="7">
        <v>10.26</v>
      </c>
      <c r="O1565" s="4" t="str">
        <f t="shared" si="72"/>
        <v>maio</v>
      </c>
      <c r="P1565" s="4">
        <f t="shared" si="73"/>
        <v>2026</v>
      </c>
      <c r="Q1565" s="4" t="str">
        <f t="shared" si="74"/>
        <v/>
      </c>
      <c r="R1565" t="s">
        <v>24</v>
      </c>
    </row>
    <row r="1566" spans="1:18" x14ac:dyDescent="0.3">
      <c r="A1566" s="1" t="d">
        <v>2026-05-16</v>
      </c>
      <c r="B1566">
        <v>45508</v>
      </c>
      <c r="C1566" t="str">
        <f>VLOOKUP(Fato_Producao[[#This Row],[referencia]], Dim_Produtos!A:B,2,FALSE)</f>
        <v>lula suja</v>
      </c>
      <c r="D1566">
        <v>2531</v>
      </c>
      <c r="E1566">
        <v>2290</v>
      </c>
      <c r="F1566" s="5">
        <v>9.5200000000000007E-2</v>
      </c>
      <c r="G1566" s="6">
        <v>77.12</v>
      </c>
      <c r="H1566">
        <v>29</v>
      </c>
      <c r="I1566">
        <v>205</v>
      </c>
      <c r="J1566">
        <v>7</v>
      </c>
      <c r="K1566">
        <f>Fato_Producao[[#This Row],[embalagens_danificadas]]+Fato_Producao[[#This Row],[peso_errado]]+Fato_Producao[[#This Row],[impressao]]</f>
        <v>241</v>
      </c>
      <c r="L1566" s="1" t="d">
        <v>2026-04-24</v>
      </c>
      <c r="M1566">
        <v>22</v>
      </c>
      <c r="N1566" s="7">
        <v>10.8</v>
      </c>
      <c r="O1566" s="4" t="str">
        <f t="shared" si="72"/>
        <v>maio</v>
      </c>
      <c r="P1566" s="4">
        <f t="shared" si="73"/>
        <v>2026</v>
      </c>
      <c r="Q1566" s="4" t="str">
        <f t="shared" si="74"/>
        <v/>
      </c>
      <c r="R1566" t="s">
        <v>24</v>
      </c>
    </row>
    <row r="1567" spans="1:18" x14ac:dyDescent="0.3">
      <c r="A1567" s="1" t="d">
        <v>2026-05-16</v>
      </c>
      <c r="B1567">
        <v>45505</v>
      </c>
      <c r="C1567" t="str">
        <f>VLOOKUP(Fato_Producao[[#This Row],[referencia]], Dim_Produtos!A:B,2,FALSE)</f>
        <v>camarao</v>
      </c>
      <c r="D1567">
        <v>3996</v>
      </c>
      <c r="E1567">
        <v>3709</v>
      </c>
      <c r="F1567" s="5">
        <v>7.1800000000000003E-2</v>
      </c>
      <c r="G1567" s="6">
        <v>86.1</v>
      </c>
      <c r="H1567">
        <v>74</v>
      </c>
      <c r="I1567">
        <v>207</v>
      </c>
      <c r="J1567">
        <v>6</v>
      </c>
      <c r="K1567">
        <f>Fato_Producao[[#This Row],[embalagens_danificadas]]+Fato_Producao[[#This Row],[peso_errado]]+Fato_Producao[[#This Row],[impressao]]</f>
        <v>287</v>
      </c>
      <c r="L1567" s="1" t="d">
        <v>2026-04-24</v>
      </c>
      <c r="M1567">
        <v>22</v>
      </c>
      <c r="N1567" s="7">
        <v>12.91</v>
      </c>
      <c r="O1567" s="4" t="str">
        <f t="shared" si="72"/>
        <v>maio</v>
      </c>
      <c r="P1567" s="4">
        <f t="shared" si="73"/>
        <v>2026</v>
      </c>
      <c r="Q1567" s="4" t="str">
        <f t="shared" si="74"/>
        <v/>
      </c>
      <c r="R1567" t="s">
        <v>24</v>
      </c>
    </row>
    <row r="1568" spans="1:18" x14ac:dyDescent="0.3">
      <c r="A1568" s="1" t="d">
        <v>2026-05-17</v>
      </c>
      <c r="B1568">
        <v>45504</v>
      </c>
      <c r="C1568" t="str">
        <f>VLOOKUP(Fato_Producao[[#This Row],[referencia]], Dim_Produtos!A:B,2,FALSE)</f>
        <v>pescada posta fritar</v>
      </c>
      <c r="D1568">
        <v>3328</v>
      </c>
      <c r="E1568">
        <v>3073</v>
      </c>
      <c r="F1568" s="5">
        <v>7.6600000000000001E-2</v>
      </c>
      <c r="G1568" s="6">
        <v>81.599999999999994</v>
      </c>
      <c r="H1568">
        <v>11</v>
      </c>
      <c r="I1568">
        <v>241</v>
      </c>
      <c r="J1568">
        <v>3</v>
      </c>
      <c r="K1568">
        <f>Fato_Producao[[#This Row],[embalagens_danificadas]]+Fato_Producao[[#This Row],[peso_errado]]+Fato_Producao[[#This Row],[impressao]]</f>
        <v>255</v>
      </c>
      <c r="L1568" s="1" t="d">
        <v>2026-04-24</v>
      </c>
      <c r="M1568">
        <v>23</v>
      </c>
      <c r="N1568" s="7">
        <v>11.42</v>
      </c>
      <c r="O1568" s="4" t="str">
        <f t="shared" si="72"/>
        <v>maio</v>
      </c>
      <c r="P1568" s="4">
        <f t="shared" si="73"/>
        <v>2026</v>
      </c>
      <c r="Q1568" s="4" t="str">
        <f t="shared" si="74"/>
        <v/>
      </c>
      <c r="R1568" t="s">
        <v>24</v>
      </c>
    </row>
    <row r="1569" spans="1:18" x14ac:dyDescent="0.3">
      <c r="A1569" s="1" t="d">
        <v>2026-05-18</v>
      </c>
      <c r="B1569">
        <v>45507</v>
      </c>
      <c r="C1569" t="str">
        <f>VLOOKUP(Fato_Producao[[#This Row],[referencia]], Dim_Produtos!A:B,2,FALSE)</f>
        <v>salmao posta</v>
      </c>
      <c r="D1569">
        <v>2196</v>
      </c>
      <c r="E1569">
        <v>2059</v>
      </c>
      <c r="F1569" s="5">
        <v>6.2399999999999997E-2</v>
      </c>
      <c r="G1569" s="6">
        <v>47.95</v>
      </c>
      <c r="H1569">
        <v>7</v>
      </c>
      <c r="I1569">
        <v>127</v>
      </c>
      <c r="J1569">
        <v>3</v>
      </c>
      <c r="K1569">
        <f>Fato_Producao[[#This Row],[embalagens_danificadas]]+Fato_Producao[[#This Row],[peso_errado]]+Fato_Producao[[#This Row],[impressao]]</f>
        <v>137</v>
      </c>
      <c r="L1569" s="1" t="d">
        <v>2026-04-24</v>
      </c>
      <c r="M1569">
        <v>24</v>
      </c>
      <c r="N1569" s="7">
        <v>7.67</v>
      </c>
      <c r="O1569" s="4" t="str">
        <f t="shared" si="72"/>
        <v>maio</v>
      </c>
      <c r="P1569" s="4">
        <f t="shared" si="73"/>
        <v>2026</v>
      </c>
      <c r="Q1569" s="4" t="str">
        <f t="shared" si="74"/>
        <v/>
      </c>
      <c r="R1569" t="s">
        <v>24</v>
      </c>
    </row>
    <row r="1570" spans="1:18" x14ac:dyDescent="0.3">
      <c r="A1570" s="1" t="d">
        <v>2026-05-18</v>
      </c>
      <c r="B1570">
        <v>45502</v>
      </c>
      <c r="C1570" t="str">
        <f>VLOOKUP(Fato_Producao[[#This Row],[referencia]], Dim_Produtos!A:B,2,FALSE)</f>
        <v>carapau pelim</v>
      </c>
      <c r="D1570">
        <v>2733</v>
      </c>
      <c r="E1570">
        <v>2521</v>
      </c>
      <c r="F1570" s="5">
        <v>7.7600000000000002E-2</v>
      </c>
      <c r="G1570" s="6">
        <v>63.6</v>
      </c>
      <c r="H1570">
        <v>40</v>
      </c>
      <c r="I1570">
        <v>168</v>
      </c>
      <c r="J1570">
        <v>4</v>
      </c>
      <c r="K1570">
        <f>Fato_Producao[[#This Row],[embalagens_danificadas]]+Fato_Producao[[#This Row],[peso_errado]]+Fato_Producao[[#This Row],[impressao]]</f>
        <v>212</v>
      </c>
      <c r="L1570" s="1" t="d">
        <v>2026-04-24</v>
      </c>
      <c r="M1570">
        <v>24</v>
      </c>
      <c r="N1570" s="7">
        <v>8.27</v>
      </c>
      <c r="O1570" s="4" t="str">
        <f t="shared" si="72"/>
        <v>maio</v>
      </c>
      <c r="P1570" s="4">
        <f t="shared" si="73"/>
        <v>2026</v>
      </c>
      <c r="Q1570" s="4" t="str">
        <f t="shared" si="74"/>
        <v/>
      </c>
      <c r="R1570" t="s">
        <v>24</v>
      </c>
    </row>
    <row r="1571" spans="1:18" x14ac:dyDescent="0.3">
      <c r="A1571" s="1" t="d">
        <v>2026-05-19</v>
      </c>
      <c r="B1571">
        <v>45501</v>
      </c>
      <c r="C1571" t="str">
        <f>VLOOKUP(Fato_Producao[[#This Row],[referencia]], Dim_Produtos!A:B,2,FALSE)</f>
        <v>pescada posta cozer</v>
      </c>
      <c r="D1571">
        <v>1957</v>
      </c>
      <c r="E1571">
        <v>1844</v>
      </c>
      <c r="F1571" s="5">
        <v>5.7700000000000001E-2</v>
      </c>
      <c r="G1571" s="6">
        <v>36.159999999999997</v>
      </c>
      <c r="H1571">
        <v>5</v>
      </c>
      <c r="I1571">
        <v>106</v>
      </c>
      <c r="J1571">
        <v>2</v>
      </c>
      <c r="K1571">
        <f>Fato_Producao[[#This Row],[embalagens_danificadas]]+Fato_Producao[[#This Row],[peso_errado]]+Fato_Producao[[#This Row],[impressao]]</f>
        <v>113</v>
      </c>
      <c r="L1571" s="1" t="d">
        <v>2026-04-24</v>
      </c>
      <c r="M1571">
        <v>25</v>
      </c>
      <c r="N1571" s="7">
        <v>5.0599999999999996</v>
      </c>
      <c r="O1571" s="4" t="str">
        <f t="shared" si="72"/>
        <v>maio</v>
      </c>
      <c r="P1571" s="4">
        <f t="shared" si="73"/>
        <v>2026</v>
      </c>
      <c r="Q1571" s="4" t="str">
        <f t="shared" si="74"/>
        <v/>
      </c>
      <c r="R1571" t="s">
        <v>24</v>
      </c>
    </row>
    <row r="1572" spans="1:18" x14ac:dyDescent="0.3">
      <c r="A1572" s="1" t="d">
        <v>2026-05-19</v>
      </c>
      <c r="B1572">
        <v>45504</v>
      </c>
      <c r="C1572" t="str">
        <f>VLOOKUP(Fato_Producao[[#This Row],[referencia]], Dim_Produtos!A:B,2,FALSE)</f>
        <v>pescada posta fritar</v>
      </c>
      <c r="D1572">
        <v>2391</v>
      </c>
      <c r="E1572">
        <v>2255</v>
      </c>
      <c r="F1572" s="5">
        <v>5.6899999999999999E-2</v>
      </c>
      <c r="G1572" s="6">
        <v>43.52</v>
      </c>
      <c r="H1572">
        <v>6</v>
      </c>
      <c r="I1572">
        <v>128</v>
      </c>
      <c r="J1572">
        <v>2</v>
      </c>
      <c r="K1572">
        <f>Fato_Producao[[#This Row],[embalagens_danificadas]]+Fato_Producao[[#This Row],[peso_errado]]+Fato_Producao[[#This Row],[impressao]]</f>
        <v>136</v>
      </c>
      <c r="L1572" s="1" t="d">
        <v>2026-04-24</v>
      </c>
      <c r="M1572">
        <v>25</v>
      </c>
      <c r="N1572" s="7">
        <v>6.09</v>
      </c>
      <c r="O1572" s="4" t="str">
        <f t="shared" si="72"/>
        <v>maio</v>
      </c>
      <c r="P1572" s="4">
        <f t="shared" si="73"/>
        <v>2026</v>
      </c>
      <c r="Q1572" s="4" t="str">
        <f t="shared" si="74"/>
        <v/>
      </c>
      <c r="R1572" t="s">
        <v>24</v>
      </c>
    </row>
    <row r="1573" spans="1:18" x14ac:dyDescent="0.3">
      <c r="A1573" s="1" t="d">
        <v>2026-05-20</v>
      </c>
      <c r="B1573">
        <v>45507</v>
      </c>
      <c r="C1573" t="str">
        <f>VLOOKUP(Fato_Producao[[#This Row],[referencia]], Dim_Produtos!A:B,2,FALSE)</f>
        <v>salmao posta</v>
      </c>
      <c r="D1573">
        <v>2210</v>
      </c>
      <c r="E1573">
        <v>2088</v>
      </c>
      <c r="F1573" s="5">
        <v>5.5199999999999999E-2</v>
      </c>
      <c r="G1573" s="6">
        <v>42.7</v>
      </c>
      <c r="H1573">
        <v>6</v>
      </c>
      <c r="I1573">
        <v>115</v>
      </c>
      <c r="J1573">
        <v>1</v>
      </c>
      <c r="K1573">
        <f>Fato_Producao[[#This Row],[embalagens_danificadas]]+Fato_Producao[[#This Row],[peso_errado]]+Fato_Producao[[#This Row],[impressao]]</f>
        <v>122</v>
      </c>
      <c r="L1573" s="1" t="d">
        <v>2026-04-24</v>
      </c>
      <c r="M1573">
        <v>26</v>
      </c>
      <c r="N1573" s="7">
        <v>6.83</v>
      </c>
      <c r="O1573" s="4" t="str">
        <f t="shared" si="72"/>
        <v>maio</v>
      </c>
      <c r="P1573" s="4">
        <f t="shared" si="73"/>
        <v>2026</v>
      </c>
      <c r="Q1573" s="4" t="str">
        <f t="shared" si="74"/>
        <v/>
      </c>
      <c r="R1573" t="s">
        <v>24</v>
      </c>
    </row>
    <row r="1574" spans="1:18" x14ac:dyDescent="0.3">
      <c r="A1574" s="1" t="d">
        <v>2026-05-21</v>
      </c>
      <c r="B1574">
        <v>45508</v>
      </c>
      <c r="C1574" t="str">
        <f>VLOOKUP(Fato_Producao[[#This Row],[referencia]], Dim_Produtos!A:B,2,FALSE)</f>
        <v>lula suja</v>
      </c>
      <c r="D1574">
        <v>3617</v>
      </c>
      <c r="E1574">
        <v>3266</v>
      </c>
      <c r="F1574" s="5">
        <v>9.7000000000000003E-2</v>
      </c>
      <c r="G1574" s="6">
        <v>112.32</v>
      </c>
      <c r="H1574">
        <v>42</v>
      </c>
      <c r="I1574">
        <v>299</v>
      </c>
      <c r="J1574">
        <v>10</v>
      </c>
      <c r="K1574">
        <f>Fato_Producao[[#This Row],[embalagens_danificadas]]+Fato_Producao[[#This Row],[peso_errado]]+Fato_Producao[[#This Row],[impressao]]</f>
        <v>351</v>
      </c>
      <c r="L1574" s="1" t="d">
        <v>2026-04-24</v>
      </c>
      <c r="M1574">
        <v>27</v>
      </c>
      <c r="N1574" s="7">
        <v>15.72</v>
      </c>
      <c r="O1574" s="4" t="str">
        <f t="shared" si="72"/>
        <v>maio</v>
      </c>
      <c r="P1574" s="4">
        <f t="shared" si="73"/>
        <v>2026</v>
      </c>
      <c r="Q1574" s="4" t="str">
        <f t="shared" si="74"/>
        <v/>
      </c>
      <c r="R1574" t="s">
        <v>24</v>
      </c>
    </row>
    <row r="1575" spans="1:18" x14ac:dyDescent="0.3">
      <c r="A1575" s="1" t="d">
        <v>2026-05-21</v>
      </c>
      <c r="B1575">
        <v>45505</v>
      </c>
      <c r="C1575" t="str">
        <f>VLOOKUP(Fato_Producao[[#This Row],[referencia]], Dim_Produtos!A:B,2,FALSE)</f>
        <v>camarao</v>
      </c>
      <c r="D1575">
        <v>3786</v>
      </c>
      <c r="E1575">
        <v>3509</v>
      </c>
      <c r="F1575" s="5">
        <v>7.3200000000000001E-2</v>
      </c>
      <c r="G1575" s="6">
        <v>83.1</v>
      </c>
      <c r="H1575">
        <v>50</v>
      </c>
      <c r="I1575">
        <v>223</v>
      </c>
      <c r="J1575">
        <v>4</v>
      </c>
      <c r="K1575">
        <f>Fato_Producao[[#This Row],[embalagens_danificadas]]+Fato_Producao[[#This Row],[peso_errado]]+Fato_Producao[[#This Row],[impressao]]</f>
        <v>277</v>
      </c>
      <c r="L1575" s="1" t="d">
        <v>2026-04-24</v>
      </c>
      <c r="M1575">
        <v>27</v>
      </c>
      <c r="N1575" s="7">
        <v>12.46</v>
      </c>
      <c r="O1575" s="4" t="str">
        <f t="shared" si="72"/>
        <v>maio</v>
      </c>
      <c r="P1575" s="4">
        <f t="shared" si="73"/>
        <v>2026</v>
      </c>
      <c r="Q1575" s="4" t="str">
        <f t="shared" si="74"/>
        <v/>
      </c>
      <c r="R1575" t="s">
        <v>24</v>
      </c>
    </row>
    <row r="1576" spans="1:18" x14ac:dyDescent="0.3">
      <c r="A1576" s="1" t="d">
        <v>2026-05-22</v>
      </c>
      <c r="B1576">
        <v>45507</v>
      </c>
      <c r="C1576" t="str">
        <f>VLOOKUP(Fato_Producao[[#This Row],[referencia]], Dim_Produtos!A:B,2,FALSE)</f>
        <v>salmao posta</v>
      </c>
      <c r="D1576">
        <v>2590</v>
      </c>
      <c r="E1576">
        <v>2447</v>
      </c>
      <c r="F1576" s="5">
        <v>5.5199999999999999E-2</v>
      </c>
      <c r="G1576" s="6">
        <v>50.05</v>
      </c>
      <c r="H1576">
        <v>10</v>
      </c>
      <c r="I1576">
        <v>131</v>
      </c>
      <c r="J1576">
        <v>2</v>
      </c>
      <c r="K1576">
        <f>Fato_Producao[[#This Row],[embalagens_danificadas]]+Fato_Producao[[#This Row],[peso_errado]]+Fato_Producao[[#This Row],[impressao]]</f>
        <v>143</v>
      </c>
      <c r="L1576" s="1" t="d">
        <v>2026-04-24</v>
      </c>
      <c r="M1576">
        <v>28</v>
      </c>
      <c r="N1576" s="7">
        <v>8.01</v>
      </c>
      <c r="O1576" s="4" t="str">
        <f t="shared" si="72"/>
        <v>maio</v>
      </c>
      <c r="P1576" s="4">
        <f t="shared" si="73"/>
        <v>2026</v>
      </c>
      <c r="Q1576" s="4" t="str">
        <f t="shared" si="74"/>
        <v/>
      </c>
      <c r="R1576" t="s">
        <v>24</v>
      </c>
    </row>
    <row r="1577" spans="1:18" x14ac:dyDescent="0.3">
      <c r="A1577" s="1" t="d">
        <v>2026-05-23</v>
      </c>
      <c r="B1577">
        <v>45501</v>
      </c>
      <c r="C1577" t="str">
        <f>VLOOKUP(Fato_Producao[[#This Row],[referencia]], Dim_Produtos!A:B,2,FALSE)</f>
        <v>pescada posta cozer</v>
      </c>
      <c r="D1577">
        <v>4052</v>
      </c>
      <c r="E1577">
        <v>3663</v>
      </c>
      <c r="F1577" s="5">
        <v>9.6000000000000002E-2</v>
      </c>
      <c r="G1577" s="6">
        <v>124.48</v>
      </c>
      <c r="H1577">
        <v>14</v>
      </c>
      <c r="I1577">
        <v>366</v>
      </c>
      <c r="J1577">
        <v>9</v>
      </c>
      <c r="K1577">
        <f>Fato_Producao[[#This Row],[embalagens_danificadas]]+Fato_Producao[[#This Row],[peso_errado]]+Fato_Producao[[#This Row],[impressao]]</f>
        <v>389</v>
      </c>
      <c r="L1577" s="1" t="d">
        <v>2026-04-24</v>
      </c>
      <c r="M1577">
        <v>29</v>
      </c>
      <c r="N1577" s="7">
        <v>17.43</v>
      </c>
      <c r="O1577" s="4" t="str">
        <f t="shared" si="72"/>
        <v>maio</v>
      </c>
      <c r="P1577" s="4">
        <f t="shared" si="73"/>
        <v>2026</v>
      </c>
      <c r="Q1577" s="4" t="str">
        <f t="shared" si="74"/>
        <v/>
      </c>
      <c r="R1577" t="s">
        <v>24</v>
      </c>
    </row>
    <row r="1578" spans="1:18" x14ac:dyDescent="0.3">
      <c r="A1578" s="1" t="d">
        <v>2026-05-24</v>
      </c>
      <c r="B1578">
        <v>45502</v>
      </c>
      <c r="C1578" t="str">
        <f>VLOOKUP(Fato_Producao[[#This Row],[referencia]], Dim_Produtos!A:B,2,FALSE)</f>
        <v>carapau pelim</v>
      </c>
      <c r="D1578">
        <v>2422</v>
      </c>
      <c r="E1578">
        <v>2208</v>
      </c>
      <c r="F1578" s="5">
        <v>8.8400000000000006E-2</v>
      </c>
      <c r="G1578" s="6">
        <v>64.2</v>
      </c>
      <c r="H1578">
        <v>56</v>
      </c>
      <c r="I1578">
        <v>150</v>
      </c>
      <c r="J1578">
        <v>8</v>
      </c>
      <c r="K1578">
        <f>Fato_Producao[[#This Row],[embalagens_danificadas]]+Fato_Producao[[#This Row],[peso_errado]]+Fato_Producao[[#This Row],[impressao]]</f>
        <v>214</v>
      </c>
      <c r="L1578" s="1" t="d">
        <v>2026-04-24</v>
      </c>
      <c r="M1578">
        <v>30</v>
      </c>
      <c r="N1578" s="7">
        <v>8.35</v>
      </c>
      <c r="O1578" s="4" t="str">
        <f t="shared" si="72"/>
        <v>maio</v>
      </c>
      <c r="P1578" s="4">
        <f t="shared" si="73"/>
        <v>2026</v>
      </c>
      <c r="Q1578" s="4" t="str">
        <f t="shared" si="74"/>
        <v/>
      </c>
      <c r="R1578" t="s">
        <v>24</v>
      </c>
    </row>
    <row r="1579" spans="1:18" x14ac:dyDescent="0.3">
      <c r="A1579" s="1" t="d">
        <v>2026-05-24</v>
      </c>
      <c r="B1579">
        <v>45501</v>
      </c>
      <c r="C1579" t="str">
        <f>VLOOKUP(Fato_Producao[[#This Row],[referencia]], Dim_Produtos!A:B,2,FALSE)</f>
        <v>pescada posta cozer</v>
      </c>
      <c r="D1579">
        <v>2974</v>
      </c>
      <c r="E1579">
        <v>2730</v>
      </c>
      <c r="F1579" s="5">
        <v>8.2000000000000003E-2</v>
      </c>
      <c r="G1579" s="6">
        <v>78.08</v>
      </c>
      <c r="H1579">
        <v>11</v>
      </c>
      <c r="I1579">
        <v>227</v>
      </c>
      <c r="J1579">
        <v>6</v>
      </c>
      <c r="K1579">
        <f>Fato_Producao[[#This Row],[embalagens_danificadas]]+Fato_Producao[[#This Row],[peso_errado]]+Fato_Producao[[#This Row],[impressao]]</f>
        <v>244</v>
      </c>
      <c r="L1579" s="1" t="d">
        <v>2026-04-24</v>
      </c>
      <c r="M1579">
        <v>30</v>
      </c>
      <c r="N1579" s="7">
        <v>10.93</v>
      </c>
      <c r="O1579" s="4" t="str">
        <f t="shared" si="72"/>
        <v>maio</v>
      </c>
      <c r="P1579" s="4">
        <f t="shared" si="73"/>
        <v>2026</v>
      </c>
      <c r="Q1579" s="4" t="str">
        <f t="shared" si="74"/>
        <v/>
      </c>
      <c r="R1579" t="s">
        <v>24</v>
      </c>
    </row>
    <row r="1580" spans="1:18" x14ac:dyDescent="0.3">
      <c r="A1580" s="1" t="d">
        <v>2026-05-25</v>
      </c>
      <c r="B1580">
        <v>45506</v>
      </c>
      <c r="C1580" t="str">
        <f>VLOOKUP(Fato_Producao[[#This Row],[referencia]], Dim_Produtos!A:B,2,FALSE)</f>
        <v>perca posta</v>
      </c>
      <c r="D1580">
        <v>2039</v>
      </c>
      <c r="E1580">
        <v>1926</v>
      </c>
      <c r="F1580" s="5">
        <v>5.5399999999999998E-2</v>
      </c>
      <c r="G1580" s="6">
        <v>39.549999999999997</v>
      </c>
      <c r="H1580">
        <v>6</v>
      </c>
      <c r="I1580">
        <v>105</v>
      </c>
      <c r="J1580">
        <v>2</v>
      </c>
      <c r="K1580">
        <f>Fato_Producao[[#This Row],[embalagens_danificadas]]+Fato_Producao[[#This Row],[peso_errado]]+Fato_Producao[[#This Row],[impressao]]</f>
        <v>113</v>
      </c>
      <c r="L1580" s="1" t="d">
        <v>2026-04-24</v>
      </c>
      <c r="M1580">
        <v>31</v>
      </c>
      <c r="N1580" s="7">
        <v>5.93</v>
      </c>
      <c r="O1580" s="4" t="str">
        <f t="shared" si="72"/>
        <v>maio</v>
      </c>
      <c r="P1580" s="4">
        <f t="shared" si="73"/>
        <v>2026</v>
      </c>
      <c r="Q1580" s="4" t="str">
        <f t="shared" si="74"/>
        <v/>
      </c>
      <c r="R1580" t="s">
        <v>24</v>
      </c>
    </row>
    <row r="1581" spans="1:18" x14ac:dyDescent="0.3">
      <c r="A1581" s="1" t="d">
        <v>2026-05-25</v>
      </c>
      <c r="B1581">
        <v>45511</v>
      </c>
      <c r="C1581" t="str">
        <f>VLOOKUP(Fato_Producao[[#This Row],[referencia]], Dim_Produtos!A:B,2,FALSE)</f>
        <v>lula limpa</v>
      </c>
      <c r="D1581">
        <v>3641</v>
      </c>
      <c r="E1581">
        <v>3275</v>
      </c>
      <c r="F1581" s="5">
        <v>0.10050000000000001</v>
      </c>
      <c r="G1581" s="6">
        <v>117.12</v>
      </c>
      <c r="H1581">
        <v>42</v>
      </c>
      <c r="I1581">
        <v>315</v>
      </c>
      <c r="J1581">
        <v>9</v>
      </c>
      <c r="K1581">
        <f>Fato_Producao[[#This Row],[embalagens_danificadas]]+Fato_Producao[[#This Row],[peso_errado]]+Fato_Producao[[#This Row],[impressao]]</f>
        <v>366</v>
      </c>
      <c r="L1581" s="1" t="d">
        <v>2026-04-24</v>
      </c>
      <c r="M1581">
        <v>31</v>
      </c>
      <c r="N1581" s="7">
        <v>16.399999999999999</v>
      </c>
      <c r="O1581" s="4" t="str">
        <f t="shared" si="72"/>
        <v>maio</v>
      </c>
      <c r="P1581" s="4">
        <f t="shared" si="73"/>
        <v>2026</v>
      </c>
      <c r="Q1581" s="4" t="str">
        <f t="shared" si="74"/>
        <v/>
      </c>
      <c r="R1581" t="s">
        <v>24</v>
      </c>
    </row>
    <row r="1582" spans="1:18" x14ac:dyDescent="0.3">
      <c r="A1582" s="1" t="d">
        <v>2026-05-26</v>
      </c>
      <c r="B1582">
        <v>45503</v>
      </c>
      <c r="C1582" t="str">
        <f>VLOOKUP(Fato_Producao[[#This Row],[referencia]], Dim_Produtos!A:B,2,FALSE)</f>
        <v>sardinha pequena</v>
      </c>
      <c r="D1582">
        <v>2175</v>
      </c>
      <c r="E1582">
        <v>1974</v>
      </c>
      <c r="F1582" s="5">
        <v>9.2399999999999996E-2</v>
      </c>
      <c r="G1582" s="6">
        <v>52.26</v>
      </c>
      <c r="H1582">
        <v>8</v>
      </c>
      <c r="I1582">
        <v>190</v>
      </c>
      <c r="J1582">
        <v>3</v>
      </c>
      <c r="K1582">
        <f>Fato_Producao[[#This Row],[embalagens_danificadas]]+Fato_Producao[[#This Row],[peso_errado]]+Fato_Producao[[#This Row],[impressao]]</f>
        <v>201</v>
      </c>
      <c r="L1582" s="1" t="d">
        <v>2026-04-24</v>
      </c>
      <c r="M1582">
        <v>32</v>
      </c>
      <c r="N1582" s="7">
        <v>5.75</v>
      </c>
      <c r="O1582" s="4" t="str">
        <f t="shared" si="72"/>
        <v>maio</v>
      </c>
      <c r="P1582" s="4">
        <f t="shared" si="73"/>
        <v>2026</v>
      </c>
      <c r="Q1582" s="4" t="str">
        <f t="shared" si="74"/>
        <v/>
      </c>
      <c r="R1582" t="s">
        <v>24</v>
      </c>
    </row>
    <row r="1583" spans="1:18" x14ac:dyDescent="0.3">
      <c r="A1583" s="1" t="d">
        <v>2026-05-27</v>
      </c>
      <c r="B1583">
        <v>45500</v>
      </c>
      <c r="C1583" t="str">
        <f>VLOOKUP(Fato_Producao[[#This Row],[referencia]], Dim_Produtos!A:B,2,FALSE)</f>
        <v>filete pescada</v>
      </c>
      <c r="D1583">
        <v>3665</v>
      </c>
      <c r="E1583">
        <v>3465</v>
      </c>
      <c r="F1583" s="5">
        <v>5.4600000000000003E-2</v>
      </c>
      <c r="G1583" s="6">
        <v>56</v>
      </c>
      <c r="H1583">
        <v>9</v>
      </c>
      <c r="I1583">
        <v>187</v>
      </c>
      <c r="J1583">
        <v>4</v>
      </c>
      <c r="K1583">
        <f>Fato_Producao[[#This Row],[embalagens_danificadas]]+Fato_Producao[[#This Row],[peso_errado]]+Fato_Producao[[#This Row],[impressao]]</f>
        <v>200</v>
      </c>
      <c r="L1583" s="1" t="d">
        <v>2026-04-24</v>
      </c>
      <c r="M1583">
        <v>33</v>
      </c>
      <c r="N1583" s="7">
        <v>6.72</v>
      </c>
      <c r="O1583" s="4" t="str">
        <f t="shared" si="72"/>
        <v>maio</v>
      </c>
      <c r="P1583" s="4">
        <f t="shared" si="73"/>
        <v>2026</v>
      </c>
      <c r="Q1583" s="4" t="str">
        <f t="shared" si="74"/>
        <v/>
      </c>
      <c r="R1583" t="s">
        <v>24</v>
      </c>
    </row>
    <row r="1584" spans="1:18" x14ac:dyDescent="0.3">
      <c r="A1584" s="1" t="d">
        <v>2026-05-27</v>
      </c>
      <c r="B1584">
        <v>45512</v>
      </c>
      <c r="C1584" t="str">
        <f>VLOOKUP(Fato_Producao[[#This Row],[referencia]], Dim_Produtos!A:B,2,FALSE)</f>
        <v>red-fish posta</v>
      </c>
      <c r="D1584">
        <v>3822</v>
      </c>
      <c r="E1584">
        <v>3577</v>
      </c>
      <c r="F1584" s="5">
        <v>6.4100000000000004E-2</v>
      </c>
      <c r="G1584" s="6">
        <v>83.3</v>
      </c>
      <c r="H1584">
        <v>8</v>
      </c>
      <c r="I1584">
        <v>230</v>
      </c>
      <c r="J1584">
        <v>7</v>
      </c>
      <c r="K1584">
        <f>Fato_Producao[[#This Row],[embalagens_danificadas]]+Fato_Producao[[#This Row],[peso_errado]]+Fato_Producao[[#This Row],[impressao]]</f>
        <v>245</v>
      </c>
      <c r="L1584" s="1" t="d">
        <v>2026-04-24</v>
      </c>
      <c r="M1584">
        <v>33</v>
      </c>
      <c r="N1584" s="7">
        <v>11.66</v>
      </c>
      <c r="O1584" s="4" t="str">
        <f t="shared" si="72"/>
        <v>maio</v>
      </c>
      <c r="P1584" s="4">
        <f t="shared" si="73"/>
        <v>2026</v>
      </c>
      <c r="Q1584" s="4" t="str">
        <f t="shared" si="74"/>
        <v/>
      </c>
      <c r="R1584" t="s">
        <v>24</v>
      </c>
    </row>
    <row r="1585" spans="1:18" x14ac:dyDescent="0.3">
      <c r="A1585" s="1" t="d">
        <v>2026-05-28</v>
      </c>
      <c r="B1585">
        <v>45508</v>
      </c>
      <c r="C1585" t="str">
        <f>VLOOKUP(Fato_Producao[[#This Row],[referencia]], Dim_Produtos!A:B,2,FALSE)</f>
        <v>lula suja</v>
      </c>
      <c r="D1585">
        <v>4046</v>
      </c>
      <c r="E1585">
        <v>3665</v>
      </c>
      <c r="F1585" s="5">
        <v>9.4200000000000006E-2</v>
      </c>
      <c r="G1585" s="6">
        <v>121.92</v>
      </c>
      <c r="H1585">
        <v>44</v>
      </c>
      <c r="I1585">
        <v>327</v>
      </c>
      <c r="J1585">
        <v>10</v>
      </c>
      <c r="K1585">
        <f>Fato_Producao[[#This Row],[embalagens_danificadas]]+Fato_Producao[[#This Row],[peso_errado]]+Fato_Producao[[#This Row],[impressao]]</f>
        <v>381</v>
      </c>
      <c r="L1585" s="1" t="d">
        <v>2026-04-24</v>
      </c>
      <c r="M1585">
        <v>34</v>
      </c>
      <c r="N1585" s="7">
        <v>17.07</v>
      </c>
      <c r="O1585" s="4" t="str">
        <f t="shared" si="72"/>
        <v>maio</v>
      </c>
      <c r="P1585" s="4">
        <f t="shared" si="73"/>
        <v>2026</v>
      </c>
      <c r="Q1585" s="4" t="str">
        <f t="shared" si="74"/>
        <v/>
      </c>
      <c r="R1585" t="s">
        <v>24</v>
      </c>
    </row>
    <row r="1586" spans="1:18" x14ac:dyDescent="0.3">
      <c r="A1586" s="1" t="d">
        <v>2026-05-28</v>
      </c>
      <c r="B1586">
        <v>45514</v>
      </c>
      <c r="C1586" t="str">
        <f>VLOOKUP(Fato_Producao[[#This Row],[referencia]], Dim_Produtos!A:B,2,FALSE)</f>
        <v>sardinha pequena</v>
      </c>
      <c r="D1586">
        <v>2694</v>
      </c>
      <c r="E1586">
        <v>2494</v>
      </c>
      <c r="F1586" s="5">
        <v>7.4200000000000002E-2</v>
      </c>
      <c r="G1586" s="6">
        <v>60</v>
      </c>
      <c r="H1586">
        <v>9</v>
      </c>
      <c r="I1586">
        <v>185</v>
      </c>
      <c r="J1586">
        <v>6</v>
      </c>
      <c r="K1586">
        <f>Fato_Producao[[#This Row],[embalagens_danificadas]]+Fato_Producao[[#This Row],[peso_errado]]+Fato_Producao[[#This Row],[impressao]]</f>
        <v>200</v>
      </c>
      <c r="L1586" s="1" t="d">
        <v>2026-04-24</v>
      </c>
      <c r="M1586">
        <v>34</v>
      </c>
      <c r="N1586" s="7">
        <v>7.2</v>
      </c>
      <c r="O1586" s="4" t="str">
        <f t="shared" si="72"/>
        <v>maio</v>
      </c>
      <c r="P1586" s="4">
        <f t="shared" si="73"/>
        <v>2026</v>
      </c>
      <c r="Q1586" s="4" t="str">
        <f t="shared" si="74"/>
        <v/>
      </c>
      <c r="R1586" t="s">
        <v>24</v>
      </c>
    </row>
    <row r="1587" spans="1:18" x14ac:dyDescent="0.3">
      <c r="A1587" s="1" t="d">
        <v>2026-05-29</v>
      </c>
      <c r="B1587">
        <v>45502</v>
      </c>
      <c r="C1587" t="str">
        <f>VLOOKUP(Fato_Producao[[#This Row],[referencia]], Dim_Produtos!A:B,2,FALSE)</f>
        <v>carapau pelim</v>
      </c>
      <c r="D1587">
        <v>3239</v>
      </c>
      <c r="E1587">
        <v>2931</v>
      </c>
      <c r="F1587" s="5">
        <v>9.5100000000000004E-2</v>
      </c>
      <c r="G1587" s="6">
        <v>92.4</v>
      </c>
      <c r="H1587">
        <v>85</v>
      </c>
      <c r="I1587">
        <v>217</v>
      </c>
      <c r="J1587">
        <v>6</v>
      </c>
      <c r="K1587">
        <f>Fato_Producao[[#This Row],[embalagens_danificadas]]+Fato_Producao[[#This Row],[peso_errado]]+Fato_Producao[[#This Row],[impressao]]</f>
        <v>308</v>
      </c>
      <c r="L1587" s="1" t="d">
        <v>2026-04-24</v>
      </c>
      <c r="M1587">
        <v>35</v>
      </c>
      <c r="N1587" s="7">
        <v>12.01</v>
      </c>
      <c r="O1587" s="4" t="str">
        <f t="shared" si="72"/>
        <v>maio</v>
      </c>
      <c r="P1587" s="4">
        <f t="shared" si="73"/>
        <v>2026</v>
      </c>
      <c r="Q1587" s="4" t="str">
        <f t="shared" si="74"/>
        <v/>
      </c>
      <c r="R1587" t="s">
        <v>24</v>
      </c>
    </row>
    <row r="1588" spans="1:18" x14ac:dyDescent="0.3">
      <c r="A1588" s="1" t="d">
        <v>2026-05-29</v>
      </c>
      <c r="B1588">
        <v>45506</v>
      </c>
      <c r="C1588" t="str">
        <f>VLOOKUP(Fato_Producao[[#This Row],[referencia]], Dim_Produtos!A:B,2,FALSE)</f>
        <v>perca posta</v>
      </c>
      <c r="D1588">
        <v>1920</v>
      </c>
      <c r="E1588">
        <v>1772</v>
      </c>
      <c r="F1588" s="5">
        <v>7.7100000000000002E-2</v>
      </c>
      <c r="G1588" s="6">
        <v>51.8</v>
      </c>
      <c r="H1588">
        <v>3</v>
      </c>
      <c r="I1588">
        <v>141</v>
      </c>
      <c r="J1588">
        <v>4</v>
      </c>
      <c r="K1588">
        <f>Fato_Producao[[#This Row],[embalagens_danificadas]]+Fato_Producao[[#This Row],[peso_errado]]+Fato_Producao[[#This Row],[impressao]]</f>
        <v>148</v>
      </c>
      <c r="L1588" s="1" t="d">
        <v>2026-04-24</v>
      </c>
      <c r="M1588">
        <v>35</v>
      </c>
      <c r="N1588" s="7">
        <v>7.77</v>
      </c>
      <c r="O1588" s="4" t="str">
        <f t="shared" si="72"/>
        <v>maio</v>
      </c>
      <c r="P1588" s="4">
        <f t="shared" si="73"/>
        <v>2026</v>
      </c>
      <c r="Q1588" s="4" t="str">
        <f t="shared" si="74"/>
        <v/>
      </c>
      <c r="R1588" t="s">
        <v>24</v>
      </c>
    </row>
    <row r="1589" spans="1:18" x14ac:dyDescent="0.3">
      <c r="A1589" s="1" t="d">
        <v>2026-05-30</v>
      </c>
      <c r="B1589">
        <v>45508</v>
      </c>
      <c r="C1589" t="str">
        <f>VLOOKUP(Fato_Producao[[#This Row],[referencia]], Dim_Produtos!A:B,2,FALSE)</f>
        <v>lula suja</v>
      </c>
      <c r="D1589">
        <v>2617</v>
      </c>
      <c r="E1589">
        <v>2339</v>
      </c>
      <c r="F1589" s="5">
        <v>0.1062</v>
      </c>
      <c r="G1589" s="6">
        <v>88.96</v>
      </c>
      <c r="H1589">
        <v>27</v>
      </c>
      <c r="I1589">
        <v>244</v>
      </c>
      <c r="J1589">
        <v>7</v>
      </c>
      <c r="K1589">
        <f>Fato_Producao[[#This Row],[embalagens_danificadas]]+Fato_Producao[[#This Row],[peso_errado]]+Fato_Producao[[#This Row],[impressao]]</f>
        <v>278</v>
      </c>
      <c r="L1589" s="1" t="d">
        <v>2026-04-24</v>
      </c>
      <c r="M1589">
        <v>36</v>
      </c>
      <c r="N1589" s="7">
        <v>12.45</v>
      </c>
      <c r="O1589" s="4" t="str">
        <f t="shared" si="72"/>
        <v>maio</v>
      </c>
      <c r="P1589" s="4">
        <f t="shared" si="73"/>
        <v>2026</v>
      </c>
      <c r="Q1589" s="4" t="str">
        <f t="shared" si="74"/>
        <v/>
      </c>
      <c r="R1589" t="s">
        <v>24</v>
      </c>
    </row>
    <row r="1590" spans="1:18" x14ac:dyDescent="0.3">
      <c r="A1590" s="1" t="d">
        <v>2026-05-31</v>
      </c>
      <c r="B1590">
        <v>45501</v>
      </c>
      <c r="C1590" t="str">
        <f>VLOOKUP(Fato_Producao[[#This Row],[referencia]], Dim_Produtos!A:B,2,FALSE)</f>
        <v>pescada posta cozer</v>
      </c>
      <c r="D1590">
        <v>2837</v>
      </c>
      <c r="E1590">
        <v>2596</v>
      </c>
      <c r="F1590" s="5">
        <v>8.4900000000000003E-2</v>
      </c>
      <c r="G1590" s="6">
        <v>77.12</v>
      </c>
      <c r="H1590">
        <v>15</v>
      </c>
      <c r="I1590">
        <v>220</v>
      </c>
      <c r="J1590">
        <v>6</v>
      </c>
      <c r="K1590">
        <f>Fato_Producao[[#This Row],[embalagens_danificadas]]+Fato_Producao[[#This Row],[peso_errado]]+Fato_Producao[[#This Row],[impressao]]</f>
        <v>241</v>
      </c>
      <c r="L1590" s="1" t="d">
        <v>2026-04-24</v>
      </c>
      <c r="M1590">
        <v>37</v>
      </c>
      <c r="N1590" s="7">
        <v>10.8</v>
      </c>
      <c r="O1590" s="4" t="str">
        <f t="shared" si="72"/>
        <v>maio</v>
      </c>
      <c r="P1590" s="4">
        <f t="shared" si="73"/>
        <v>2026</v>
      </c>
      <c r="Q1590" s="4" t="str">
        <f t="shared" si="74"/>
        <v/>
      </c>
      <c r="R1590" t="s">
        <v>24</v>
      </c>
    </row>
    <row r="1591" spans="1:18" x14ac:dyDescent="0.3">
      <c r="A1591" s="1" t="d">
        <v>2026-05-31</v>
      </c>
      <c r="B1591">
        <v>45505</v>
      </c>
      <c r="C1591" t="str">
        <f>VLOOKUP(Fato_Producao[[#This Row],[referencia]], Dim_Produtos!A:B,2,FALSE)</f>
        <v>camarao</v>
      </c>
      <c r="D1591">
        <v>2955</v>
      </c>
      <c r="E1591">
        <v>2712</v>
      </c>
      <c r="F1591" s="5">
        <v>8.2199999999999995E-2</v>
      </c>
      <c r="G1591" s="6">
        <v>72.900000000000006</v>
      </c>
      <c r="H1591">
        <v>60</v>
      </c>
      <c r="I1591">
        <v>180</v>
      </c>
      <c r="J1591">
        <v>3</v>
      </c>
      <c r="K1591">
        <f>Fato_Producao[[#This Row],[embalagens_danificadas]]+Fato_Producao[[#This Row],[peso_errado]]+Fato_Producao[[#This Row],[impressao]]</f>
        <v>243</v>
      </c>
      <c r="L1591" s="1" t="d">
        <v>2026-04-24</v>
      </c>
      <c r="M1591">
        <v>37</v>
      </c>
      <c r="N1591" s="7">
        <v>10.94</v>
      </c>
      <c r="O1591" s="4" t="str">
        <f t="shared" si="72"/>
        <v>maio</v>
      </c>
      <c r="P1591" s="4">
        <f t="shared" si="73"/>
        <v>2026</v>
      </c>
      <c r="Q1591" s="4" t="str">
        <f t="shared" si="74"/>
        <v/>
      </c>
      <c r="R1591" t="s">
        <v>24</v>
      </c>
    </row>
    <row r="1592" spans="1:18" x14ac:dyDescent="0.3">
      <c r="A1592" s="1" t="d">
        <v>2026-06-01</v>
      </c>
      <c r="B1592">
        <v>45507</v>
      </c>
      <c r="C1592" t="str">
        <f>VLOOKUP(Fato_Producao[[#This Row],[referencia]], Dim_Produtos!A:B,2,FALSE)</f>
        <v>salmao posta</v>
      </c>
      <c r="D1592">
        <v>4093</v>
      </c>
      <c r="E1592">
        <v>3872</v>
      </c>
      <c r="F1592" s="5">
        <v>5.3999999999999999E-2</v>
      </c>
      <c r="G1592" s="6">
        <v>77.349999999999994</v>
      </c>
      <c r="H1592">
        <v>7</v>
      </c>
      <c r="I1592">
        <v>208</v>
      </c>
      <c r="J1592">
        <v>6</v>
      </c>
      <c r="K1592">
        <f>Fato_Producao[[#This Row],[embalagens_danificadas]]+Fato_Producao[[#This Row],[peso_errado]]+Fato_Producao[[#This Row],[impressao]]</f>
        <v>221</v>
      </c>
      <c r="L1592" s="1" t="d">
        <v>2026-04-24</v>
      </c>
      <c r="M1592">
        <v>38</v>
      </c>
      <c r="N1592" s="7">
        <v>12.38</v>
      </c>
      <c r="O1592" s="4" t="str">
        <f t="shared" si="72"/>
        <v>junho</v>
      </c>
      <c r="P1592" s="4">
        <f t="shared" si="73"/>
        <v>2026</v>
      </c>
      <c r="Q1592" s="4" t="str">
        <f t="shared" si="74"/>
        <v/>
      </c>
      <c r="R1592" t="s">
        <v>24</v>
      </c>
    </row>
    <row r="1593" spans="1:18" x14ac:dyDescent="0.3">
      <c r="A1593" s="1" t="d">
        <v>2026-06-01</v>
      </c>
      <c r="B1593">
        <v>45506</v>
      </c>
      <c r="C1593" t="str">
        <f>VLOOKUP(Fato_Producao[[#This Row],[referencia]], Dim_Produtos!A:B,2,FALSE)</f>
        <v>perca posta</v>
      </c>
      <c r="D1593">
        <v>3855</v>
      </c>
      <c r="E1593">
        <v>3506</v>
      </c>
      <c r="F1593" s="5">
        <v>9.0499999999999997E-2</v>
      </c>
      <c r="G1593" s="6">
        <v>122.15</v>
      </c>
      <c r="H1593">
        <v>27</v>
      </c>
      <c r="I1593">
        <v>318</v>
      </c>
      <c r="J1593">
        <v>4</v>
      </c>
      <c r="K1593">
        <f>Fato_Producao[[#This Row],[embalagens_danificadas]]+Fato_Producao[[#This Row],[peso_errado]]+Fato_Producao[[#This Row],[impressao]]</f>
        <v>349</v>
      </c>
      <c r="L1593" s="1" t="d">
        <v>2026-04-24</v>
      </c>
      <c r="M1593">
        <v>38</v>
      </c>
      <c r="N1593" s="7">
        <v>18.32</v>
      </c>
      <c r="O1593" s="4" t="str">
        <f t="shared" si="72"/>
        <v>junho</v>
      </c>
      <c r="P1593" s="4">
        <f t="shared" si="73"/>
        <v>2026</v>
      </c>
      <c r="Q1593" s="4" t="str">
        <f t="shared" si="74"/>
        <v/>
      </c>
      <c r="R1593" t="s">
        <v>24</v>
      </c>
    </row>
    <row r="1594" spans="1:18" x14ac:dyDescent="0.3">
      <c r="A1594" s="1" t="d">
        <v>2026-06-02</v>
      </c>
      <c r="B1594">
        <v>45512</v>
      </c>
      <c r="C1594" t="str">
        <f>VLOOKUP(Fato_Producao[[#This Row],[referencia]], Dim_Produtos!A:B,2,FALSE)</f>
        <v>red-fish posta</v>
      </c>
      <c r="D1594">
        <v>3422</v>
      </c>
      <c r="E1594">
        <v>3213</v>
      </c>
      <c r="F1594" s="5">
        <v>6.1100000000000002E-2</v>
      </c>
      <c r="G1594" s="6">
        <v>71.06</v>
      </c>
      <c r="H1594">
        <v>8</v>
      </c>
      <c r="I1594">
        <v>195</v>
      </c>
      <c r="J1594">
        <v>6</v>
      </c>
      <c r="K1594">
        <f>Fato_Producao[[#This Row],[embalagens_danificadas]]+Fato_Producao[[#This Row],[peso_errado]]+Fato_Producao[[#This Row],[impressao]]</f>
        <v>209</v>
      </c>
      <c r="L1594" s="1" t="d">
        <v>2026-04-24</v>
      </c>
      <c r="M1594">
        <v>39</v>
      </c>
      <c r="N1594" s="7">
        <v>9.9499999999999993</v>
      </c>
      <c r="O1594" s="4" t="str">
        <f t="shared" si="72"/>
        <v>junho</v>
      </c>
      <c r="P1594" s="4">
        <f t="shared" si="73"/>
        <v>2026</v>
      </c>
      <c r="Q1594" s="4" t="str">
        <f t="shared" si="74"/>
        <v/>
      </c>
      <c r="R1594" t="s">
        <v>24</v>
      </c>
    </row>
    <row r="1595" spans="1:18" x14ac:dyDescent="0.3">
      <c r="A1595" s="1" t="d">
        <v>2026-06-02</v>
      </c>
      <c r="B1595">
        <v>45501</v>
      </c>
      <c r="C1595" t="str">
        <f>VLOOKUP(Fato_Producao[[#This Row],[referencia]], Dim_Produtos!A:B,2,FALSE)</f>
        <v>pescada posta cozer</v>
      </c>
      <c r="D1595">
        <v>3591</v>
      </c>
      <c r="E1595">
        <v>3282</v>
      </c>
      <c r="F1595" s="5">
        <v>8.5999999999999993E-2</v>
      </c>
      <c r="G1595" s="6">
        <v>98.88</v>
      </c>
      <c r="H1595">
        <v>13</v>
      </c>
      <c r="I1595">
        <v>287</v>
      </c>
      <c r="J1595">
        <v>9</v>
      </c>
      <c r="K1595">
        <f>Fato_Producao[[#This Row],[embalagens_danificadas]]+Fato_Producao[[#This Row],[peso_errado]]+Fato_Producao[[#This Row],[impressao]]</f>
        <v>309</v>
      </c>
      <c r="L1595" s="1" t="d">
        <v>2026-04-24</v>
      </c>
      <c r="M1595">
        <v>39</v>
      </c>
      <c r="N1595" s="7">
        <v>13.84</v>
      </c>
      <c r="O1595" s="4" t="str">
        <f t="shared" si="72"/>
        <v>junho</v>
      </c>
      <c r="P1595" s="4">
        <f t="shared" si="73"/>
        <v>2026</v>
      </c>
      <c r="Q1595" s="4" t="str">
        <f t="shared" si="74"/>
        <v/>
      </c>
      <c r="R1595" t="s">
        <v>24</v>
      </c>
    </row>
    <row r="1596" spans="1:18" x14ac:dyDescent="0.3">
      <c r="A1596" s="1" t="d">
        <v>2026-06-03</v>
      </c>
      <c r="B1596">
        <v>45513</v>
      </c>
      <c r="C1596" t="str">
        <f>VLOOKUP(Fato_Producao[[#This Row],[referencia]], Dim_Produtos!A:B,2,FALSE)</f>
        <v>filete pescada</v>
      </c>
      <c r="D1596">
        <v>3855</v>
      </c>
      <c r="E1596">
        <v>3556</v>
      </c>
      <c r="F1596" s="5">
        <v>7.7600000000000002E-2</v>
      </c>
      <c r="G1596" s="6">
        <v>95.68</v>
      </c>
      <c r="H1596">
        <v>112</v>
      </c>
      <c r="I1596">
        <v>60</v>
      </c>
      <c r="J1596">
        <v>127</v>
      </c>
      <c r="K1596">
        <f>Fato_Producao[[#This Row],[embalagens_danificadas]]+Fato_Producao[[#This Row],[peso_errado]]+Fato_Producao[[#This Row],[impressao]]</f>
        <v>299</v>
      </c>
      <c r="L1596" s="1" t="d">
        <v>2026-04-24</v>
      </c>
      <c r="M1596">
        <v>40</v>
      </c>
      <c r="N1596" s="7">
        <v>12.44</v>
      </c>
      <c r="O1596" s="4" t="str">
        <f t="shared" si="72"/>
        <v>junho</v>
      </c>
      <c r="P1596" s="4">
        <f t="shared" si="73"/>
        <v>2026</v>
      </c>
      <c r="Q1596" s="4" t="str">
        <f t="shared" si="74"/>
        <v/>
      </c>
      <c r="R1596" t="s">
        <v>50</v>
      </c>
    </row>
    <row r="1597" spans="1:18" x14ac:dyDescent="0.3">
      <c r="A1597" s="1" t="d">
        <v>2026-06-04</v>
      </c>
      <c r="B1597">
        <v>45513</v>
      </c>
      <c r="C1597" t="str">
        <f>VLOOKUP(Fato_Producao[[#This Row],[referencia]], Dim_Produtos!A:B,2,FALSE)</f>
        <v>filete pescada</v>
      </c>
      <c r="D1597">
        <v>1999</v>
      </c>
      <c r="E1597">
        <v>1847</v>
      </c>
      <c r="F1597" s="5">
        <v>7.5999999999999998E-2</v>
      </c>
      <c r="G1597" s="6">
        <v>48.64</v>
      </c>
      <c r="H1597">
        <v>10</v>
      </c>
      <c r="I1597">
        <v>139</v>
      </c>
      <c r="J1597">
        <v>3</v>
      </c>
      <c r="K1597">
        <f>Fato_Producao[[#This Row],[embalagens_danificadas]]+Fato_Producao[[#This Row],[peso_errado]]+Fato_Producao[[#This Row],[impressao]]</f>
        <v>152</v>
      </c>
      <c r="L1597" s="1" t="d">
        <v>2026-04-24</v>
      </c>
      <c r="M1597">
        <v>41</v>
      </c>
      <c r="N1597" s="7">
        <v>6.32</v>
      </c>
      <c r="O1597" s="4" t="str">
        <f t="shared" si="72"/>
        <v>junho</v>
      </c>
      <c r="P1597" s="4">
        <f t="shared" si="73"/>
        <v>2026</v>
      </c>
      <c r="Q1597" s="4" t="str">
        <f t="shared" si="74"/>
        <v/>
      </c>
      <c r="R1597" t="s">
        <v>24</v>
      </c>
    </row>
    <row r="1598" spans="1:18" x14ac:dyDescent="0.3">
      <c r="A1598" s="1" t="d">
        <v>2026-06-04</v>
      </c>
      <c r="B1598">
        <v>45508</v>
      </c>
      <c r="C1598" t="str">
        <f>VLOOKUP(Fato_Producao[[#This Row],[referencia]], Dim_Produtos!A:B,2,FALSE)</f>
        <v>lula suja</v>
      </c>
      <c r="D1598">
        <v>3671</v>
      </c>
      <c r="E1598">
        <v>3257</v>
      </c>
      <c r="F1598" s="5">
        <v>0.1128</v>
      </c>
      <c r="G1598" s="6">
        <v>132.47999999999999</v>
      </c>
      <c r="H1598">
        <v>48</v>
      </c>
      <c r="I1598">
        <v>361</v>
      </c>
      <c r="J1598">
        <v>5</v>
      </c>
      <c r="K1598">
        <f>Fato_Producao[[#This Row],[embalagens_danificadas]]+Fato_Producao[[#This Row],[peso_errado]]+Fato_Producao[[#This Row],[impressao]]</f>
        <v>414</v>
      </c>
      <c r="L1598" s="1" t="d">
        <v>2026-04-24</v>
      </c>
      <c r="M1598">
        <v>41</v>
      </c>
      <c r="N1598" s="7">
        <v>18.55</v>
      </c>
      <c r="O1598" s="4" t="str">
        <f t="shared" si="72"/>
        <v>junho</v>
      </c>
      <c r="P1598" s="4">
        <f t="shared" si="73"/>
        <v>2026</v>
      </c>
      <c r="Q1598" s="4" t="str">
        <f t="shared" si="74"/>
        <v/>
      </c>
      <c r="R1598" t="s">
        <v>24</v>
      </c>
    </row>
    <row r="1599" spans="1:18" x14ac:dyDescent="0.3">
      <c r="A1599" s="1" t="d">
        <v>2026-06-05</v>
      </c>
      <c r="B1599">
        <v>45513</v>
      </c>
      <c r="C1599" t="str">
        <f>VLOOKUP(Fato_Producao[[#This Row],[referencia]], Dim_Produtos!A:B,2,FALSE)</f>
        <v>filete pescada</v>
      </c>
      <c r="D1599">
        <v>3575</v>
      </c>
      <c r="E1599">
        <v>3276</v>
      </c>
      <c r="F1599" s="5">
        <v>8.3599999999999994E-2</v>
      </c>
      <c r="G1599" s="6">
        <v>95.68</v>
      </c>
      <c r="H1599">
        <v>7</v>
      </c>
      <c r="I1599">
        <v>286</v>
      </c>
      <c r="J1599">
        <v>6</v>
      </c>
      <c r="K1599">
        <f>Fato_Producao[[#This Row],[embalagens_danificadas]]+Fato_Producao[[#This Row],[peso_errado]]+Fato_Producao[[#This Row],[impressao]]</f>
        <v>299</v>
      </c>
      <c r="L1599" s="1" t="d">
        <v>2026-04-24</v>
      </c>
      <c r="M1599">
        <v>42</v>
      </c>
      <c r="N1599" s="7">
        <v>12.44</v>
      </c>
      <c r="O1599" s="4" t="str">
        <f t="shared" si="72"/>
        <v>junho</v>
      </c>
      <c r="P1599" s="4">
        <f t="shared" si="73"/>
        <v>2026</v>
      </c>
      <c r="Q1599" s="4" t="str">
        <f t="shared" si="74"/>
        <v/>
      </c>
      <c r="R1599" t="s">
        <v>24</v>
      </c>
    </row>
    <row r="1600" spans="1:18" x14ac:dyDescent="0.3">
      <c r="A1600" s="1" t="d">
        <v>2026-06-06</v>
      </c>
      <c r="B1600">
        <v>45506</v>
      </c>
      <c r="C1600" t="str">
        <f>VLOOKUP(Fato_Producao[[#This Row],[referencia]], Dim_Produtos!A:B,2,FALSE)</f>
        <v>perca posta</v>
      </c>
      <c r="D1600">
        <v>3644</v>
      </c>
      <c r="E1600">
        <v>3304</v>
      </c>
      <c r="F1600" s="5">
        <v>9.3299999999999994E-2</v>
      </c>
      <c r="G1600" s="6">
        <v>119</v>
      </c>
      <c r="H1600">
        <v>17</v>
      </c>
      <c r="I1600">
        <v>314</v>
      </c>
      <c r="J1600">
        <v>9</v>
      </c>
      <c r="K1600">
        <f>Fato_Producao[[#This Row],[embalagens_danificadas]]+Fato_Producao[[#This Row],[peso_errado]]+Fato_Producao[[#This Row],[impressao]]</f>
        <v>340</v>
      </c>
      <c r="L1600" s="1" t="d">
        <v>2026-04-24</v>
      </c>
      <c r="M1600">
        <v>43</v>
      </c>
      <c r="N1600" s="7">
        <v>17.850000000000001</v>
      </c>
      <c r="O1600" s="4" t="str">
        <f t="shared" si="72"/>
        <v>junho</v>
      </c>
      <c r="P1600" s="4">
        <f t="shared" si="73"/>
        <v>2026</v>
      </c>
      <c r="Q1600" s="4" t="str">
        <f t="shared" si="74"/>
        <v/>
      </c>
      <c r="R1600" t="s">
        <v>24</v>
      </c>
    </row>
    <row r="1601" spans="1:18" x14ac:dyDescent="0.3">
      <c r="A1601" s="1" t="d">
        <v>2026-06-06</v>
      </c>
      <c r="B1601">
        <v>45503</v>
      </c>
      <c r="C1601" t="str">
        <f>VLOOKUP(Fato_Producao[[#This Row],[referencia]], Dim_Produtos!A:B,2,FALSE)</f>
        <v>sardinha pequena</v>
      </c>
      <c r="D1601">
        <v>2614</v>
      </c>
      <c r="E1601">
        <v>2360</v>
      </c>
      <c r="F1601" s="5">
        <v>9.7199999999999995E-2</v>
      </c>
      <c r="G1601" s="6">
        <v>66.040000000000006</v>
      </c>
      <c r="H1601">
        <v>6</v>
      </c>
      <c r="I1601">
        <v>244</v>
      </c>
      <c r="J1601">
        <v>4</v>
      </c>
      <c r="K1601">
        <f>Fato_Producao[[#This Row],[embalagens_danificadas]]+Fato_Producao[[#This Row],[peso_errado]]+Fato_Producao[[#This Row],[impressao]]</f>
        <v>254</v>
      </c>
      <c r="L1601" s="1" t="d">
        <v>2026-04-24</v>
      </c>
      <c r="M1601">
        <v>43</v>
      </c>
      <c r="N1601" s="7">
        <v>7.26</v>
      </c>
      <c r="O1601" s="4" t="str">
        <f t="shared" si="72"/>
        <v>junho</v>
      </c>
      <c r="P1601" s="4">
        <f t="shared" si="73"/>
        <v>2026</v>
      </c>
      <c r="Q1601" s="4" t="str">
        <f t="shared" si="74"/>
        <v/>
      </c>
      <c r="R1601" t="s">
        <v>24</v>
      </c>
    </row>
    <row r="1602" spans="1:18" x14ac:dyDescent="0.3">
      <c r="A1602" s="1" t="d">
        <v>2026-06-07</v>
      </c>
      <c r="B1602">
        <v>45503</v>
      </c>
      <c r="C1602" t="str">
        <f>VLOOKUP(Fato_Producao[[#This Row],[referencia]], Dim_Produtos!A:B,2,FALSE)</f>
        <v>sardinha pequena</v>
      </c>
      <c r="D1602">
        <v>3677</v>
      </c>
      <c r="E1602">
        <v>3345</v>
      </c>
      <c r="F1602" s="5">
        <v>9.0300000000000005E-2</v>
      </c>
      <c r="G1602" s="6">
        <v>86.32</v>
      </c>
      <c r="H1602">
        <v>15</v>
      </c>
      <c r="I1602">
        <v>312</v>
      </c>
      <c r="J1602">
        <v>5</v>
      </c>
      <c r="K1602">
        <f>Fato_Producao[[#This Row],[embalagens_danificadas]]+Fato_Producao[[#This Row],[peso_errado]]+Fato_Producao[[#This Row],[impressao]]</f>
        <v>332</v>
      </c>
      <c r="L1602" s="1" t="d">
        <v>2026-04-24</v>
      </c>
      <c r="M1602">
        <v>44</v>
      </c>
      <c r="N1602" s="7">
        <v>9.5</v>
      </c>
      <c r="O1602" s="4" t="str">
        <f t="shared" ref="O1602:O1665" si="75">TEXT(A1602, "mmmm")</f>
        <v>junho</v>
      </c>
      <c r="P1602" s="4">
        <f t="shared" ref="P1602:P1665" si="76">YEAR(A1602)</f>
        <v>2026</v>
      </c>
      <c r="Q1602" s="4" t="str">
        <f t="shared" ref="Q1602:Q1665" si="77">IF(M1603 &gt;= M1602, "", M1602)</f>
        <v/>
      </c>
      <c r="R1602" t="s">
        <v>24</v>
      </c>
    </row>
    <row r="1603" spans="1:18" x14ac:dyDescent="0.3">
      <c r="A1603" s="1" t="d">
        <v>2026-06-08</v>
      </c>
      <c r="B1603">
        <v>45508</v>
      </c>
      <c r="C1603" t="str">
        <f>VLOOKUP(Fato_Producao[[#This Row],[referencia]], Dim_Produtos!A:B,2,FALSE)</f>
        <v>lula suja</v>
      </c>
      <c r="D1603">
        <v>3651</v>
      </c>
      <c r="E1603">
        <v>3280</v>
      </c>
      <c r="F1603" s="5">
        <v>0.1016</v>
      </c>
      <c r="G1603" s="6">
        <v>118.72</v>
      </c>
      <c r="H1603">
        <v>43</v>
      </c>
      <c r="I1603">
        <v>324</v>
      </c>
      <c r="J1603">
        <v>4</v>
      </c>
      <c r="K1603">
        <f>Fato_Producao[[#This Row],[embalagens_danificadas]]+Fato_Producao[[#This Row],[peso_errado]]+Fato_Producao[[#This Row],[impressao]]</f>
        <v>371</v>
      </c>
      <c r="L1603" s="1" t="d">
        <v>2026-04-24</v>
      </c>
      <c r="M1603">
        <v>45</v>
      </c>
      <c r="N1603" s="7">
        <v>16.62</v>
      </c>
      <c r="O1603" s="4" t="str">
        <f t="shared" si="75"/>
        <v>junho</v>
      </c>
      <c r="P1603" s="4">
        <f t="shared" si="76"/>
        <v>2026</v>
      </c>
      <c r="Q1603" s="4" t="str">
        <f t="shared" si="77"/>
        <v/>
      </c>
      <c r="R1603" t="s">
        <v>24</v>
      </c>
    </row>
    <row r="1604" spans="1:18" x14ac:dyDescent="0.3">
      <c r="A1604" s="1" t="d">
        <v>2026-06-08</v>
      </c>
      <c r="B1604">
        <v>45513</v>
      </c>
      <c r="C1604" t="str">
        <f>VLOOKUP(Fato_Producao[[#This Row],[referencia]], Dim_Produtos!A:B,2,FALSE)</f>
        <v>filete pescada</v>
      </c>
      <c r="D1604">
        <v>2701</v>
      </c>
      <c r="E1604">
        <v>2503</v>
      </c>
      <c r="F1604" s="5">
        <v>7.3300000000000004E-2</v>
      </c>
      <c r="G1604" s="6">
        <v>63.36</v>
      </c>
      <c r="H1604">
        <v>13</v>
      </c>
      <c r="I1604">
        <v>182</v>
      </c>
      <c r="J1604">
        <v>3</v>
      </c>
      <c r="K1604">
        <f>Fato_Producao[[#This Row],[embalagens_danificadas]]+Fato_Producao[[#This Row],[peso_errado]]+Fato_Producao[[#This Row],[impressao]]</f>
        <v>198</v>
      </c>
      <c r="L1604" s="1" t="d">
        <v>2026-04-24</v>
      </c>
      <c r="M1604">
        <v>45</v>
      </c>
      <c r="N1604" s="7">
        <v>8.24</v>
      </c>
      <c r="O1604" s="4" t="str">
        <f t="shared" si="75"/>
        <v>junho</v>
      </c>
      <c r="P1604" s="4">
        <f t="shared" si="76"/>
        <v>2026</v>
      </c>
      <c r="Q1604" s="4" t="str">
        <f t="shared" si="77"/>
        <v/>
      </c>
      <c r="R1604" t="s">
        <v>24</v>
      </c>
    </row>
    <row r="1605" spans="1:18" x14ac:dyDescent="0.3">
      <c r="A1605" s="1" t="d">
        <v>2026-06-09</v>
      </c>
      <c r="B1605">
        <v>45511</v>
      </c>
      <c r="C1605" t="str">
        <f>VLOOKUP(Fato_Producao[[#This Row],[referencia]], Dim_Produtos!A:B,2,FALSE)</f>
        <v>lula limpa</v>
      </c>
      <c r="D1605">
        <v>2675</v>
      </c>
      <c r="E1605">
        <v>2355</v>
      </c>
      <c r="F1605" s="5">
        <v>0.1196</v>
      </c>
      <c r="G1605" s="6">
        <v>102.4</v>
      </c>
      <c r="H1605">
        <v>44</v>
      </c>
      <c r="I1605">
        <v>270</v>
      </c>
      <c r="J1605">
        <v>6</v>
      </c>
      <c r="K1605">
        <f>Fato_Producao[[#This Row],[embalagens_danificadas]]+Fato_Producao[[#This Row],[peso_errado]]+Fato_Producao[[#This Row],[impressao]]</f>
        <v>320</v>
      </c>
      <c r="L1605" s="1" t="d">
        <v>2026-04-24</v>
      </c>
      <c r="M1605">
        <v>46</v>
      </c>
      <c r="N1605" s="7">
        <v>14.34</v>
      </c>
      <c r="O1605" s="4" t="str">
        <f t="shared" si="75"/>
        <v>junho</v>
      </c>
      <c r="P1605" s="4">
        <f t="shared" si="76"/>
        <v>2026</v>
      </c>
      <c r="Q1605" s="4" t="str">
        <f t="shared" si="77"/>
        <v/>
      </c>
      <c r="R1605" t="s">
        <v>24</v>
      </c>
    </row>
    <row r="1606" spans="1:18" x14ac:dyDescent="0.3">
      <c r="A1606" s="1" t="d">
        <v>2026-06-10</v>
      </c>
      <c r="B1606">
        <v>45500</v>
      </c>
      <c r="C1606" t="str">
        <f>VLOOKUP(Fato_Producao[[#This Row],[referencia]], Dim_Produtos!A:B,2,FALSE)</f>
        <v>filete pescada</v>
      </c>
      <c r="D1606">
        <v>2521</v>
      </c>
      <c r="E1606">
        <v>2332</v>
      </c>
      <c r="F1606" s="5">
        <v>7.4999999999999997E-2</v>
      </c>
      <c r="G1606" s="6">
        <v>52.92</v>
      </c>
      <c r="H1606">
        <v>9</v>
      </c>
      <c r="I1606">
        <v>175</v>
      </c>
      <c r="J1606">
        <v>5</v>
      </c>
      <c r="K1606">
        <f>Fato_Producao[[#This Row],[embalagens_danificadas]]+Fato_Producao[[#This Row],[peso_errado]]+Fato_Producao[[#This Row],[impressao]]</f>
        <v>189</v>
      </c>
      <c r="L1606" s="1" t="d">
        <v>2026-04-24</v>
      </c>
      <c r="M1606">
        <v>47</v>
      </c>
      <c r="N1606" s="7">
        <v>6.35</v>
      </c>
      <c r="O1606" s="4" t="str">
        <f t="shared" si="75"/>
        <v>junho</v>
      </c>
      <c r="P1606" s="4">
        <f t="shared" si="76"/>
        <v>2026</v>
      </c>
      <c r="Q1606" s="4" t="str">
        <f t="shared" si="77"/>
        <v/>
      </c>
      <c r="R1606" t="s">
        <v>24</v>
      </c>
    </row>
    <row r="1607" spans="1:18" x14ac:dyDescent="0.3">
      <c r="A1607" s="1" t="d">
        <v>2026-06-10</v>
      </c>
      <c r="B1607">
        <v>45505</v>
      </c>
      <c r="C1607" t="str">
        <f>VLOOKUP(Fato_Producao[[#This Row],[referencia]], Dim_Produtos!A:B,2,FALSE)</f>
        <v>camarao</v>
      </c>
      <c r="D1607">
        <v>2294</v>
      </c>
      <c r="E1607">
        <v>2075</v>
      </c>
      <c r="F1607" s="5">
        <v>9.5500000000000002E-2</v>
      </c>
      <c r="G1607" s="6">
        <v>65.7</v>
      </c>
      <c r="H1607">
        <v>55</v>
      </c>
      <c r="I1607">
        <v>160</v>
      </c>
      <c r="J1607">
        <v>4</v>
      </c>
      <c r="K1607">
        <f>Fato_Producao[[#This Row],[embalagens_danificadas]]+Fato_Producao[[#This Row],[peso_errado]]+Fato_Producao[[#This Row],[impressao]]</f>
        <v>219</v>
      </c>
      <c r="L1607" s="1" t="d">
        <v>2026-04-24</v>
      </c>
      <c r="M1607">
        <v>47</v>
      </c>
      <c r="N1607" s="7">
        <v>9.86</v>
      </c>
      <c r="O1607" s="4" t="str">
        <f t="shared" si="75"/>
        <v>junho</v>
      </c>
      <c r="P1607" s="4">
        <f t="shared" si="76"/>
        <v>2026</v>
      </c>
      <c r="Q1607" s="4" t="str">
        <f t="shared" si="77"/>
        <v/>
      </c>
      <c r="R1607" t="s">
        <v>24</v>
      </c>
    </row>
    <row r="1608" spans="1:18" x14ac:dyDescent="0.3">
      <c r="A1608" s="1" t="d">
        <v>2026-06-11</v>
      </c>
      <c r="B1608">
        <v>45500</v>
      </c>
      <c r="C1608" t="str">
        <f>VLOOKUP(Fato_Producao[[#This Row],[referencia]], Dim_Produtos!A:B,2,FALSE)</f>
        <v>filete pescada</v>
      </c>
      <c r="D1608">
        <v>2740</v>
      </c>
      <c r="E1608">
        <v>2560</v>
      </c>
      <c r="F1608" s="5">
        <v>6.5699999999999995E-2</v>
      </c>
      <c r="G1608" s="6">
        <v>50.4</v>
      </c>
      <c r="H1608">
        <v>11</v>
      </c>
      <c r="I1608">
        <v>165</v>
      </c>
      <c r="J1608">
        <v>4</v>
      </c>
      <c r="K1608">
        <f>Fato_Producao[[#This Row],[embalagens_danificadas]]+Fato_Producao[[#This Row],[peso_errado]]+Fato_Producao[[#This Row],[impressao]]</f>
        <v>180</v>
      </c>
      <c r="L1608" s="1" t="d">
        <v>2026-04-24</v>
      </c>
      <c r="M1608">
        <v>48</v>
      </c>
      <c r="N1608" s="7">
        <v>6.05</v>
      </c>
      <c r="O1608" s="4" t="str">
        <f t="shared" si="75"/>
        <v>junho</v>
      </c>
      <c r="P1608" s="4">
        <f t="shared" si="76"/>
        <v>2026</v>
      </c>
      <c r="Q1608" s="4" t="str">
        <f t="shared" si="77"/>
        <v/>
      </c>
      <c r="R1608" t="s">
        <v>24</v>
      </c>
    </row>
    <row r="1609" spans="1:18" x14ac:dyDescent="0.3">
      <c r="A1609" s="1" t="d">
        <v>2026-06-12</v>
      </c>
      <c r="B1609">
        <v>45507</v>
      </c>
      <c r="C1609" t="str">
        <f>VLOOKUP(Fato_Producao[[#This Row],[referencia]], Dim_Produtos!A:B,2,FALSE)</f>
        <v>salmao posta</v>
      </c>
      <c r="D1609">
        <v>3299</v>
      </c>
      <c r="E1609">
        <v>3026</v>
      </c>
      <c r="F1609" s="5">
        <v>8.2799999999999999E-2</v>
      </c>
      <c r="G1609" s="6">
        <v>95.55</v>
      </c>
      <c r="H1609">
        <v>116</v>
      </c>
      <c r="I1609">
        <v>44</v>
      </c>
      <c r="J1609">
        <v>113</v>
      </c>
      <c r="K1609">
        <f>Fato_Producao[[#This Row],[embalagens_danificadas]]+Fato_Producao[[#This Row],[peso_errado]]+Fato_Producao[[#This Row],[impressao]]</f>
        <v>273</v>
      </c>
      <c r="L1609" s="1" t="d">
        <v>2026-04-24</v>
      </c>
      <c r="M1609">
        <v>49</v>
      </c>
      <c r="N1609" s="7">
        <v>15.29</v>
      </c>
      <c r="O1609" s="4" t="str">
        <f t="shared" si="75"/>
        <v>junho</v>
      </c>
      <c r="P1609" s="4">
        <f t="shared" si="76"/>
        <v>2026</v>
      </c>
      <c r="Q1609" s="4" t="str">
        <f t="shared" si="77"/>
        <v/>
      </c>
      <c r="R1609" t="s">
        <v>50</v>
      </c>
    </row>
    <row r="1610" spans="1:18" x14ac:dyDescent="0.3">
      <c r="A1610" s="1" t="d">
        <v>2026-06-13</v>
      </c>
      <c r="B1610">
        <v>45514</v>
      </c>
      <c r="C1610" t="str">
        <f>VLOOKUP(Fato_Producao[[#This Row],[referencia]], Dim_Produtos!A:B,2,FALSE)</f>
        <v>sardinha pequena</v>
      </c>
      <c r="D1610">
        <v>2324</v>
      </c>
      <c r="E1610">
        <v>2083</v>
      </c>
      <c r="F1610" s="5">
        <v>0.1037</v>
      </c>
      <c r="G1610" s="6">
        <v>72.3</v>
      </c>
      <c r="H1610">
        <v>81</v>
      </c>
      <c r="I1610">
        <v>37</v>
      </c>
      <c r="J1610">
        <v>123</v>
      </c>
      <c r="K1610">
        <f>Fato_Producao[[#This Row],[embalagens_danificadas]]+Fato_Producao[[#This Row],[peso_errado]]+Fato_Producao[[#This Row],[impressao]]</f>
        <v>241</v>
      </c>
      <c r="L1610" s="1" t="d">
        <v>2026-04-24</v>
      </c>
      <c r="M1610">
        <v>50</v>
      </c>
      <c r="N1610" s="7">
        <v>8.68</v>
      </c>
      <c r="O1610" s="4" t="str">
        <f t="shared" si="75"/>
        <v>junho</v>
      </c>
      <c r="P1610" s="4">
        <f t="shared" si="76"/>
        <v>2026</v>
      </c>
      <c r="Q1610" s="4" t="str">
        <f t="shared" si="77"/>
        <v/>
      </c>
      <c r="R1610" t="s">
        <v>50</v>
      </c>
    </row>
    <row r="1611" spans="1:18" x14ac:dyDescent="0.3">
      <c r="A1611" s="1" t="d">
        <v>2026-06-13</v>
      </c>
      <c r="B1611">
        <v>45501</v>
      </c>
      <c r="C1611" t="str">
        <f>VLOOKUP(Fato_Producao[[#This Row],[referencia]], Dim_Produtos!A:B,2,FALSE)</f>
        <v>pescada posta cozer</v>
      </c>
      <c r="D1611">
        <v>3783</v>
      </c>
      <c r="E1611">
        <v>3444</v>
      </c>
      <c r="F1611" s="5">
        <v>8.9599999999999999E-2</v>
      </c>
      <c r="G1611" s="6">
        <v>108.48</v>
      </c>
      <c r="H1611">
        <v>19</v>
      </c>
      <c r="I1611">
        <v>316</v>
      </c>
      <c r="J1611">
        <v>4</v>
      </c>
      <c r="K1611">
        <f>Fato_Producao[[#This Row],[embalagens_danificadas]]+Fato_Producao[[#This Row],[peso_errado]]+Fato_Producao[[#This Row],[impressao]]</f>
        <v>339</v>
      </c>
      <c r="L1611" s="1" t="d">
        <v>2026-04-24</v>
      </c>
      <c r="M1611">
        <v>50</v>
      </c>
      <c r="N1611" s="7">
        <v>15.19</v>
      </c>
      <c r="O1611" s="4" t="str">
        <f t="shared" si="75"/>
        <v>junho</v>
      </c>
      <c r="P1611" s="4">
        <f t="shared" si="76"/>
        <v>2026</v>
      </c>
      <c r="Q1611" s="4" t="str">
        <f t="shared" si="77"/>
        <v/>
      </c>
      <c r="R1611" t="s">
        <v>24</v>
      </c>
    </row>
    <row r="1612" spans="1:18" x14ac:dyDescent="0.3">
      <c r="A1612" s="1" t="d">
        <v>2026-06-14</v>
      </c>
      <c r="B1612">
        <v>45508</v>
      </c>
      <c r="C1612" t="str">
        <f>VLOOKUP(Fato_Producao[[#This Row],[referencia]], Dim_Produtos!A:B,2,FALSE)</f>
        <v>lula suja</v>
      </c>
      <c r="D1612">
        <v>2725</v>
      </c>
      <c r="E1612">
        <v>2391</v>
      </c>
      <c r="F1612" s="5">
        <v>0.1226</v>
      </c>
      <c r="G1612" s="6">
        <v>106.88</v>
      </c>
      <c r="H1612">
        <v>34</v>
      </c>
      <c r="I1612">
        <v>295</v>
      </c>
      <c r="J1612">
        <v>5</v>
      </c>
      <c r="K1612">
        <f>Fato_Producao[[#This Row],[embalagens_danificadas]]+Fato_Producao[[#This Row],[peso_errado]]+Fato_Producao[[#This Row],[impressao]]</f>
        <v>334</v>
      </c>
      <c r="L1612" s="1" t="d">
        <v>2026-04-24</v>
      </c>
      <c r="M1612">
        <v>51</v>
      </c>
      <c r="N1612" s="7">
        <v>14.96</v>
      </c>
      <c r="O1612" s="4" t="str">
        <f t="shared" si="75"/>
        <v>junho</v>
      </c>
      <c r="P1612" s="4">
        <f t="shared" si="76"/>
        <v>2026</v>
      </c>
      <c r="Q1612" s="4" t="str">
        <f t="shared" si="77"/>
        <v/>
      </c>
      <c r="R1612" t="s">
        <v>24</v>
      </c>
    </row>
    <row r="1613" spans="1:18" x14ac:dyDescent="0.3">
      <c r="A1613" s="1" t="d">
        <v>2026-06-14</v>
      </c>
      <c r="B1613">
        <v>45507</v>
      </c>
      <c r="C1613" t="str">
        <f>VLOOKUP(Fato_Producao[[#This Row],[referencia]], Dim_Produtos!A:B,2,FALSE)</f>
        <v>salmao posta</v>
      </c>
      <c r="D1613">
        <v>3006</v>
      </c>
      <c r="E1613">
        <v>2723</v>
      </c>
      <c r="F1613" s="5">
        <v>9.4100000000000003E-2</v>
      </c>
      <c r="G1613" s="6">
        <v>99.05</v>
      </c>
      <c r="H1613">
        <v>17</v>
      </c>
      <c r="I1613">
        <v>263</v>
      </c>
      <c r="J1613">
        <v>3</v>
      </c>
      <c r="K1613">
        <f>Fato_Producao[[#This Row],[embalagens_danificadas]]+Fato_Producao[[#This Row],[peso_errado]]+Fato_Producao[[#This Row],[impressao]]</f>
        <v>283</v>
      </c>
      <c r="L1613" s="1" t="d">
        <v>2026-04-24</v>
      </c>
      <c r="M1613">
        <v>51</v>
      </c>
      <c r="N1613" s="7">
        <v>15.85</v>
      </c>
      <c r="O1613" s="4" t="str">
        <f t="shared" si="75"/>
        <v>junho</v>
      </c>
      <c r="P1613" s="4">
        <f t="shared" si="76"/>
        <v>2026</v>
      </c>
      <c r="Q1613" s="4" t="str">
        <f t="shared" si="77"/>
        <v/>
      </c>
      <c r="R1613" t="s">
        <v>24</v>
      </c>
    </row>
    <row r="1614" spans="1:18" x14ac:dyDescent="0.3">
      <c r="A1614" s="1" t="d">
        <v>2026-06-15</v>
      </c>
      <c r="B1614">
        <v>45501</v>
      </c>
      <c r="C1614" t="str">
        <f>VLOOKUP(Fato_Producao[[#This Row],[referencia]], Dim_Produtos!A:B,2,FALSE)</f>
        <v>pescada posta cozer</v>
      </c>
      <c r="D1614">
        <v>2943</v>
      </c>
      <c r="E1614">
        <v>2678</v>
      </c>
      <c r="F1614" s="5">
        <v>0.09</v>
      </c>
      <c r="G1614" s="6">
        <v>84.8</v>
      </c>
      <c r="H1614">
        <v>17</v>
      </c>
      <c r="I1614">
        <v>244</v>
      </c>
      <c r="J1614">
        <v>4</v>
      </c>
      <c r="K1614">
        <f>Fato_Producao[[#This Row],[embalagens_danificadas]]+Fato_Producao[[#This Row],[peso_errado]]+Fato_Producao[[#This Row],[impressao]]</f>
        <v>265</v>
      </c>
      <c r="L1614" s="1" t="d">
        <v>2026-04-24</v>
      </c>
      <c r="M1614">
        <v>52</v>
      </c>
      <c r="N1614" s="7">
        <v>11.87</v>
      </c>
      <c r="O1614" s="4" t="str">
        <f t="shared" si="75"/>
        <v>junho</v>
      </c>
      <c r="P1614" s="4">
        <f t="shared" si="76"/>
        <v>2026</v>
      </c>
      <c r="Q1614" s="4" t="str">
        <f t="shared" si="77"/>
        <v/>
      </c>
      <c r="R1614" t="s">
        <v>24</v>
      </c>
    </row>
    <row r="1615" spans="1:18" x14ac:dyDescent="0.3">
      <c r="A1615" s="1" t="d">
        <v>2026-06-15</v>
      </c>
      <c r="B1615">
        <v>45503</v>
      </c>
      <c r="C1615" t="str">
        <f>VLOOKUP(Fato_Producao[[#This Row],[referencia]], Dim_Produtos!A:B,2,FALSE)</f>
        <v>sardinha pequena</v>
      </c>
      <c r="D1615">
        <v>1871</v>
      </c>
      <c r="E1615">
        <v>1671</v>
      </c>
      <c r="F1615" s="5">
        <v>0.1069</v>
      </c>
      <c r="G1615" s="6">
        <v>52</v>
      </c>
      <c r="H1615">
        <v>12</v>
      </c>
      <c r="I1615">
        <v>185</v>
      </c>
      <c r="J1615">
        <v>3</v>
      </c>
      <c r="K1615">
        <f>Fato_Producao[[#This Row],[embalagens_danificadas]]+Fato_Producao[[#This Row],[peso_errado]]+Fato_Producao[[#This Row],[impressao]]</f>
        <v>200</v>
      </c>
      <c r="L1615" s="1" t="d">
        <v>2026-04-24</v>
      </c>
      <c r="M1615">
        <v>52</v>
      </c>
      <c r="N1615" s="7">
        <v>5.72</v>
      </c>
      <c r="O1615" s="4" t="str">
        <f t="shared" si="75"/>
        <v>junho</v>
      </c>
      <c r="P1615" s="4">
        <f t="shared" si="76"/>
        <v>2026</v>
      </c>
      <c r="Q1615" s="4" t="str">
        <f t="shared" si="77"/>
        <v/>
      </c>
      <c r="R1615" t="s">
        <v>24</v>
      </c>
    </row>
    <row r="1616" spans="1:18" x14ac:dyDescent="0.3">
      <c r="A1616" s="1" t="d">
        <v>2026-06-16</v>
      </c>
      <c r="B1616">
        <v>45508</v>
      </c>
      <c r="C1616" t="str">
        <f>VLOOKUP(Fato_Producao[[#This Row],[referencia]], Dim_Produtos!A:B,2,FALSE)</f>
        <v>lula suja</v>
      </c>
      <c r="D1616">
        <v>2619</v>
      </c>
      <c r="E1616">
        <v>2295</v>
      </c>
      <c r="F1616" s="5">
        <v>0.1237</v>
      </c>
      <c r="G1616" s="6">
        <v>103.68</v>
      </c>
      <c r="H1616">
        <v>38</v>
      </c>
      <c r="I1616">
        <v>283</v>
      </c>
      <c r="J1616">
        <v>3</v>
      </c>
      <c r="K1616">
        <f>Fato_Producao[[#This Row],[embalagens_danificadas]]+Fato_Producao[[#This Row],[peso_errado]]+Fato_Producao[[#This Row],[impressao]]</f>
        <v>324</v>
      </c>
      <c r="L1616" s="1" t="d">
        <v>2026-04-24</v>
      </c>
      <c r="M1616">
        <v>53</v>
      </c>
      <c r="N1616" s="7">
        <v>14.52</v>
      </c>
      <c r="O1616" s="4" t="str">
        <f t="shared" si="75"/>
        <v>junho</v>
      </c>
      <c r="P1616" s="4">
        <f t="shared" si="76"/>
        <v>2026</v>
      </c>
      <c r="Q1616" s="4" t="str">
        <f t="shared" si="77"/>
        <v/>
      </c>
      <c r="R1616" t="s">
        <v>24</v>
      </c>
    </row>
    <row r="1617" spans="1:18" x14ac:dyDescent="0.3">
      <c r="A1617" s="1" t="d">
        <v>2026-06-16</v>
      </c>
      <c r="B1617">
        <v>45500</v>
      </c>
      <c r="C1617" t="str">
        <f>VLOOKUP(Fato_Producao[[#This Row],[referencia]], Dim_Produtos!A:B,2,FALSE)</f>
        <v>filete pescada</v>
      </c>
      <c r="D1617">
        <v>2875</v>
      </c>
      <c r="E1617">
        <v>2635</v>
      </c>
      <c r="F1617" s="5">
        <v>8.3500000000000005E-2</v>
      </c>
      <c r="G1617" s="6">
        <v>67.2</v>
      </c>
      <c r="H1617">
        <v>9</v>
      </c>
      <c r="I1617">
        <v>224</v>
      </c>
      <c r="J1617">
        <v>7</v>
      </c>
      <c r="K1617">
        <f>Fato_Producao[[#This Row],[embalagens_danificadas]]+Fato_Producao[[#This Row],[peso_errado]]+Fato_Producao[[#This Row],[impressao]]</f>
        <v>240</v>
      </c>
      <c r="L1617" s="1" t="d">
        <v>2026-04-24</v>
      </c>
      <c r="M1617">
        <v>53</v>
      </c>
      <c r="N1617" s="7">
        <v>8.06</v>
      </c>
      <c r="O1617" s="4" t="str">
        <f t="shared" si="75"/>
        <v>junho</v>
      </c>
      <c r="P1617" s="4">
        <f t="shared" si="76"/>
        <v>2026</v>
      </c>
      <c r="Q1617" s="4" t="str">
        <f t="shared" si="77"/>
        <v/>
      </c>
      <c r="R1617" t="s">
        <v>24</v>
      </c>
    </row>
    <row r="1618" spans="1:18" x14ac:dyDescent="0.3">
      <c r="A1618" s="1" t="d">
        <v>2026-06-17</v>
      </c>
      <c r="B1618">
        <v>45502</v>
      </c>
      <c r="C1618" t="str">
        <f>VLOOKUP(Fato_Producao[[#This Row],[referencia]], Dim_Produtos!A:B,2,FALSE)</f>
        <v>carapau pelim</v>
      </c>
      <c r="D1618">
        <v>3792</v>
      </c>
      <c r="E1618">
        <v>3482</v>
      </c>
      <c r="F1618" s="5">
        <v>8.1799999999999998E-2</v>
      </c>
      <c r="G1618" s="6">
        <v>93</v>
      </c>
      <c r="H1618">
        <v>59</v>
      </c>
      <c r="I1618">
        <v>241</v>
      </c>
      <c r="J1618">
        <v>10</v>
      </c>
      <c r="K1618">
        <f>Fato_Producao[[#This Row],[embalagens_danificadas]]+Fato_Producao[[#This Row],[peso_errado]]+Fato_Producao[[#This Row],[impressao]]</f>
        <v>310</v>
      </c>
      <c r="L1618" s="1" t="d">
        <v>2026-04-24</v>
      </c>
      <c r="M1618">
        <v>54</v>
      </c>
      <c r="N1618" s="7">
        <v>12.09</v>
      </c>
      <c r="O1618" s="4" t="str">
        <f t="shared" si="75"/>
        <v>junho</v>
      </c>
      <c r="P1618" s="4">
        <f t="shared" si="76"/>
        <v>2026</v>
      </c>
      <c r="Q1618" s="4" t="str">
        <f t="shared" si="77"/>
        <v/>
      </c>
      <c r="R1618" t="s">
        <v>24</v>
      </c>
    </row>
    <row r="1619" spans="1:18" x14ac:dyDescent="0.3">
      <c r="A1619" s="1" t="d">
        <v>2026-06-17</v>
      </c>
      <c r="B1619">
        <v>45509</v>
      </c>
      <c r="C1619" t="str">
        <f>VLOOKUP(Fato_Producao[[#This Row],[referencia]], Dim_Produtos!A:B,2,FALSE)</f>
        <v>lascas bacalhau</v>
      </c>
      <c r="D1619">
        <v>2386</v>
      </c>
      <c r="E1619">
        <v>2150</v>
      </c>
      <c r="F1619" s="5">
        <v>9.8900000000000002E-2</v>
      </c>
      <c r="G1619" s="6">
        <v>66.08</v>
      </c>
      <c r="H1619">
        <v>7</v>
      </c>
      <c r="I1619">
        <v>223</v>
      </c>
      <c r="J1619">
        <v>6</v>
      </c>
      <c r="K1619">
        <f>Fato_Producao[[#This Row],[embalagens_danificadas]]+Fato_Producao[[#This Row],[peso_errado]]+Fato_Producao[[#This Row],[impressao]]</f>
        <v>236</v>
      </c>
      <c r="L1619" s="1" t="d">
        <v>2026-04-24</v>
      </c>
      <c r="M1619">
        <v>54</v>
      </c>
      <c r="N1619" s="7">
        <v>8.59</v>
      </c>
      <c r="O1619" s="4" t="str">
        <f t="shared" si="75"/>
        <v>junho</v>
      </c>
      <c r="P1619" s="4">
        <f t="shared" si="76"/>
        <v>2026</v>
      </c>
      <c r="Q1619" s="4" t="str">
        <f t="shared" si="77"/>
        <v/>
      </c>
      <c r="R1619" t="s">
        <v>24</v>
      </c>
    </row>
    <row r="1620" spans="1:18" x14ac:dyDescent="0.3">
      <c r="A1620" s="1" t="d">
        <v>2026-06-18</v>
      </c>
      <c r="B1620">
        <v>45511</v>
      </c>
      <c r="C1620" t="str">
        <f>VLOOKUP(Fato_Producao[[#This Row],[referencia]], Dim_Produtos!A:B,2,FALSE)</f>
        <v>lula limpa</v>
      </c>
      <c r="D1620">
        <v>3982</v>
      </c>
      <c r="E1620">
        <v>3553</v>
      </c>
      <c r="F1620" s="5">
        <v>0.1077</v>
      </c>
      <c r="G1620" s="6">
        <v>137.28</v>
      </c>
      <c r="H1620">
        <v>38</v>
      </c>
      <c r="I1620">
        <v>387</v>
      </c>
      <c r="J1620">
        <v>4</v>
      </c>
      <c r="K1620">
        <f>Fato_Producao[[#This Row],[embalagens_danificadas]]+Fato_Producao[[#This Row],[peso_errado]]+Fato_Producao[[#This Row],[impressao]]</f>
        <v>429</v>
      </c>
      <c r="L1620" s="1" t="d">
        <v>2026-04-24</v>
      </c>
      <c r="M1620">
        <v>55</v>
      </c>
      <c r="N1620" s="7">
        <v>19.22</v>
      </c>
      <c r="O1620" s="4" t="str">
        <f t="shared" si="75"/>
        <v>junho</v>
      </c>
      <c r="P1620" s="4">
        <f t="shared" si="76"/>
        <v>2026</v>
      </c>
      <c r="Q1620" s="4" t="str">
        <f t="shared" si="77"/>
        <v/>
      </c>
      <c r="R1620" t="s">
        <v>24</v>
      </c>
    </row>
    <row r="1621" spans="1:18" x14ac:dyDescent="0.3">
      <c r="A1621" s="1" t="d">
        <v>2026-06-18</v>
      </c>
      <c r="B1621">
        <v>45508</v>
      </c>
      <c r="C1621" t="str">
        <f>VLOOKUP(Fato_Producao[[#This Row],[referencia]], Dim_Produtos!A:B,2,FALSE)</f>
        <v>lula suja</v>
      </c>
      <c r="D1621">
        <v>3184</v>
      </c>
      <c r="E1621">
        <v>2776</v>
      </c>
      <c r="F1621" s="5">
        <v>0.12809999999999999</v>
      </c>
      <c r="G1621" s="6">
        <v>130.56</v>
      </c>
      <c r="H1621">
        <v>34</v>
      </c>
      <c r="I1621">
        <v>366</v>
      </c>
      <c r="J1621">
        <v>8</v>
      </c>
      <c r="K1621">
        <f>Fato_Producao[[#This Row],[embalagens_danificadas]]+Fato_Producao[[#This Row],[peso_errado]]+Fato_Producao[[#This Row],[impressao]]</f>
        <v>408</v>
      </c>
      <c r="L1621" s="1" t="d">
        <v>2026-04-24</v>
      </c>
      <c r="M1621">
        <v>55</v>
      </c>
      <c r="N1621" s="7">
        <v>18.28</v>
      </c>
      <c r="O1621" s="4" t="str">
        <f t="shared" si="75"/>
        <v>junho</v>
      </c>
      <c r="P1621" s="4">
        <f t="shared" si="76"/>
        <v>2026</v>
      </c>
      <c r="Q1621" s="4">
        <f t="shared" si="77"/>
        <v>55</v>
      </c>
      <c r="R1621" t="s">
        <v>24</v>
      </c>
    </row>
    <row r="1622" spans="1:18" x14ac:dyDescent="0.3">
      <c r="A1622" s="1" t="d">
        <v>2026-06-19</v>
      </c>
      <c r="B1622">
        <v>45503</v>
      </c>
      <c r="C1622" t="str">
        <f>VLOOKUP(Fato_Producao[[#This Row],[referencia]], Dim_Produtos!A:B,2,FALSE)</f>
        <v>sardinha pequena</v>
      </c>
      <c r="D1622">
        <v>3676</v>
      </c>
      <c r="E1622">
        <v>3475</v>
      </c>
      <c r="F1622" s="5">
        <v>5.4699999999999999E-2</v>
      </c>
      <c r="G1622" s="6">
        <v>52.26</v>
      </c>
      <c r="H1622">
        <v>13</v>
      </c>
      <c r="I1622">
        <v>185</v>
      </c>
      <c r="J1622">
        <v>3</v>
      </c>
      <c r="K1622">
        <f>Fato_Producao[[#This Row],[embalagens_danificadas]]+Fato_Producao[[#This Row],[peso_errado]]+Fato_Producao[[#This Row],[impressao]]</f>
        <v>201</v>
      </c>
      <c r="L1622" s="1" t="d">
        <v>2026-06-19</v>
      </c>
      <c r="M1622">
        <v>0</v>
      </c>
      <c r="N1622" s="7">
        <v>5.75</v>
      </c>
      <c r="O1622" s="4" t="str">
        <f t="shared" si="75"/>
        <v>junho</v>
      </c>
      <c r="P1622" s="4">
        <f t="shared" si="76"/>
        <v>2026</v>
      </c>
      <c r="Q1622" s="4" t="str">
        <f t="shared" si="77"/>
        <v/>
      </c>
      <c r="R1622" t="s">
        <v>24</v>
      </c>
    </row>
    <row r="1623" spans="1:18" x14ac:dyDescent="0.3">
      <c r="A1623" s="1" t="d">
        <v>2026-06-19</v>
      </c>
      <c r="B1623">
        <v>45502</v>
      </c>
      <c r="C1623" t="str">
        <f>VLOOKUP(Fato_Producao[[#This Row],[referencia]], Dim_Produtos!A:B,2,FALSE)</f>
        <v>carapau pelim</v>
      </c>
      <c r="D1623">
        <v>3634</v>
      </c>
      <c r="E1623">
        <v>3429</v>
      </c>
      <c r="F1623" s="5">
        <v>5.6399999999999999E-2</v>
      </c>
      <c r="G1623" s="6">
        <v>61.5</v>
      </c>
      <c r="H1623">
        <v>46</v>
      </c>
      <c r="I1623">
        <v>155</v>
      </c>
      <c r="J1623">
        <v>4</v>
      </c>
      <c r="K1623">
        <f>Fato_Producao[[#This Row],[embalagens_danificadas]]+Fato_Producao[[#This Row],[peso_errado]]+Fato_Producao[[#This Row],[impressao]]</f>
        <v>205</v>
      </c>
      <c r="L1623" s="1" t="d">
        <v>2026-06-19</v>
      </c>
      <c r="M1623">
        <v>0</v>
      </c>
      <c r="N1623" s="7">
        <v>8</v>
      </c>
      <c r="O1623" s="4" t="str">
        <f t="shared" si="75"/>
        <v>junho</v>
      </c>
      <c r="P1623" s="4">
        <f t="shared" si="76"/>
        <v>2026</v>
      </c>
      <c r="Q1623" s="4" t="str">
        <f t="shared" si="77"/>
        <v/>
      </c>
      <c r="R1623" t="s">
        <v>24</v>
      </c>
    </row>
    <row r="1624" spans="1:18" x14ac:dyDescent="0.3">
      <c r="A1624" s="1" t="d">
        <v>2026-06-20</v>
      </c>
      <c r="B1624">
        <v>45508</v>
      </c>
      <c r="C1624" t="str">
        <f>VLOOKUP(Fato_Producao[[#This Row],[referencia]], Dim_Produtos!A:B,2,FALSE)</f>
        <v>lula suja</v>
      </c>
      <c r="D1624">
        <v>3986</v>
      </c>
      <c r="E1624">
        <v>3631</v>
      </c>
      <c r="F1624" s="5">
        <v>8.9099999999999999E-2</v>
      </c>
      <c r="G1624" s="6">
        <v>113.6</v>
      </c>
      <c r="H1624">
        <v>41</v>
      </c>
      <c r="I1624">
        <v>304</v>
      </c>
      <c r="J1624">
        <v>10</v>
      </c>
      <c r="K1624">
        <f>Fato_Producao[[#This Row],[embalagens_danificadas]]+Fato_Producao[[#This Row],[peso_errado]]+Fato_Producao[[#This Row],[impressao]]</f>
        <v>355</v>
      </c>
      <c r="L1624" s="1" t="d">
        <v>2026-06-19</v>
      </c>
      <c r="M1624">
        <v>1</v>
      </c>
      <c r="N1624" s="7">
        <v>15.9</v>
      </c>
      <c r="O1624" s="4" t="str">
        <f t="shared" si="75"/>
        <v>junho</v>
      </c>
      <c r="P1624" s="4">
        <f t="shared" si="76"/>
        <v>2026</v>
      </c>
      <c r="Q1624" s="4" t="str">
        <f t="shared" si="77"/>
        <v/>
      </c>
      <c r="R1624" t="s">
        <v>24</v>
      </c>
    </row>
    <row r="1625" spans="1:18" x14ac:dyDescent="0.3">
      <c r="A1625" s="1" t="d">
        <v>2026-06-21</v>
      </c>
      <c r="B1625">
        <v>45506</v>
      </c>
      <c r="C1625" t="str">
        <f>VLOOKUP(Fato_Producao[[#This Row],[referencia]], Dim_Produtos!A:B,2,FALSE)</f>
        <v>perca posta</v>
      </c>
      <c r="D1625">
        <v>3657</v>
      </c>
      <c r="E1625">
        <v>3467</v>
      </c>
      <c r="F1625" s="5">
        <v>5.1999999999999998E-2</v>
      </c>
      <c r="G1625" s="6">
        <v>66.5</v>
      </c>
      <c r="H1625">
        <v>3</v>
      </c>
      <c r="I1625">
        <v>182</v>
      </c>
      <c r="J1625">
        <v>5</v>
      </c>
      <c r="K1625">
        <f>Fato_Producao[[#This Row],[embalagens_danificadas]]+Fato_Producao[[#This Row],[peso_errado]]+Fato_Producao[[#This Row],[impressao]]</f>
        <v>190</v>
      </c>
      <c r="L1625" s="1" t="d">
        <v>2026-06-19</v>
      </c>
      <c r="M1625">
        <v>2</v>
      </c>
      <c r="N1625" s="7">
        <v>9.9700000000000006</v>
      </c>
      <c r="O1625" s="4" t="str">
        <f t="shared" si="75"/>
        <v>junho</v>
      </c>
      <c r="P1625" s="4">
        <f t="shared" si="76"/>
        <v>2026</v>
      </c>
      <c r="Q1625" s="4" t="str">
        <f t="shared" si="77"/>
        <v/>
      </c>
      <c r="R1625" t="s">
        <v>24</v>
      </c>
    </row>
    <row r="1626" spans="1:18" x14ac:dyDescent="0.3">
      <c r="A1626" s="1" t="d">
        <v>2026-06-21</v>
      </c>
      <c r="B1626">
        <v>45512</v>
      </c>
      <c r="C1626" t="str">
        <f>VLOOKUP(Fato_Producao[[#This Row],[referencia]], Dim_Produtos!A:B,2,FALSE)</f>
        <v>red-fish posta</v>
      </c>
      <c r="D1626">
        <v>3675</v>
      </c>
      <c r="E1626">
        <v>3547</v>
      </c>
      <c r="F1626" s="5">
        <v>3.4799999999999998E-2</v>
      </c>
      <c r="G1626" s="6">
        <v>43.52</v>
      </c>
      <c r="H1626">
        <v>3</v>
      </c>
      <c r="I1626">
        <v>121</v>
      </c>
      <c r="J1626">
        <v>4</v>
      </c>
      <c r="K1626">
        <f>Fato_Producao[[#This Row],[embalagens_danificadas]]+Fato_Producao[[#This Row],[peso_errado]]+Fato_Producao[[#This Row],[impressao]]</f>
        <v>128</v>
      </c>
      <c r="L1626" s="1" t="d">
        <v>2026-06-19</v>
      </c>
      <c r="M1626">
        <v>2</v>
      </c>
      <c r="N1626" s="7">
        <v>6.09</v>
      </c>
      <c r="O1626" s="4" t="str">
        <f t="shared" si="75"/>
        <v>junho</v>
      </c>
      <c r="P1626" s="4">
        <f t="shared" si="76"/>
        <v>2026</v>
      </c>
      <c r="Q1626" s="4" t="str">
        <f t="shared" si="77"/>
        <v/>
      </c>
      <c r="R1626" t="s">
        <v>24</v>
      </c>
    </row>
    <row r="1627" spans="1:18" x14ac:dyDescent="0.3">
      <c r="A1627" s="1" t="d">
        <v>2026-06-22</v>
      </c>
      <c r="B1627">
        <v>45505</v>
      </c>
      <c r="C1627" t="str">
        <f>VLOOKUP(Fato_Producao[[#This Row],[referencia]], Dim_Produtos!A:B,2,FALSE)</f>
        <v>camarao</v>
      </c>
      <c r="D1627">
        <v>3708</v>
      </c>
      <c r="E1627">
        <v>3499</v>
      </c>
      <c r="F1627" s="5">
        <v>5.6399999999999999E-2</v>
      </c>
      <c r="G1627" s="6">
        <v>62.7</v>
      </c>
      <c r="H1627">
        <v>58</v>
      </c>
      <c r="I1627">
        <v>144</v>
      </c>
      <c r="J1627">
        <v>7</v>
      </c>
      <c r="K1627">
        <f>Fato_Producao[[#This Row],[embalagens_danificadas]]+Fato_Producao[[#This Row],[peso_errado]]+Fato_Producao[[#This Row],[impressao]]</f>
        <v>209</v>
      </c>
      <c r="L1627" s="1" t="d">
        <v>2026-06-19</v>
      </c>
      <c r="M1627">
        <v>3</v>
      </c>
      <c r="N1627" s="7">
        <v>9.4</v>
      </c>
      <c r="O1627" s="4" t="str">
        <f t="shared" si="75"/>
        <v>junho</v>
      </c>
      <c r="P1627" s="4">
        <f t="shared" si="76"/>
        <v>2026</v>
      </c>
      <c r="Q1627" s="4" t="str">
        <f t="shared" si="77"/>
        <v/>
      </c>
      <c r="R1627" t="s">
        <v>24</v>
      </c>
    </row>
    <row r="1628" spans="1:18" x14ac:dyDescent="0.3">
      <c r="A1628" s="1" t="d">
        <v>2026-06-23</v>
      </c>
      <c r="B1628">
        <v>45511</v>
      </c>
      <c r="C1628" t="str">
        <f>VLOOKUP(Fato_Producao[[#This Row],[referencia]], Dim_Produtos!A:B,2,FALSE)</f>
        <v>lula limpa</v>
      </c>
      <c r="D1628">
        <v>4027</v>
      </c>
      <c r="E1628">
        <v>3698</v>
      </c>
      <c r="F1628" s="5">
        <v>8.1699999999999995E-2</v>
      </c>
      <c r="G1628" s="6">
        <v>105.28</v>
      </c>
      <c r="H1628">
        <v>36</v>
      </c>
      <c r="I1628">
        <v>283</v>
      </c>
      <c r="J1628">
        <v>10</v>
      </c>
      <c r="K1628">
        <f>Fato_Producao[[#This Row],[embalagens_danificadas]]+Fato_Producao[[#This Row],[peso_errado]]+Fato_Producao[[#This Row],[impressao]]</f>
        <v>329</v>
      </c>
      <c r="L1628" s="1" t="d">
        <v>2026-06-19</v>
      </c>
      <c r="M1628">
        <v>4</v>
      </c>
      <c r="N1628" s="7">
        <v>14.74</v>
      </c>
      <c r="O1628" s="4" t="str">
        <f t="shared" si="75"/>
        <v>junho</v>
      </c>
      <c r="P1628" s="4">
        <f t="shared" si="76"/>
        <v>2026</v>
      </c>
      <c r="Q1628" s="4" t="str">
        <f t="shared" si="77"/>
        <v/>
      </c>
      <c r="R1628" t="s">
        <v>24</v>
      </c>
    </row>
    <row r="1629" spans="1:18" x14ac:dyDescent="0.3">
      <c r="A1629" s="1" t="d">
        <v>2026-06-24</v>
      </c>
      <c r="B1629">
        <v>45512</v>
      </c>
      <c r="C1629" t="str">
        <f>VLOOKUP(Fato_Producao[[#This Row],[referencia]], Dim_Produtos!A:B,2,FALSE)</f>
        <v>red-fish posta</v>
      </c>
      <c r="D1629">
        <v>3912</v>
      </c>
      <c r="E1629">
        <v>3800</v>
      </c>
      <c r="F1629" s="5">
        <v>2.86E-2</v>
      </c>
      <c r="G1629" s="6">
        <v>38.08</v>
      </c>
      <c r="H1629">
        <v>35</v>
      </c>
      <c r="I1629">
        <v>28</v>
      </c>
      <c r="J1629">
        <v>49</v>
      </c>
      <c r="K1629">
        <f>Fato_Producao[[#This Row],[embalagens_danificadas]]+Fato_Producao[[#This Row],[peso_errado]]+Fato_Producao[[#This Row],[impressao]]</f>
        <v>112</v>
      </c>
      <c r="L1629" s="1" t="d">
        <v>2026-06-19</v>
      </c>
      <c r="M1629">
        <v>5</v>
      </c>
      <c r="N1629" s="7">
        <v>5.33</v>
      </c>
      <c r="O1629" s="4" t="str">
        <f t="shared" si="75"/>
        <v>junho</v>
      </c>
      <c r="P1629" s="4">
        <f t="shared" si="76"/>
        <v>2026</v>
      </c>
      <c r="Q1629" s="4" t="str">
        <f t="shared" si="77"/>
        <v/>
      </c>
      <c r="R1629" t="s">
        <v>50</v>
      </c>
    </row>
    <row r="1630" spans="1:18" x14ac:dyDescent="0.3">
      <c r="A1630" s="1" t="d">
        <v>2026-06-25</v>
      </c>
      <c r="B1630">
        <v>45510</v>
      </c>
      <c r="C1630" t="str">
        <f>VLOOKUP(Fato_Producao[[#This Row],[referencia]], Dim_Produtos!A:B,2,FALSE)</f>
        <v>tiras pota</v>
      </c>
      <c r="D1630">
        <v>2458</v>
      </c>
      <c r="E1630">
        <v>2275</v>
      </c>
      <c r="F1630" s="5">
        <v>7.4499999999999997E-2</v>
      </c>
      <c r="G1630" s="6">
        <v>58.56</v>
      </c>
      <c r="H1630">
        <v>15</v>
      </c>
      <c r="I1630">
        <v>164</v>
      </c>
      <c r="J1630">
        <v>4</v>
      </c>
      <c r="K1630">
        <f>Fato_Producao[[#This Row],[embalagens_danificadas]]+Fato_Producao[[#This Row],[peso_errado]]+Fato_Producao[[#This Row],[impressao]]</f>
        <v>183</v>
      </c>
      <c r="L1630" s="1" t="d">
        <v>2026-06-19</v>
      </c>
      <c r="M1630">
        <v>6</v>
      </c>
      <c r="N1630" s="7">
        <v>8.1999999999999993</v>
      </c>
      <c r="O1630" s="4" t="str">
        <f t="shared" si="75"/>
        <v>junho</v>
      </c>
      <c r="P1630" s="4">
        <f t="shared" si="76"/>
        <v>2026</v>
      </c>
      <c r="Q1630" s="4" t="str">
        <f t="shared" si="77"/>
        <v/>
      </c>
      <c r="R1630" t="s">
        <v>24</v>
      </c>
    </row>
    <row r="1631" spans="1:18" x14ac:dyDescent="0.3">
      <c r="A1631" s="1" t="d">
        <v>2026-06-25</v>
      </c>
      <c r="B1631">
        <v>45500</v>
      </c>
      <c r="C1631" t="str">
        <f>VLOOKUP(Fato_Producao[[#This Row],[referencia]], Dim_Produtos!A:B,2,FALSE)</f>
        <v>filete pescada</v>
      </c>
      <c r="D1631">
        <v>4092</v>
      </c>
      <c r="E1631">
        <v>3950</v>
      </c>
      <c r="F1631" s="5">
        <v>3.4700000000000002E-2</v>
      </c>
      <c r="G1631" s="6">
        <v>39.76</v>
      </c>
      <c r="H1631">
        <v>3</v>
      </c>
      <c r="I1631">
        <v>136</v>
      </c>
      <c r="J1631">
        <v>3</v>
      </c>
      <c r="K1631">
        <f>Fato_Producao[[#This Row],[embalagens_danificadas]]+Fato_Producao[[#This Row],[peso_errado]]+Fato_Producao[[#This Row],[impressao]]</f>
        <v>142</v>
      </c>
      <c r="L1631" s="1" t="d">
        <v>2026-06-19</v>
      </c>
      <c r="M1631">
        <v>6</v>
      </c>
      <c r="N1631" s="7">
        <v>4.7699999999999996</v>
      </c>
      <c r="O1631" s="4" t="str">
        <f t="shared" si="75"/>
        <v>junho</v>
      </c>
      <c r="P1631" s="4">
        <f t="shared" si="76"/>
        <v>2026</v>
      </c>
      <c r="Q1631" s="4" t="str">
        <f t="shared" si="77"/>
        <v/>
      </c>
      <c r="R1631" t="s">
        <v>24</v>
      </c>
    </row>
    <row r="1632" spans="1:18" x14ac:dyDescent="0.3">
      <c r="A1632" s="1" t="d">
        <v>2026-06-26</v>
      </c>
      <c r="B1632">
        <v>45513</v>
      </c>
      <c r="C1632" t="str">
        <f>VLOOKUP(Fato_Producao[[#This Row],[referencia]], Dim_Produtos!A:B,2,FALSE)</f>
        <v>filete pescada</v>
      </c>
      <c r="D1632">
        <v>3101</v>
      </c>
      <c r="E1632">
        <v>2969</v>
      </c>
      <c r="F1632" s="5">
        <v>4.2599999999999999E-2</v>
      </c>
      <c r="G1632" s="6">
        <v>42.24</v>
      </c>
      <c r="H1632">
        <v>7</v>
      </c>
      <c r="I1632">
        <v>122</v>
      </c>
      <c r="J1632">
        <v>3</v>
      </c>
      <c r="K1632">
        <f>Fato_Producao[[#This Row],[embalagens_danificadas]]+Fato_Producao[[#This Row],[peso_errado]]+Fato_Producao[[#This Row],[impressao]]</f>
        <v>132</v>
      </c>
      <c r="L1632" s="1" t="d">
        <v>2026-06-19</v>
      </c>
      <c r="M1632">
        <v>7</v>
      </c>
      <c r="N1632" s="7">
        <v>5.49</v>
      </c>
      <c r="O1632" s="4" t="str">
        <f t="shared" si="75"/>
        <v>junho</v>
      </c>
      <c r="P1632" s="4">
        <f t="shared" si="76"/>
        <v>2026</v>
      </c>
      <c r="Q1632" s="4" t="str">
        <f t="shared" si="77"/>
        <v/>
      </c>
      <c r="R1632" t="s">
        <v>24</v>
      </c>
    </row>
    <row r="1633" spans="1:18" x14ac:dyDescent="0.3">
      <c r="A1633" s="1" t="d">
        <v>2026-06-27</v>
      </c>
      <c r="B1633">
        <v>45510</v>
      </c>
      <c r="C1633" t="str">
        <f>VLOOKUP(Fato_Producao[[#This Row],[referencia]], Dim_Produtos!A:B,2,FALSE)</f>
        <v>tiras pota</v>
      </c>
      <c r="D1633">
        <v>3995</v>
      </c>
      <c r="E1633">
        <v>3732</v>
      </c>
      <c r="F1633" s="5">
        <v>6.5799999999999997E-2</v>
      </c>
      <c r="G1633" s="6">
        <v>84.16</v>
      </c>
      <c r="H1633">
        <v>29</v>
      </c>
      <c r="I1633">
        <v>229</v>
      </c>
      <c r="J1633">
        <v>5</v>
      </c>
      <c r="K1633">
        <f>Fato_Producao[[#This Row],[embalagens_danificadas]]+Fato_Producao[[#This Row],[peso_errado]]+Fato_Producao[[#This Row],[impressao]]</f>
        <v>263</v>
      </c>
      <c r="L1633" s="1" t="d">
        <v>2026-06-19</v>
      </c>
      <c r="M1633">
        <v>8</v>
      </c>
      <c r="N1633" s="7">
        <v>11.78</v>
      </c>
      <c r="O1633" s="4" t="str">
        <f t="shared" si="75"/>
        <v>junho</v>
      </c>
      <c r="P1633" s="4">
        <f t="shared" si="76"/>
        <v>2026</v>
      </c>
      <c r="Q1633" s="4" t="str">
        <f t="shared" si="77"/>
        <v/>
      </c>
      <c r="R1633" t="s">
        <v>24</v>
      </c>
    </row>
    <row r="1634" spans="1:18" x14ac:dyDescent="0.3">
      <c r="A1634" s="1" t="d">
        <v>2026-06-27</v>
      </c>
      <c r="B1634">
        <v>45509</v>
      </c>
      <c r="C1634" t="str">
        <f>VLOOKUP(Fato_Producao[[#This Row],[referencia]], Dim_Produtos!A:B,2,FALSE)</f>
        <v>lascas bacalhau</v>
      </c>
      <c r="D1634">
        <v>2195</v>
      </c>
      <c r="E1634">
        <v>2112</v>
      </c>
      <c r="F1634" s="5">
        <v>3.78E-2</v>
      </c>
      <c r="G1634" s="6">
        <v>23.24</v>
      </c>
      <c r="H1634">
        <v>2</v>
      </c>
      <c r="I1634">
        <v>80</v>
      </c>
      <c r="J1634">
        <v>1</v>
      </c>
      <c r="K1634">
        <f>Fato_Producao[[#This Row],[embalagens_danificadas]]+Fato_Producao[[#This Row],[peso_errado]]+Fato_Producao[[#This Row],[impressao]]</f>
        <v>83</v>
      </c>
      <c r="L1634" s="1" t="d">
        <v>2026-06-19</v>
      </c>
      <c r="M1634">
        <v>8</v>
      </c>
      <c r="N1634" s="7">
        <v>3.02</v>
      </c>
      <c r="O1634" s="4" t="str">
        <f t="shared" si="75"/>
        <v>junho</v>
      </c>
      <c r="P1634" s="4">
        <f t="shared" si="76"/>
        <v>2026</v>
      </c>
      <c r="Q1634" s="4" t="str">
        <f t="shared" si="77"/>
        <v/>
      </c>
      <c r="R1634" t="s">
        <v>24</v>
      </c>
    </row>
    <row r="1635" spans="1:18" x14ac:dyDescent="0.3">
      <c r="A1635" s="1" t="d">
        <v>2026-06-28</v>
      </c>
      <c r="B1635">
        <v>45509</v>
      </c>
      <c r="C1635" t="str">
        <f>VLOOKUP(Fato_Producao[[#This Row],[referencia]], Dim_Produtos!A:B,2,FALSE)</f>
        <v>lascas bacalhau</v>
      </c>
      <c r="D1635">
        <v>2427</v>
      </c>
      <c r="E1635">
        <v>2302</v>
      </c>
      <c r="F1635" s="5">
        <v>5.1499999999999997E-2</v>
      </c>
      <c r="G1635" s="6">
        <v>35</v>
      </c>
      <c r="H1635">
        <v>4</v>
      </c>
      <c r="I1635">
        <v>118</v>
      </c>
      <c r="J1635">
        <v>3</v>
      </c>
      <c r="K1635">
        <f>Fato_Producao[[#This Row],[embalagens_danificadas]]+Fato_Producao[[#This Row],[peso_errado]]+Fato_Producao[[#This Row],[impressao]]</f>
        <v>125</v>
      </c>
      <c r="L1635" s="1" t="d">
        <v>2026-06-19</v>
      </c>
      <c r="M1635">
        <v>9</v>
      </c>
      <c r="N1635" s="7">
        <v>4.55</v>
      </c>
      <c r="O1635" s="4" t="str">
        <f t="shared" si="75"/>
        <v>junho</v>
      </c>
      <c r="P1635" s="4">
        <f t="shared" si="76"/>
        <v>2026</v>
      </c>
      <c r="Q1635" s="4" t="str">
        <f t="shared" si="77"/>
        <v/>
      </c>
      <c r="R1635" t="s">
        <v>24</v>
      </c>
    </row>
    <row r="1636" spans="1:18" x14ac:dyDescent="0.3">
      <c r="A1636" s="1" t="d">
        <v>2026-06-28</v>
      </c>
      <c r="B1636">
        <v>45509</v>
      </c>
      <c r="C1636" t="str">
        <f>VLOOKUP(Fato_Producao[[#This Row],[referencia]], Dim_Produtos!A:B,2,FALSE)</f>
        <v>lascas bacalhau</v>
      </c>
      <c r="D1636">
        <v>2369</v>
      </c>
      <c r="E1636">
        <v>2210</v>
      </c>
      <c r="F1636" s="5">
        <v>6.7100000000000007E-2</v>
      </c>
      <c r="G1636" s="6">
        <v>44.52</v>
      </c>
      <c r="H1636">
        <v>11</v>
      </c>
      <c r="I1636">
        <v>146</v>
      </c>
      <c r="J1636">
        <v>2</v>
      </c>
      <c r="K1636">
        <f>Fato_Producao[[#This Row],[embalagens_danificadas]]+Fato_Producao[[#This Row],[peso_errado]]+Fato_Producao[[#This Row],[impressao]]</f>
        <v>159</v>
      </c>
      <c r="L1636" s="1" t="d">
        <v>2026-06-19</v>
      </c>
      <c r="M1636">
        <v>9</v>
      </c>
      <c r="N1636" s="7">
        <v>5.79</v>
      </c>
      <c r="O1636" s="4" t="str">
        <f t="shared" si="75"/>
        <v>junho</v>
      </c>
      <c r="P1636" s="4">
        <f t="shared" si="76"/>
        <v>2026</v>
      </c>
      <c r="Q1636" s="4" t="str">
        <f t="shared" si="77"/>
        <v/>
      </c>
      <c r="R1636" t="s">
        <v>24</v>
      </c>
    </row>
    <row r="1637" spans="1:18" x14ac:dyDescent="0.3">
      <c r="A1637" s="1" t="d">
        <v>2026-06-29</v>
      </c>
      <c r="B1637">
        <v>45506</v>
      </c>
      <c r="C1637" t="str">
        <f>VLOOKUP(Fato_Producao[[#This Row],[referencia]], Dim_Produtos!A:B,2,FALSE)</f>
        <v>perca posta</v>
      </c>
      <c r="D1637">
        <v>2469</v>
      </c>
      <c r="E1637">
        <v>2350</v>
      </c>
      <c r="F1637" s="5">
        <v>4.82E-2</v>
      </c>
      <c r="G1637" s="6">
        <v>41.65</v>
      </c>
      <c r="H1637">
        <v>7</v>
      </c>
      <c r="I1637">
        <v>109</v>
      </c>
      <c r="J1637">
        <v>3</v>
      </c>
      <c r="K1637">
        <f>Fato_Producao[[#This Row],[embalagens_danificadas]]+Fato_Producao[[#This Row],[peso_errado]]+Fato_Producao[[#This Row],[impressao]]</f>
        <v>119</v>
      </c>
      <c r="L1637" s="1" t="d">
        <v>2026-06-19</v>
      </c>
      <c r="M1637">
        <v>10</v>
      </c>
      <c r="N1637" s="7">
        <v>6.25</v>
      </c>
      <c r="O1637" s="4" t="str">
        <f t="shared" si="75"/>
        <v>junho</v>
      </c>
      <c r="P1637" s="4">
        <f t="shared" si="76"/>
        <v>2026</v>
      </c>
      <c r="Q1637" s="4" t="str">
        <f t="shared" si="77"/>
        <v/>
      </c>
      <c r="R1637" t="s">
        <v>24</v>
      </c>
    </row>
    <row r="1638" spans="1:18" x14ac:dyDescent="0.3">
      <c r="A1638" s="1" t="d">
        <v>2026-06-29</v>
      </c>
      <c r="B1638">
        <v>45510</v>
      </c>
      <c r="C1638" t="str">
        <f>VLOOKUP(Fato_Producao[[#This Row],[referencia]], Dim_Produtos!A:B,2,FALSE)</f>
        <v>tiras pota</v>
      </c>
      <c r="D1638">
        <v>3156</v>
      </c>
      <c r="E1638">
        <v>2983</v>
      </c>
      <c r="F1638" s="5">
        <v>5.4800000000000001E-2</v>
      </c>
      <c r="G1638" s="6">
        <v>55.36</v>
      </c>
      <c r="H1638">
        <v>23</v>
      </c>
      <c r="I1638">
        <v>146</v>
      </c>
      <c r="J1638">
        <v>4</v>
      </c>
      <c r="K1638">
        <f>Fato_Producao[[#This Row],[embalagens_danificadas]]+Fato_Producao[[#This Row],[peso_errado]]+Fato_Producao[[#This Row],[impressao]]</f>
        <v>173</v>
      </c>
      <c r="L1638" s="1" t="d">
        <v>2026-06-19</v>
      </c>
      <c r="M1638">
        <v>10</v>
      </c>
      <c r="N1638" s="7">
        <v>7.75</v>
      </c>
      <c r="O1638" s="4" t="str">
        <f t="shared" si="75"/>
        <v>junho</v>
      </c>
      <c r="P1638" s="4">
        <f t="shared" si="76"/>
        <v>2026</v>
      </c>
      <c r="Q1638" s="4" t="str">
        <f t="shared" si="77"/>
        <v/>
      </c>
      <c r="R1638" t="s">
        <v>24</v>
      </c>
    </row>
    <row r="1639" spans="1:18" x14ac:dyDescent="0.3">
      <c r="A1639" s="1" t="d">
        <v>2026-06-30</v>
      </c>
      <c r="B1639">
        <v>45505</v>
      </c>
      <c r="C1639" t="str">
        <f>VLOOKUP(Fato_Producao[[#This Row],[referencia]], Dim_Produtos!A:B,2,FALSE)</f>
        <v>camarao</v>
      </c>
      <c r="D1639">
        <v>3598</v>
      </c>
      <c r="E1639">
        <v>3339</v>
      </c>
      <c r="F1639" s="5">
        <v>7.1999999999999995E-2</v>
      </c>
      <c r="G1639" s="6">
        <v>77.7</v>
      </c>
      <c r="H1639">
        <v>76</v>
      </c>
      <c r="I1639">
        <v>178</v>
      </c>
      <c r="J1639">
        <v>5</v>
      </c>
      <c r="K1639">
        <f>Fato_Producao[[#This Row],[embalagens_danificadas]]+Fato_Producao[[#This Row],[peso_errado]]+Fato_Producao[[#This Row],[impressao]]</f>
        <v>259</v>
      </c>
      <c r="L1639" s="1" t="d">
        <v>2026-06-19</v>
      </c>
      <c r="M1639">
        <v>11</v>
      </c>
      <c r="N1639" s="7">
        <v>11.65</v>
      </c>
      <c r="O1639" s="4" t="str">
        <f t="shared" si="75"/>
        <v>junho</v>
      </c>
      <c r="P1639" s="4">
        <f t="shared" si="76"/>
        <v>2026</v>
      </c>
      <c r="Q1639" s="4" t="str">
        <f t="shared" si="77"/>
        <v/>
      </c>
      <c r="R1639" t="s">
        <v>24</v>
      </c>
    </row>
    <row r="1640" spans="1:18" x14ac:dyDescent="0.3">
      <c r="A1640" s="1" t="d">
        <v>2026-07-01</v>
      </c>
      <c r="B1640">
        <v>45509</v>
      </c>
      <c r="C1640" t="str">
        <f>VLOOKUP(Fato_Producao[[#This Row],[referencia]], Dim_Produtos!A:B,2,FALSE)</f>
        <v>lascas bacalhau</v>
      </c>
      <c r="D1640">
        <v>2633</v>
      </c>
      <c r="E1640">
        <v>2494</v>
      </c>
      <c r="F1640" s="5">
        <v>5.28E-2</v>
      </c>
      <c r="G1640" s="6">
        <v>38.92</v>
      </c>
      <c r="H1640">
        <v>4</v>
      </c>
      <c r="I1640">
        <v>133</v>
      </c>
      <c r="J1640">
        <v>2</v>
      </c>
      <c r="K1640">
        <f>Fato_Producao[[#This Row],[embalagens_danificadas]]+Fato_Producao[[#This Row],[peso_errado]]+Fato_Producao[[#This Row],[impressao]]</f>
        <v>139</v>
      </c>
      <c r="L1640" s="1" t="d">
        <v>2026-06-19</v>
      </c>
      <c r="M1640">
        <v>12</v>
      </c>
      <c r="N1640" s="7">
        <v>5.0599999999999996</v>
      </c>
      <c r="O1640" s="4" t="str">
        <f t="shared" si="75"/>
        <v>julho</v>
      </c>
      <c r="P1640" s="4">
        <f t="shared" si="76"/>
        <v>2026</v>
      </c>
      <c r="Q1640" s="4" t="str">
        <f t="shared" si="77"/>
        <v/>
      </c>
      <c r="R1640" t="s">
        <v>24</v>
      </c>
    </row>
    <row r="1641" spans="1:18" x14ac:dyDescent="0.3">
      <c r="A1641" s="1" t="d">
        <v>2026-07-02</v>
      </c>
      <c r="B1641">
        <v>45507</v>
      </c>
      <c r="C1641" t="str">
        <f>VLOOKUP(Fato_Producao[[#This Row],[referencia]], Dim_Produtos!A:B,2,FALSE)</f>
        <v>salmao posta</v>
      </c>
      <c r="D1641">
        <v>3561</v>
      </c>
      <c r="E1641">
        <v>3308</v>
      </c>
      <c r="F1641" s="5">
        <v>7.0999999999999994E-2</v>
      </c>
      <c r="G1641" s="6">
        <v>88.55</v>
      </c>
      <c r="H1641">
        <v>15</v>
      </c>
      <c r="I1641">
        <v>231</v>
      </c>
      <c r="J1641">
        <v>7</v>
      </c>
      <c r="K1641">
        <f>Fato_Producao[[#This Row],[embalagens_danificadas]]+Fato_Producao[[#This Row],[peso_errado]]+Fato_Producao[[#This Row],[impressao]]</f>
        <v>253</v>
      </c>
      <c r="L1641" s="1" t="d">
        <v>2026-06-19</v>
      </c>
      <c r="M1641">
        <v>13</v>
      </c>
      <c r="N1641" s="7">
        <v>14.17</v>
      </c>
      <c r="O1641" s="4" t="str">
        <f t="shared" si="75"/>
        <v>julho</v>
      </c>
      <c r="P1641" s="4">
        <f t="shared" si="76"/>
        <v>2026</v>
      </c>
      <c r="Q1641" s="4" t="str">
        <f t="shared" si="77"/>
        <v/>
      </c>
      <c r="R1641" t="s">
        <v>24</v>
      </c>
    </row>
    <row r="1642" spans="1:18" x14ac:dyDescent="0.3">
      <c r="A1642" s="1" t="d">
        <v>2026-07-03</v>
      </c>
      <c r="B1642">
        <v>45504</v>
      </c>
      <c r="C1642" t="str">
        <f>VLOOKUP(Fato_Producao[[#This Row],[referencia]], Dim_Produtos!A:B,2,FALSE)</f>
        <v>pescada posta fritar</v>
      </c>
      <c r="D1642">
        <v>1848</v>
      </c>
      <c r="E1642">
        <v>1743</v>
      </c>
      <c r="F1642" s="5">
        <v>5.6800000000000003E-2</v>
      </c>
      <c r="G1642" s="6">
        <v>33.6</v>
      </c>
      <c r="H1642">
        <v>3</v>
      </c>
      <c r="I1642">
        <v>101</v>
      </c>
      <c r="J1642">
        <v>1</v>
      </c>
      <c r="K1642">
        <f>Fato_Producao[[#This Row],[embalagens_danificadas]]+Fato_Producao[[#This Row],[peso_errado]]+Fato_Producao[[#This Row],[impressao]]</f>
        <v>105</v>
      </c>
      <c r="L1642" s="1" t="d">
        <v>2026-06-19</v>
      </c>
      <c r="M1642">
        <v>14</v>
      </c>
      <c r="N1642" s="7">
        <v>4.7</v>
      </c>
      <c r="O1642" s="4" t="str">
        <f t="shared" si="75"/>
        <v>julho</v>
      </c>
      <c r="P1642" s="4">
        <f t="shared" si="76"/>
        <v>2026</v>
      </c>
      <c r="Q1642" s="4" t="str">
        <f t="shared" si="77"/>
        <v/>
      </c>
      <c r="R1642" t="s">
        <v>24</v>
      </c>
    </row>
    <row r="1643" spans="1:18" x14ac:dyDescent="0.3">
      <c r="A1643" s="1" t="d">
        <v>2026-07-03</v>
      </c>
      <c r="B1643">
        <v>45500</v>
      </c>
      <c r="C1643" t="str">
        <f>VLOOKUP(Fato_Producao[[#This Row],[referencia]], Dim_Produtos!A:B,2,FALSE)</f>
        <v>filete pescada</v>
      </c>
      <c r="D1643">
        <v>3239</v>
      </c>
      <c r="E1643">
        <v>3138</v>
      </c>
      <c r="F1643" s="5">
        <v>3.1199999999999999E-2</v>
      </c>
      <c r="G1643" s="6">
        <v>28.28</v>
      </c>
      <c r="H1643">
        <v>4</v>
      </c>
      <c r="I1643">
        <v>95</v>
      </c>
      <c r="J1643">
        <v>2</v>
      </c>
      <c r="K1643">
        <f>Fato_Producao[[#This Row],[embalagens_danificadas]]+Fato_Producao[[#This Row],[peso_errado]]+Fato_Producao[[#This Row],[impressao]]</f>
        <v>101</v>
      </c>
      <c r="L1643" s="1" t="d">
        <v>2026-06-19</v>
      </c>
      <c r="M1643">
        <v>14</v>
      </c>
      <c r="N1643" s="7">
        <v>3.39</v>
      </c>
      <c r="O1643" s="4" t="str">
        <f t="shared" si="75"/>
        <v>julho</v>
      </c>
      <c r="P1643" s="4">
        <f t="shared" si="76"/>
        <v>2026</v>
      </c>
      <c r="Q1643" s="4" t="str">
        <f t="shared" si="77"/>
        <v/>
      </c>
      <c r="R1643" t="s">
        <v>24</v>
      </c>
    </row>
    <row r="1644" spans="1:18" x14ac:dyDescent="0.3">
      <c r="A1644" s="1" t="d">
        <v>2026-07-04</v>
      </c>
      <c r="B1644">
        <v>45512</v>
      </c>
      <c r="C1644" t="str">
        <f>VLOOKUP(Fato_Producao[[#This Row],[referencia]], Dim_Produtos!A:B,2,FALSE)</f>
        <v>red-fish posta</v>
      </c>
      <c r="D1644">
        <v>4133</v>
      </c>
      <c r="E1644">
        <v>3944</v>
      </c>
      <c r="F1644" s="5">
        <v>4.5699999999999998E-2</v>
      </c>
      <c r="G1644" s="6">
        <v>64.260000000000005</v>
      </c>
      <c r="H1644">
        <v>12</v>
      </c>
      <c r="I1644">
        <v>174</v>
      </c>
      <c r="J1644">
        <v>3</v>
      </c>
      <c r="K1644">
        <f>Fato_Producao[[#This Row],[embalagens_danificadas]]+Fato_Producao[[#This Row],[peso_errado]]+Fato_Producao[[#This Row],[impressao]]</f>
        <v>189</v>
      </c>
      <c r="L1644" s="1" t="d">
        <v>2026-06-19</v>
      </c>
      <c r="M1644">
        <v>15</v>
      </c>
      <c r="N1644" s="7">
        <v>9</v>
      </c>
      <c r="O1644" s="4" t="str">
        <f t="shared" si="75"/>
        <v>julho</v>
      </c>
      <c r="P1644" s="4">
        <f t="shared" si="76"/>
        <v>2026</v>
      </c>
      <c r="Q1644" s="4" t="str">
        <f t="shared" si="77"/>
        <v/>
      </c>
      <c r="R1644" t="s">
        <v>24</v>
      </c>
    </row>
    <row r="1645" spans="1:18" x14ac:dyDescent="0.3">
      <c r="A1645" s="1" t="d">
        <v>2026-07-04</v>
      </c>
      <c r="B1645">
        <v>45503</v>
      </c>
      <c r="C1645" t="str">
        <f>VLOOKUP(Fato_Producao[[#This Row],[referencia]], Dim_Produtos!A:B,2,FALSE)</f>
        <v>sardinha pequena</v>
      </c>
      <c r="D1645">
        <v>3109</v>
      </c>
      <c r="E1645">
        <v>2889</v>
      </c>
      <c r="F1645" s="5">
        <v>7.0800000000000002E-2</v>
      </c>
      <c r="G1645" s="6">
        <v>57.2</v>
      </c>
      <c r="H1645">
        <v>11</v>
      </c>
      <c r="I1645">
        <v>206</v>
      </c>
      <c r="J1645">
        <v>3</v>
      </c>
      <c r="K1645">
        <f>Fato_Producao[[#This Row],[embalagens_danificadas]]+Fato_Producao[[#This Row],[peso_errado]]+Fato_Producao[[#This Row],[impressao]]</f>
        <v>220</v>
      </c>
      <c r="L1645" s="1" t="d">
        <v>2026-06-19</v>
      </c>
      <c r="M1645">
        <v>15</v>
      </c>
      <c r="N1645" s="7">
        <v>6.29</v>
      </c>
      <c r="O1645" s="4" t="str">
        <f t="shared" si="75"/>
        <v>julho</v>
      </c>
      <c r="P1645" s="4">
        <f t="shared" si="76"/>
        <v>2026</v>
      </c>
      <c r="Q1645" s="4" t="str">
        <f t="shared" si="77"/>
        <v/>
      </c>
      <c r="R1645" t="s">
        <v>24</v>
      </c>
    </row>
    <row r="1646" spans="1:18" x14ac:dyDescent="0.3">
      <c r="A1646" s="1" t="d">
        <v>2026-07-05</v>
      </c>
      <c r="B1646">
        <v>45500</v>
      </c>
      <c r="C1646" t="str">
        <f>VLOOKUP(Fato_Producao[[#This Row],[referencia]], Dim_Produtos!A:B,2,FALSE)</f>
        <v>filete pescada</v>
      </c>
      <c r="D1646">
        <v>2409</v>
      </c>
      <c r="E1646">
        <v>2300</v>
      </c>
      <c r="F1646" s="5">
        <v>4.5199999999999997E-2</v>
      </c>
      <c r="G1646" s="6">
        <v>30.52</v>
      </c>
      <c r="H1646">
        <v>38</v>
      </c>
      <c r="I1646">
        <v>19</v>
      </c>
      <c r="J1646">
        <v>52</v>
      </c>
      <c r="K1646">
        <f>Fato_Producao[[#This Row],[embalagens_danificadas]]+Fato_Producao[[#This Row],[peso_errado]]+Fato_Producao[[#This Row],[impressao]]</f>
        <v>109</v>
      </c>
      <c r="L1646" s="1" t="d">
        <v>2026-06-19</v>
      </c>
      <c r="M1646">
        <v>16</v>
      </c>
      <c r="N1646" s="7">
        <v>3.66</v>
      </c>
      <c r="O1646" s="4" t="str">
        <f t="shared" si="75"/>
        <v>julho</v>
      </c>
      <c r="P1646" s="4">
        <f t="shared" si="76"/>
        <v>2026</v>
      </c>
      <c r="Q1646" s="4" t="str">
        <f t="shared" si="77"/>
        <v/>
      </c>
      <c r="R1646" t="s">
        <v>50</v>
      </c>
    </row>
    <row r="1647" spans="1:18" x14ac:dyDescent="0.3">
      <c r="A1647" s="1" t="d">
        <v>2026-07-05</v>
      </c>
      <c r="B1647">
        <v>45500</v>
      </c>
      <c r="C1647" t="str">
        <f>VLOOKUP(Fato_Producao[[#This Row],[referencia]], Dim_Produtos!A:B,2,FALSE)</f>
        <v>filete pescada</v>
      </c>
      <c r="D1647">
        <v>3202</v>
      </c>
      <c r="E1647">
        <v>3033</v>
      </c>
      <c r="F1647" s="5">
        <v>5.28E-2</v>
      </c>
      <c r="G1647" s="6">
        <v>47.32</v>
      </c>
      <c r="H1647">
        <v>8</v>
      </c>
      <c r="I1647">
        <v>158</v>
      </c>
      <c r="J1647">
        <v>3</v>
      </c>
      <c r="K1647">
        <f>Fato_Producao[[#This Row],[embalagens_danificadas]]+Fato_Producao[[#This Row],[peso_errado]]+Fato_Producao[[#This Row],[impressao]]</f>
        <v>169</v>
      </c>
      <c r="L1647" s="1" t="d">
        <v>2026-06-19</v>
      </c>
      <c r="M1647">
        <v>16</v>
      </c>
      <c r="N1647" s="7">
        <v>5.68</v>
      </c>
      <c r="O1647" s="4" t="str">
        <f t="shared" si="75"/>
        <v>julho</v>
      </c>
      <c r="P1647" s="4">
        <f t="shared" si="76"/>
        <v>2026</v>
      </c>
      <c r="Q1647" s="4" t="str">
        <f t="shared" si="77"/>
        <v/>
      </c>
      <c r="R1647" t="s">
        <v>24</v>
      </c>
    </row>
    <row r="1648" spans="1:18" x14ac:dyDescent="0.3">
      <c r="A1648" s="1" t="d">
        <v>2026-07-06</v>
      </c>
      <c r="B1648">
        <v>45505</v>
      </c>
      <c r="C1648" t="str">
        <f>VLOOKUP(Fato_Producao[[#This Row],[referencia]], Dim_Produtos!A:B,2,FALSE)</f>
        <v>camarao</v>
      </c>
      <c r="D1648">
        <v>3787</v>
      </c>
      <c r="E1648">
        <v>3509</v>
      </c>
      <c r="F1648" s="5">
        <v>7.3400000000000007E-2</v>
      </c>
      <c r="G1648" s="6">
        <v>83.4</v>
      </c>
      <c r="H1648">
        <v>80</v>
      </c>
      <c r="I1648">
        <v>192</v>
      </c>
      <c r="J1648">
        <v>6</v>
      </c>
      <c r="K1648">
        <f>Fato_Producao[[#This Row],[embalagens_danificadas]]+Fato_Producao[[#This Row],[peso_errado]]+Fato_Producao[[#This Row],[impressao]]</f>
        <v>278</v>
      </c>
      <c r="L1648" s="1" t="d">
        <v>2026-06-19</v>
      </c>
      <c r="M1648">
        <v>17</v>
      </c>
      <c r="N1648" s="7">
        <v>12.51</v>
      </c>
      <c r="O1648" s="4" t="str">
        <f t="shared" si="75"/>
        <v>julho</v>
      </c>
      <c r="P1648" s="4">
        <f t="shared" si="76"/>
        <v>2026</v>
      </c>
      <c r="Q1648" s="4" t="str">
        <f t="shared" si="77"/>
        <v/>
      </c>
      <c r="R1648" t="s">
        <v>24</v>
      </c>
    </row>
    <row r="1649" spans="1:18" x14ac:dyDescent="0.3">
      <c r="A1649" s="1" t="d">
        <v>2026-07-06</v>
      </c>
      <c r="B1649">
        <v>45513</v>
      </c>
      <c r="C1649" t="str">
        <f>VLOOKUP(Fato_Producao[[#This Row],[referencia]], Dim_Produtos!A:B,2,FALSE)</f>
        <v>filete pescada</v>
      </c>
      <c r="D1649">
        <v>2240</v>
      </c>
      <c r="E1649">
        <v>2081</v>
      </c>
      <c r="F1649" s="5">
        <v>7.0999999999999994E-2</v>
      </c>
      <c r="G1649" s="6">
        <v>50.88</v>
      </c>
      <c r="H1649">
        <v>8</v>
      </c>
      <c r="I1649">
        <v>147</v>
      </c>
      <c r="J1649">
        <v>4</v>
      </c>
      <c r="K1649">
        <f>Fato_Producao[[#This Row],[embalagens_danificadas]]+Fato_Producao[[#This Row],[peso_errado]]+Fato_Producao[[#This Row],[impressao]]</f>
        <v>159</v>
      </c>
      <c r="L1649" s="1" t="d">
        <v>2026-06-19</v>
      </c>
      <c r="M1649">
        <v>17</v>
      </c>
      <c r="N1649" s="7">
        <v>6.61</v>
      </c>
      <c r="O1649" s="4" t="str">
        <f t="shared" si="75"/>
        <v>julho</v>
      </c>
      <c r="P1649" s="4">
        <f t="shared" si="76"/>
        <v>2026</v>
      </c>
      <c r="Q1649" s="4" t="str">
        <f t="shared" si="77"/>
        <v/>
      </c>
      <c r="R1649" t="s">
        <v>24</v>
      </c>
    </row>
    <row r="1650" spans="1:18" x14ac:dyDescent="0.3">
      <c r="A1650" s="1" t="d">
        <v>2026-07-07</v>
      </c>
      <c r="B1650">
        <v>45514</v>
      </c>
      <c r="C1650" t="str">
        <f>VLOOKUP(Fato_Producao[[#This Row],[referencia]], Dim_Produtos!A:B,2,FALSE)</f>
        <v>sardinha pequena</v>
      </c>
      <c r="D1650">
        <v>1805</v>
      </c>
      <c r="E1650">
        <v>1728</v>
      </c>
      <c r="F1650" s="5">
        <v>4.2700000000000002E-2</v>
      </c>
      <c r="G1650" s="6">
        <v>23.1</v>
      </c>
      <c r="H1650">
        <v>4</v>
      </c>
      <c r="I1650">
        <v>72</v>
      </c>
      <c r="J1650">
        <v>1</v>
      </c>
      <c r="K1650">
        <f>Fato_Producao[[#This Row],[embalagens_danificadas]]+Fato_Producao[[#This Row],[peso_errado]]+Fato_Producao[[#This Row],[impressao]]</f>
        <v>77</v>
      </c>
      <c r="L1650" s="1" t="d">
        <v>2026-06-19</v>
      </c>
      <c r="M1650">
        <v>18</v>
      </c>
      <c r="N1650" s="7">
        <v>2.77</v>
      </c>
      <c r="O1650" s="4" t="str">
        <f t="shared" si="75"/>
        <v>julho</v>
      </c>
      <c r="P1650" s="4">
        <f t="shared" si="76"/>
        <v>2026</v>
      </c>
      <c r="Q1650" s="4" t="str">
        <f t="shared" si="77"/>
        <v/>
      </c>
      <c r="R1650" t="s">
        <v>24</v>
      </c>
    </row>
    <row r="1651" spans="1:18" x14ac:dyDescent="0.3">
      <c r="A1651" s="1" t="d">
        <v>2026-07-08</v>
      </c>
      <c r="B1651">
        <v>45509</v>
      </c>
      <c r="C1651" t="str">
        <f>VLOOKUP(Fato_Producao[[#This Row],[referencia]], Dim_Produtos!A:B,2,FALSE)</f>
        <v>lascas bacalhau</v>
      </c>
      <c r="D1651">
        <v>2938</v>
      </c>
      <c r="E1651">
        <v>2727</v>
      </c>
      <c r="F1651" s="5">
        <v>7.1800000000000003E-2</v>
      </c>
      <c r="G1651" s="6">
        <v>59.08</v>
      </c>
      <c r="H1651">
        <v>6</v>
      </c>
      <c r="I1651">
        <v>200</v>
      </c>
      <c r="J1651">
        <v>5</v>
      </c>
      <c r="K1651">
        <f>Fato_Producao[[#This Row],[embalagens_danificadas]]+Fato_Producao[[#This Row],[peso_errado]]+Fato_Producao[[#This Row],[impressao]]</f>
        <v>211</v>
      </c>
      <c r="L1651" s="1" t="d">
        <v>2026-06-19</v>
      </c>
      <c r="M1651">
        <v>19</v>
      </c>
      <c r="N1651" s="7">
        <v>7.68</v>
      </c>
      <c r="O1651" s="4" t="str">
        <f t="shared" si="75"/>
        <v>julho</v>
      </c>
      <c r="P1651" s="4">
        <f t="shared" si="76"/>
        <v>2026</v>
      </c>
      <c r="Q1651" s="4" t="str">
        <f t="shared" si="77"/>
        <v/>
      </c>
      <c r="R1651" t="s">
        <v>24</v>
      </c>
    </row>
    <row r="1652" spans="1:18" x14ac:dyDescent="0.3">
      <c r="A1652" s="1" t="d">
        <v>2026-07-08</v>
      </c>
      <c r="B1652">
        <v>45505</v>
      </c>
      <c r="C1652" t="str">
        <f>VLOOKUP(Fato_Producao[[#This Row],[referencia]], Dim_Produtos!A:B,2,FALSE)</f>
        <v>camarao</v>
      </c>
      <c r="D1652">
        <v>2482</v>
      </c>
      <c r="E1652">
        <v>2313</v>
      </c>
      <c r="F1652" s="5">
        <v>6.8099999999999994E-2</v>
      </c>
      <c r="G1652" s="6">
        <v>50.7</v>
      </c>
      <c r="H1652">
        <v>54</v>
      </c>
      <c r="I1652">
        <v>109</v>
      </c>
      <c r="J1652">
        <v>6</v>
      </c>
      <c r="K1652">
        <f>Fato_Producao[[#This Row],[embalagens_danificadas]]+Fato_Producao[[#This Row],[peso_errado]]+Fato_Producao[[#This Row],[impressao]]</f>
        <v>169</v>
      </c>
      <c r="L1652" s="1" t="d">
        <v>2026-06-19</v>
      </c>
      <c r="M1652">
        <v>19</v>
      </c>
      <c r="N1652" s="7">
        <v>7.61</v>
      </c>
      <c r="O1652" s="4" t="str">
        <f t="shared" si="75"/>
        <v>julho</v>
      </c>
      <c r="P1652" s="4">
        <f t="shared" si="76"/>
        <v>2026</v>
      </c>
      <c r="Q1652" s="4" t="str">
        <f t="shared" si="77"/>
        <v/>
      </c>
      <c r="R1652" t="s">
        <v>24</v>
      </c>
    </row>
    <row r="1653" spans="1:18" x14ac:dyDescent="0.3">
      <c r="A1653" s="1" t="d">
        <v>2026-07-09</v>
      </c>
      <c r="B1653">
        <v>45504</v>
      </c>
      <c r="C1653" t="str">
        <f>VLOOKUP(Fato_Producao[[#This Row],[referencia]], Dim_Produtos!A:B,2,FALSE)</f>
        <v>pescada posta fritar</v>
      </c>
      <c r="D1653">
        <v>4078</v>
      </c>
      <c r="E1653">
        <v>3802</v>
      </c>
      <c r="F1653" s="5">
        <v>6.7699999999999996E-2</v>
      </c>
      <c r="G1653" s="6">
        <v>88.32</v>
      </c>
      <c r="H1653">
        <v>10</v>
      </c>
      <c r="I1653">
        <v>260</v>
      </c>
      <c r="J1653">
        <v>6</v>
      </c>
      <c r="K1653">
        <f>Fato_Producao[[#This Row],[embalagens_danificadas]]+Fato_Producao[[#This Row],[peso_errado]]+Fato_Producao[[#This Row],[impressao]]</f>
        <v>276</v>
      </c>
      <c r="L1653" s="1" t="d">
        <v>2026-06-19</v>
      </c>
      <c r="M1653">
        <v>20</v>
      </c>
      <c r="N1653" s="7">
        <v>12.36</v>
      </c>
      <c r="O1653" s="4" t="str">
        <f t="shared" si="75"/>
        <v>julho</v>
      </c>
      <c r="P1653" s="4">
        <f t="shared" si="76"/>
        <v>2026</v>
      </c>
      <c r="Q1653" s="4" t="str">
        <f t="shared" si="77"/>
        <v/>
      </c>
      <c r="R1653" t="s">
        <v>24</v>
      </c>
    </row>
    <row r="1654" spans="1:18" x14ac:dyDescent="0.3">
      <c r="A1654" s="1" t="d">
        <v>2026-07-09</v>
      </c>
      <c r="B1654">
        <v>45503</v>
      </c>
      <c r="C1654" t="str">
        <f>VLOOKUP(Fato_Producao[[#This Row],[referencia]], Dim_Produtos!A:B,2,FALSE)</f>
        <v>sardinha pequena</v>
      </c>
      <c r="D1654">
        <v>1968</v>
      </c>
      <c r="E1654">
        <v>1859</v>
      </c>
      <c r="F1654" s="5">
        <v>5.5399999999999998E-2</v>
      </c>
      <c r="G1654" s="6">
        <v>28.34</v>
      </c>
      <c r="H1654">
        <v>5</v>
      </c>
      <c r="I1654">
        <v>101</v>
      </c>
      <c r="J1654">
        <v>3</v>
      </c>
      <c r="K1654">
        <f>Fato_Producao[[#This Row],[embalagens_danificadas]]+Fato_Producao[[#This Row],[peso_errado]]+Fato_Producao[[#This Row],[impressao]]</f>
        <v>109</v>
      </c>
      <c r="L1654" s="1" t="d">
        <v>2026-06-19</v>
      </c>
      <c r="M1654">
        <v>20</v>
      </c>
      <c r="N1654" s="7">
        <v>3.12</v>
      </c>
      <c r="O1654" s="4" t="str">
        <f t="shared" si="75"/>
        <v>julho</v>
      </c>
      <c r="P1654" s="4">
        <f t="shared" si="76"/>
        <v>2026</v>
      </c>
      <c r="Q1654" s="4" t="str">
        <f t="shared" si="77"/>
        <v/>
      </c>
      <c r="R1654" t="s">
        <v>24</v>
      </c>
    </row>
    <row r="1655" spans="1:18" x14ac:dyDescent="0.3">
      <c r="A1655" s="1" t="d">
        <v>2026-07-10</v>
      </c>
      <c r="B1655">
        <v>45502</v>
      </c>
      <c r="C1655" t="str">
        <f>VLOOKUP(Fato_Producao[[#This Row],[referencia]], Dim_Produtos!A:B,2,FALSE)</f>
        <v>carapau pelim</v>
      </c>
      <c r="D1655">
        <v>2642</v>
      </c>
      <c r="E1655">
        <v>2505</v>
      </c>
      <c r="F1655" s="5">
        <v>5.1900000000000002E-2</v>
      </c>
      <c r="G1655" s="6">
        <v>41.1</v>
      </c>
      <c r="H1655">
        <v>30</v>
      </c>
      <c r="I1655">
        <v>103</v>
      </c>
      <c r="J1655">
        <v>4</v>
      </c>
      <c r="K1655">
        <f>Fato_Producao[[#This Row],[embalagens_danificadas]]+Fato_Producao[[#This Row],[peso_errado]]+Fato_Producao[[#This Row],[impressao]]</f>
        <v>137</v>
      </c>
      <c r="L1655" s="1" t="d">
        <v>2026-06-19</v>
      </c>
      <c r="M1655">
        <v>21</v>
      </c>
      <c r="N1655" s="7">
        <v>5.34</v>
      </c>
      <c r="O1655" s="4" t="str">
        <f t="shared" si="75"/>
        <v>julho</v>
      </c>
      <c r="P1655" s="4">
        <f t="shared" si="76"/>
        <v>2026</v>
      </c>
      <c r="Q1655" s="4" t="str">
        <f t="shared" si="77"/>
        <v/>
      </c>
      <c r="R1655" t="s">
        <v>24</v>
      </c>
    </row>
    <row r="1656" spans="1:18" x14ac:dyDescent="0.3">
      <c r="A1656" s="1" t="d">
        <v>2026-07-10</v>
      </c>
      <c r="B1656">
        <v>45501</v>
      </c>
      <c r="C1656" t="str">
        <f>VLOOKUP(Fato_Producao[[#This Row],[referencia]], Dim_Produtos!A:B,2,FALSE)</f>
        <v>pescada posta cozer</v>
      </c>
      <c r="D1656">
        <v>1839</v>
      </c>
      <c r="E1656">
        <v>1707</v>
      </c>
      <c r="F1656" s="5">
        <v>7.1800000000000003E-2</v>
      </c>
      <c r="G1656" s="6">
        <v>42.24</v>
      </c>
      <c r="H1656">
        <v>8</v>
      </c>
      <c r="I1656">
        <v>122</v>
      </c>
      <c r="J1656">
        <v>2</v>
      </c>
      <c r="K1656">
        <f>Fato_Producao[[#This Row],[embalagens_danificadas]]+Fato_Producao[[#This Row],[peso_errado]]+Fato_Producao[[#This Row],[impressao]]</f>
        <v>132</v>
      </c>
      <c r="L1656" s="1" t="d">
        <v>2026-06-19</v>
      </c>
      <c r="M1656">
        <v>21</v>
      </c>
      <c r="N1656" s="7">
        <v>5.91</v>
      </c>
      <c r="O1656" s="4" t="str">
        <f t="shared" si="75"/>
        <v>julho</v>
      </c>
      <c r="P1656" s="4">
        <f t="shared" si="76"/>
        <v>2026</v>
      </c>
      <c r="Q1656" s="4" t="str">
        <f t="shared" si="77"/>
        <v/>
      </c>
      <c r="R1656" t="s">
        <v>24</v>
      </c>
    </row>
    <row r="1657" spans="1:18" x14ac:dyDescent="0.3">
      <c r="A1657" s="1" t="d">
        <v>2026-07-11</v>
      </c>
      <c r="B1657">
        <v>45503</v>
      </c>
      <c r="C1657" t="str">
        <f>VLOOKUP(Fato_Producao[[#This Row],[referencia]], Dim_Produtos!A:B,2,FALSE)</f>
        <v>sardinha pequena</v>
      </c>
      <c r="D1657">
        <v>2697</v>
      </c>
      <c r="E1657">
        <v>2517</v>
      </c>
      <c r="F1657" s="5">
        <v>6.6699999999999995E-2</v>
      </c>
      <c r="G1657" s="6">
        <v>46.8</v>
      </c>
      <c r="H1657">
        <v>11</v>
      </c>
      <c r="I1657">
        <v>165</v>
      </c>
      <c r="J1657">
        <v>4</v>
      </c>
      <c r="K1657">
        <f>Fato_Producao[[#This Row],[embalagens_danificadas]]+Fato_Producao[[#This Row],[peso_errado]]+Fato_Producao[[#This Row],[impressao]]</f>
        <v>180</v>
      </c>
      <c r="L1657" s="1" t="d">
        <v>2026-06-19</v>
      </c>
      <c r="M1657">
        <v>22</v>
      </c>
      <c r="N1657" s="7">
        <v>5.15</v>
      </c>
      <c r="O1657" s="4" t="str">
        <f t="shared" si="75"/>
        <v>julho</v>
      </c>
      <c r="P1657" s="4">
        <f t="shared" si="76"/>
        <v>2026</v>
      </c>
      <c r="Q1657" s="4" t="str">
        <f t="shared" si="77"/>
        <v/>
      </c>
      <c r="R1657" t="s">
        <v>24</v>
      </c>
    </row>
    <row r="1658" spans="1:18" x14ac:dyDescent="0.3">
      <c r="A1658" s="1" t="d">
        <v>2026-07-11</v>
      </c>
      <c r="B1658">
        <v>45505</v>
      </c>
      <c r="C1658" t="str">
        <f>VLOOKUP(Fato_Producao[[#This Row],[referencia]], Dim_Produtos!A:B,2,FALSE)</f>
        <v>camarao</v>
      </c>
      <c r="D1658">
        <v>3051</v>
      </c>
      <c r="E1658">
        <v>2857</v>
      </c>
      <c r="F1658" s="5">
        <v>6.3600000000000004E-2</v>
      </c>
      <c r="G1658" s="6">
        <v>58.2</v>
      </c>
      <c r="H1658">
        <v>45</v>
      </c>
      <c r="I1658">
        <v>143</v>
      </c>
      <c r="J1658">
        <v>6</v>
      </c>
      <c r="K1658">
        <f>Fato_Producao[[#This Row],[embalagens_danificadas]]+Fato_Producao[[#This Row],[peso_errado]]+Fato_Producao[[#This Row],[impressao]]</f>
        <v>194</v>
      </c>
      <c r="L1658" s="1" t="d">
        <v>2026-06-19</v>
      </c>
      <c r="M1658">
        <v>22</v>
      </c>
      <c r="N1658" s="7">
        <v>8.73</v>
      </c>
      <c r="O1658" s="4" t="str">
        <f t="shared" si="75"/>
        <v>julho</v>
      </c>
      <c r="P1658" s="4">
        <f t="shared" si="76"/>
        <v>2026</v>
      </c>
      <c r="Q1658" s="4" t="str">
        <f t="shared" si="77"/>
        <v/>
      </c>
      <c r="R1658" t="s">
        <v>24</v>
      </c>
    </row>
    <row r="1659" spans="1:18" x14ac:dyDescent="0.3">
      <c r="A1659" s="1" t="d">
        <v>2026-07-12</v>
      </c>
      <c r="B1659">
        <v>45503</v>
      </c>
      <c r="C1659" t="str">
        <f>VLOOKUP(Fato_Producao[[#This Row],[referencia]], Dim_Produtos!A:B,2,FALSE)</f>
        <v>sardinha pequena</v>
      </c>
      <c r="D1659">
        <v>3915</v>
      </c>
      <c r="E1659">
        <v>3607</v>
      </c>
      <c r="F1659" s="5">
        <v>7.8700000000000006E-2</v>
      </c>
      <c r="G1659" s="6">
        <v>80.08</v>
      </c>
      <c r="H1659">
        <v>19</v>
      </c>
      <c r="I1659">
        <v>282</v>
      </c>
      <c r="J1659">
        <v>7</v>
      </c>
      <c r="K1659">
        <f>Fato_Producao[[#This Row],[embalagens_danificadas]]+Fato_Producao[[#This Row],[peso_errado]]+Fato_Producao[[#This Row],[impressao]]</f>
        <v>308</v>
      </c>
      <c r="L1659" s="1" t="d">
        <v>2026-06-19</v>
      </c>
      <c r="M1659">
        <v>23</v>
      </c>
      <c r="N1659" s="7">
        <v>8.81</v>
      </c>
      <c r="O1659" s="4" t="str">
        <f t="shared" si="75"/>
        <v>julho</v>
      </c>
      <c r="P1659" s="4">
        <f t="shared" si="76"/>
        <v>2026</v>
      </c>
      <c r="Q1659" s="4" t="str">
        <f t="shared" si="77"/>
        <v/>
      </c>
      <c r="R1659" t="s">
        <v>24</v>
      </c>
    </row>
    <row r="1660" spans="1:18" x14ac:dyDescent="0.3">
      <c r="A1660" s="1" t="d">
        <v>2026-07-12</v>
      </c>
      <c r="B1660">
        <v>45510</v>
      </c>
      <c r="C1660" t="str">
        <f>VLOOKUP(Fato_Producao[[#This Row],[referencia]], Dim_Produtos!A:B,2,FALSE)</f>
        <v>tiras pota</v>
      </c>
      <c r="D1660">
        <v>2985</v>
      </c>
      <c r="E1660">
        <v>2697</v>
      </c>
      <c r="F1660" s="5">
        <v>9.6500000000000002E-2</v>
      </c>
      <c r="G1660" s="6">
        <v>92.16</v>
      </c>
      <c r="H1660">
        <v>31</v>
      </c>
      <c r="I1660">
        <v>253</v>
      </c>
      <c r="J1660">
        <v>4</v>
      </c>
      <c r="K1660">
        <f>Fato_Producao[[#This Row],[embalagens_danificadas]]+Fato_Producao[[#This Row],[peso_errado]]+Fato_Producao[[#This Row],[impressao]]</f>
        <v>288</v>
      </c>
      <c r="L1660" s="1" t="d">
        <v>2026-06-19</v>
      </c>
      <c r="M1660">
        <v>23</v>
      </c>
      <c r="N1660" s="7">
        <v>12.9</v>
      </c>
      <c r="O1660" s="4" t="str">
        <f t="shared" si="75"/>
        <v>julho</v>
      </c>
      <c r="P1660" s="4">
        <f t="shared" si="76"/>
        <v>2026</v>
      </c>
      <c r="Q1660" s="4" t="str">
        <f t="shared" si="77"/>
        <v/>
      </c>
      <c r="R1660" t="s">
        <v>24</v>
      </c>
    </row>
    <row r="1661" spans="1:18" x14ac:dyDescent="0.3">
      <c r="A1661" s="1" t="d">
        <v>2026-07-13</v>
      </c>
      <c r="B1661">
        <v>45509</v>
      </c>
      <c r="C1661" t="str">
        <f>VLOOKUP(Fato_Producao[[#This Row],[referencia]], Dim_Produtos!A:B,2,FALSE)</f>
        <v>lascas bacalhau</v>
      </c>
      <c r="D1661">
        <v>3053</v>
      </c>
      <c r="E1661">
        <v>2804</v>
      </c>
      <c r="F1661" s="5">
        <v>8.1600000000000006E-2</v>
      </c>
      <c r="G1661" s="6">
        <v>69.72</v>
      </c>
      <c r="H1661">
        <v>15</v>
      </c>
      <c r="I1661">
        <v>231</v>
      </c>
      <c r="J1661">
        <v>3</v>
      </c>
      <c r="K1661">
        <f>Fato_Producao[[#This Row],[embalagens_danificadas]]+Fato_Producao[[#This Row],[peso_errado]]+Fato_Producao[[#This Row],[impressao]]</f>
        <v>249</v>
      </c>
      <c r="L1661" s="1" t="d">
        <v>2026-06-19</v>
      </c>
      <c r="M1661">
        <v>24</v>
      </c>
      <c r="N1661" s="7">
        <v>9.06</v>
      </c>
      <c r="O1661" s="4" t="str">
        <f t="shared" si="75"/>
        <v>julho</v>
      </c>
      <c r="P1661" s="4">
        <f t="shared" si="76"/>
        <v>2026</v>
      </c>
      <c r="Q1661" s="4" t="str">
        <f t="shared" si="77"/>
        <v/>
      </c>
      <c r="R1661" t="s">
        <v>24</v>
      </c>
    </row>
    <row r="1662" spans="1:18" x14ac:dyDescent="0.3">
      <c r="A1662" s="1" t="d">
        <v>2026-07-13</v>
      </c>
      <c r="B1662">
        <v>45513</v>
      </c>
      <c r="C1662" t="str">
        <f>VLOOKUP(Fato_Producao[[#This Row],[referencia]], Dim_Produtos!A:B,2,FALSE)</f>
        <v>filete pescada</v>
      </c>
      <c r="D1662">
        <v>3618</v>
      </c>
      <c r="E1662">
        <v>3370</v>
      </c>
      <c r="F1662" s="5">
        <v>6.8500000000000005E-2</v>
      </c>
      <c r="G1662" s="6">
        <v>79.36</v>
      </c>
      <c r="H1662">
        <v>20</v>
      </c>
      <c r="I1662">
        <v>226</v>
      </c>
      <c r="J1662">
        <v>2</v>
      </c>
      <c r="K1662">
        <f>Fato_Producao[[#This Row],[embalagens_danificadas]]+Fato_Producao[[#This Row],[peso_errado]]+Fato_Producao[[#This Row],[impressao]]</f>
        <v>248</v>
      </c>
      <c r="L1662" s="1" t="d">
        <v>2026-06-19</v>
      </c>
      <c r="M1662">
        <v>24</v>
      </c>
      <c r="N1662" s="7">
        <v>10.32</v>
      </c>
      <c r="O1662" s="4" t="str">
        <f t="shared" si="75"/>
        <v>julho</v>
      </c>
      <c r="P1662" s="4">
        <f t="shared" si="76"/>
        <v>2026</v>
      </c>
      <c r="Q1662" s="4" t="str">
        <f t="shared" si="77"/>
        <v/>
      </c>
      <c r="R1662" t="s">
        <v>24</v>
      </c>
    </row>
    <row r="1663" spans="1:18" x14ac:dyDescent="0.3">
      <c r="A1663" s="1" t="d">
        <v>2026-07-14</v>
      </c>
      <c r="B1663">
        <v>45502</v>
      </c>
      <c r="C1663" t="str">
        <f>VLOOKUP(Fato_Producao[[#This Row],[referencia]], Dim_Produtos!A:B,2,FALSE)</f>
        <v>carapau pelim</v>
      </c>
      <c r="D1663">
        <v>1908</v>
      </c>
      <c r="E1663">
        <v>1794</v>
      </c>
      <c r="F1663" s="5">
        <v>5.9700000000000003E-2</v>
      </c>
      <c r="G1663" s="6">
        <v>34.200000000000003</v>
      </c>
      <c r="H1663">
        <v>26</v>
      </c>
      <c r="I1663">
        <v>86</v>
      </c>
      <c r="J1663">
        <v>2</v>
      </c>
      <c r="K1663">
        <f>Fato_Producao[[#This Row],[embalagens_danificadas]]+Fato_Producao[[#This Row],[peso_errado]]+Fato_Producao[[#This Row],[impressao]]</f>
        <v>114</v>
      </c>
      <c r="L1663" s="1" t="d">
        <v>2026-06-19</v>
      </c>
      <c r="M1663">
        <v>25</v>
      </c>
      <c r="N1663" s="7">
        <v>4.45</v>
      </c>
      <c r="O1663" s="4" t="str">
        <f t="shared" si="75"/>
        <v>julho</v>
      </c>
      <c r="P1663" s="4">
        <f t="shared" si="76"/>
        <v>2026</v>
      </c>
      <c r="Q1663" s="4" t="str">
        <f t="shared" si="77"/>
        <v/>
      </c>
      <c r="R1663" t="s">
        <v>24</v>
      </c>
    </row>
    <row r="1664" spans="1:18" x14ac:dyDescent="0.3">
      <c r="A1664" s="1" t="d">
        <v>2026-07-14</v>
      </c>
      <c r="B1664">
        <v>45513</v>
      </c>
      <c r="C1664" t="str">
        <f>VLOOKUP(Fato_Producao[[#This Row],[referencia]], Dim_Produtos!A:B,2,FALSE)</f>
        <v>filete pescada</v>
      </c>
      <c r="D1664">
        <v>3156</v>
      </c>
      <c r="E1664">
        <v>2950</v>
      </c>
      <c r="F1664" s="5">
        <v>6.5299999999999997E-2</v>
      </c>
      <c r="G1664" s="6">
        <v>65.92</v>
      </c>
      <c r="H1664">
        <v>10</v>
      </c>
      <c r="I1664">
        <v>192</v>
      </c>
      <c r="J1664">
        <v>4</v>
      </c>
      <c r="K1664">
        <f>Fato_Producao[[#This Row],[embalagens_danificadas]]+Fato_Producao[[#This Row],[peso_errado]]+Fato_Producao[[#This Row],[impressao]]</f>
        <v>206</v>
      </c>
      <c r="L1664" s="1" t="d">
        <v>2026-06-19</v>
      </c>
      <c r="M1664">
        <v>25</v>
      </c>
      <c r="N1664" s="7">
        <v>8.57</v>
      </c>
      <c r="O1664" s="4" t="str">
        <f t="shared" si="75"/>
        <v>julho</v>
      </c>
      <c r="P1664" s="4">
        <f t="shared" si="76"/>
        <v>2026</v>
      </c>
      <c r="Q1664" s="4" t="str">
        <f t="shared" si="77"/>
        <v/>
      </c>
      <c r="R1664" t="s">
        <v>24</v>
      </c>
    </row>
    <row r="1665" spans="1:18" x14ac:dyDescent="0.3">
      <c r="A1665" s="1" t="d">
        <v>2026-07-15</v>
      </c>
      <c r="B1665">
        <v>45507</v>
      </c>
      <c r="C1665" t="str">
        <f>VLOOKUP(Fato_Producao[[#This Row],[referencia]], Dim_Produtos!A:B,2,FALSE)</f>
        <v>salmao posta</v>
      </c>
      <c r="D1665">
        <v>4015</v>
      </c>
      <c r="E1665">
        <v>3803</v>
      </c>
      <c r="F1665" s="5">
        <v>5.28E-2</v>
      </c>
      <c r="G1665" s="6">
        <v>74.2</v>
      </c>
      <c r="H1665">
        <v>11</v>
      </c>
      <c r="I1665">
        <v>197</v>
      </c>
      <c r="J1665">
        <v>4</v>
      </c>
      <c r="K1665">
        <f>Fato_Producao[[#This Row],[embalagens_danificadas]]+Fato_Producao[[#This Row],[peso_errado]]+Fato_Producao[[#This Row],[impressao]]</f>
        <v>212</v>
      </c>
      <c r="L1665" s="1" t="d">
        <v>2026-06-19</v>
      </c>
      <c r="M1665">
        <v>26</v>
      </c>
      <c r="N1665" s="7">
        <v>11.87</v>
      </c>
      <c r="O1665" s="4" t="str">
        <f t="shared" si="75"/>
        <v>julho</v>
      </c>
      <c r="P1665" s="4">
        <f t="shared" si="76"/>
        <v>2026</v>
      </c>
      <c r="Q1665" s="4" t="str">
        <f t="shared" si="77"/>
        <v/>
      </c>
      <c r="R1665" t="s">
        <v>24</v>
      </c>
    </row>
    <row r="1666" spans="1:18" x14ac:dyDescent="0.3">
      <c r="A1666" s="1" t="d">
        <v>2026-07-16</v>
      </c>
      <c r="B1666">
        <v>45506</v>
      </c>
      <c r="C1666" t="str">
        <f>VLOOKUP(Fato_Producao[[#This Row],[referencia]], Dim_Produtos!A:B,2,FALSE)</f>
        <v>perca posta</v>
      </c>
      <c r="D1666">
        <v>2330</v>
      </c>
      <c r="E1666">
        <v>2119</v>
      </c>
      <c r="F1666" s="5">
        <v>9.06E-2</v>
      </c>
      <c r="G1666" s="6">
        <v>73.849999999999994</v>
      </c>
      <c r="H1666">
        <v>7</v>
      </c>
      <c r="I1666">
        <v>201</v>
      </c>
      <c r="J1666">
        <v>3</v>
      </c>
      <c r="K1666">
        <f>Fato_Producao[[#This Row],[embalagens_danificadas]]+Fato_Producao[[#This Row],[peso_errado]]+Fato_Producao[[#This Row],[impressao]]</f>
        <v>211</v>
      </c>
      <c r="L1666" s="1" t="d">
        <v>2026-06-19</v>
      </c>
      <c r="M1666">
        <v>27</v>
      </c>
      <c r="N1666" s="7">
        <v>11.08</v>
      </c>
      <c r="O1666" s="4" t="str">
        <f t="shared" ref="O1666:O1729" si="78">TEXT(A1666, "mmmm")</f>
        <v>julho</v>
      </c>
      <c r="P1666" s="4">
        <f t="shared" ref="P1666:P1729" si="79">YEAR(A1666)</f>
        <v>2026</v>
      </c>
      <c r="Q1666" s="4" t="str">
        <f t="shared" ref="Q1666:Q1729" si="80">IF(M1667 &gt;= M1666, "", M1666)</f>
        <v/>
      </c>
      <c r="R1666" t="s">
        <v>24</v>
      </c>
    </row>
    <row r="1667" spans="1:18" x14ac:dyDescent="0.3">
      <c r="A1667" s="1" t="d">
        <v>2026-07-17</v>
      </c>
      <c r="B1667">
        <v>45510</v>
      </c>
      <c r="C1667" t="str">
        <f>VLOOKUP(Fato_Producao[[#This Row],[referencia]], Dim_Produtos!A:B,2,FALSE)</f>
        <v>tiras pota</v>
      </c>
      <c r="D1667">
        <v>3169</v>
      </c>
      <c r="E1667">
        <v>2862</v>
      </c>
      <c r="F1667" s="5">
        <v>9.69E-2</v>
      </c>
      <c r="G1667" s="6">
        <v>98.24</v>
      </c>
      <c r="H1667">
        <v>26</v>
      </c>
      <c r="I1667">
        <v>275</v>
      </c>
      <c r="J1667">
        <v>6</v>
      </c>
      <c r="K1667">
        <f>Fato_Producao[[#This Row],[embalagens_danificadas]]+Fato_Producao[[#This Row],[peso_errado]]+Fato_Producao[[#This Row],[impressao]]</f>
        <v>307</v>
      </c>
      <c r="L1667" s="1" t="d">
        <v>2026-06-19</v>
      </c>
      <c r="M1667">
        <v>28</v>
      </c>
      <c r="N1667" s="7">
        <v>13.75</v>
      </c>
      <c r="O1667" s="4" t="str">
        <f t="shared" si="78"/>
        <v>julho</v>
      </c>
      <c r="P1667" s="4">
        <f t="shared" si="79"/>
        <v>2026</v>
      </c>
      <c r="Q1667" s="4" t="str">
        <f t="shared" si="80"/>
        <v/>
      </c>
      <c r="R1667" t="s">
        <v>24</v>
      </c>
    </row>
    <row r="1668" spans="1:18" x14ac:dyDescent="0.3">
      <c r="A1668" s="1" t="d">
        <v>2026-07-17</v>
      </c>
      <c r="B1668">
        <v>45503</v>
      </c>
      <c r="C1668" t="str">
        <f>VLOOKUP(Fato_Producao[[#This Row],[referencia]], Dim_Produtos!A:B,2,FALSE)</f>
        <v>sardinha pequena</v>
      </c>
      <c r="D1668">
        <v>2560</v>
      </c>
      <c r="E1668">
        <v>2343</v>
      </c>
      <c r="F1668" s="5">
        <v>8.48E-2</v>
      </c>
      <c r="G1668" s="6">
        <v>56.42</v>
      </c>
      <c r="H1668">
        <v>15</v>
      </c>
      <c r="I1668">
        <v>200</v>
      </c>
      <c r="J1668">
        <v>2</v>
      </c>
      <c r="K1668">
        <f>Fato_Producao[[#This Row],[embalagens_danificadas]]+Fato_Producao[[#This Row],[peso_errado]]+Fato_Producao[[#This Row],[impressao]]</f>
        <v>217</v>
      </c>
      <c r="L1668" s="1" t="d">
        <v>2026-06-19</v>
      </c>
      <c r="M1668">
        <v>28</v>
      </c>
      <c r="N1668" s="7">
        <v>6.21</v>
      </c>
      <c r="O1668" s="4" t="str">
        <f t="shared" si="78"/>
        <v>julho</v>
      </c>
      <c r="P1668" s="4">
        <f t="shared" si="79"/>
        <v>2026</v>
      </c>
      <c r="Q1668" s="4" t="str">
        <f t="shared" si="80"/>
        <v/>
      </c>
      <c r="R1668" t="s">
        <v>24</v>
      </c>
    </row>
    <row r="1669" spans="1:18" x14ac:dyDescent="0.3">
      <c r="A1669" s="1" t="d">
        <v>2026-07-18</v>
      </c>
      <c r="B1669">
        <v>45509</v>
      </c>
      <c r="C1669" t="str">
        <f>VLOOKUP(Fato_Producao[[#This Row],[referencia]], Dim_Produtos!A:B,2,FALSE)</f>
        <v>lascas bacalhau</v>
      </c>
      <c r="D1669">
        <v>4051</v>
      </c>
      <c r="E1669">
        <v>3782</v>
      </c>
      <c r="F1669" s="5">
        <v>6.6400000000000001E-2</v>
      </c>
      <c r="G1669" s="6">
        <v>75.319999999999993</v>
      </c>
      <c r="H1669">
        <v>16</v>
      </c>
      <c r="I1669">
        <v>249</v>
      </c>
      <c r="J1669">
        <v>4</v>
      </c>
      <c r="K1669">
        <f>Fato_Producao[[#This Row],[embalagens_danificadas]]+Fato_Producao[[#This Row],[peso_errado]]+Fato_Producao[[#This Row],[impressao]]</f>
        <v>269</v>
      </c>
      <c r="L1669" s="1" t="d">
        <v>2026-06-19</v>
      </c>
      <c r="M1669">
        <v>29</v>
      </c>
      <c r="N1669" s="7">
        <v>9.7899999999999991</v>
      </c>
      <c r="O1669" s="4" t="str">
        <f t="shared" si="78"/>
        <v>julho</v>
      </c>
      <c r="P1669" s="4">
        <f t="shared" si="79"/>
        <v>2026</v>
      </c>
      <c r="Q1669" s="4" t="str">
        <f t="shared" si="80"/>
        <v/>
      </c>
      <c r="R1669" t="s">
        <v>24</v>
      </c>
    </row>
    <row r="1670" spans="1:18" x14ac:dyDescent="0.3">
      <c r="A1670" s="1" t="d">
        <v>2026-07-18</v>
      </c>
      <c r="B1670">
        <v>45503</v>
      </c>
      <c r="C1670" t="str">
        <f>VLOOKUP(Fato_Producao[[#This Row],[referencia]], Dim_Produtos!A:B,2,FALSE)</f>
        <v>sardinha pequena</v>
      </c>
      <c r="D1670">
        <v>3329</v>
      </c>
      <c r="E1670">
        <v>2990</v>
      </c>
      <c r="F1670" s="5">
        <v>0.1018</v>
      </c>
      <c r="G1670" s="6">
        <v>88.14</v>
      </c>
      <c r="H1670">
        <v>26</v>
      </c>
      <c r="I1670">
        <v>309</v>
      </c>
      <c r="J1670">
        <v>4</v>
      </c>
      <c r="K1670">
        <f>Fato_Producao[[#This Row],[embalagens_danificadas]]+Fato_Producao[[#This Row],[peso_errado]]+Fato_Producao[[#This Row],[impressao]]</f>
        <v>339</v>
      </c>
      <c r="L1670" s="1" t="d">
        <v>2026-06-19</v>
      </c>
      <c r="M1670">
        <v>29</v>
      </c>
      <c r="N1670" s="7">
        <v>9.6999999999999993</v>
      </c>
      <c r="O1670" s="4" t="str">
        <f t="shared" si="78"/>
        <v>julho</v>
      </c>
      <c r="P1670" s="4">
        <f t="shared" si="79"/>
        <v>2026</v>
      </c>
      <c r="Q1670" s="4" t="str">
        <f t="shared" si="80"/>
        <v/>
      </c>
      <c r="R1670" t="s">
        <v>24</v>
      </c>
    </row>
    <row r="1671" spans="1:18" x14ac:dyDescent="0.3">
      <c r="A1671" s="1" t="d">
        <v>2026-07-19</v>
      </c>
      <c r="B1671">
        <v>45508</v>
      </c>
      <c r="C1671" t="str">
        <f>VLOOKUP(Fato_Producao[[#This Row],[referencia]], Dim_Produtos!A:B,2,FALSE)</f>
        <v>lula suja</v>
      </c>
      <c r="D1671">
        <v>3312</v>
      </c>
      <c r="E1671">
        <v>2955</v>
      </c>
      <c r="F1671" s="5">
        <v>0.10780000000000001</v>
      </c>
      <c r="G1671" s="6">
        <v>114.24</v>
      </c>
      <c r="H1671">
        <v>48</v>
      </c>
      <c r="I1671">
        <v>302</v>
      </c>
      <c r="J1671">
        <v>7</v>
      </c>
      <c r="K1671">
        <f>Fato_Producao[[#This Row],[embalagens_danificadas]]+Fato_Producao[[#This Row],[peso_errado]]+Fato_Producao[[#This Row],[impressao]]</f>
        <v>357</v>
      </c>
      <c r="L1671" s="1" t="d">
        <v>2026-06-19</v>
      </c>
      <c r="M1671">
        <v>30</v>
      </c>
      <c r="N1671" s="7">
        <v>15.99</v>
      </c>
      <c r="O1671" s="4" t="str">
        <f t="shared" si="78"/>
        <v>julho</v>
      </c>
      <c r="P1671" s="4">
        <f t="shared" si="79"/>
        <v>2026</v>
      </c>
      <c r="Q1671" s="4" t="str">
        <f t="shared" si="80"/>
        <v/>
      </c>
      <c r="R1671" t="s">
        <v>24</v>
      </c>
    </row>
    <row r="1672" spans="1:18" x14ac:dyDescent="0.3">
      <c r="A1672" s="1" t="d">
        <v>2026-07-20</v>
      </c>
      <c r="B1672">
        <v>45506</v>
      </c>
      <c r="C1672" t="str">
        <f>VLOOKUP(Fato_Producao[[#This Row],[referencia]], Dim_Produtos!A:B,2,FALSE)</f>
        <v>perca posta</v>
      </c>
      <c r="D1672">
        <v>3708</v>
      </c>
      <c r="E1672">
        <v>3494</v>
      </c>
      <c r="F1672" s="5">
        <v>5.7700000000000001E-2</v>
      </c>
      <c r="G1672" s="6">
        <v>74.900000000000006</v>
      </c>
      <c r="H1672">
        <v>9</v>
      </c>
      <c r="I1672">
        <v>201</v>
      </c>
      <c r="J1672">
        <v>4</v>
      </c>
      <c r="K1672">
        <f>Fato_Producao[[#This Row],[embalagens_danificadas]]+Fato_Producao[[#This Row],[peso_errado]]+Fato_Producao[[#This Row],[impressao]]</f>
        <v>214</v>
      </c>
      <c r="L1672" s="1" t="d">
        <v>2026-06-19</v>
      </c>
      <c r="M1672">
        <v>31</v>
      </c>
      <c r="N1672" s="7">
        <v>11.24</v>
      </c>
      <c r="O1672" s="4" t="str">
        <f t="shared" si="78"/>
        <v>julho</v>
      </c>
      <c r="P1672" s="4">
        <f t="shared" si="79"/>
        <v>2026</v>
      </c>
      <c r="Q1672" s="4" t="str">
        <f t="shared" si="80"/>
        <v/>
      </c>
      <c r="R1672" t="s">
        <v>24</v>
      </c>
    </row>
    <row r="1673" spans="1:18" x14ac:dyDescent="0.3">
      <c r="A1673" s="1" t="d">
        <v>2026-07-20</v>
      </c>
      <c r="B1673">
        <v>45508</v>
      </c>
      <c r="C1673" t="str">
        <f>VLOOKUP(Fato_Producao[[#This Row],[referencia]], Dim_Produtos!A:B,2,FALSE)</f>
        <v>lula suja</v>
      </c>
      <c r="D1673">
        <v>2646</v>
      </c>
      <c r="E1673">
        <v>2354</v>
      </c>
      <c r="F1673" s="5">
        <v>0.1104</v>
      </c>
      <c r="G1673" s="6">
        <v>93.44</v>
      </c>
      <c r="H1673">
        <v>33</v>
      </c>
      <c r="I1673">
        <v>252</v>
      </c>
      <c r="J1673">
        <v>7</v>
      </c>
      <c r="K1673">
        <f>Fato_Producao[[#This Row],[embalagens_danificadas]]+Fato_Producao[[#This Row],[peso_errado]]+Fato_Producao[[#This Row],[impressao]]</f>
        <v>292</v>
      </c>
      <c r="L1673" s="1" t="d">
        <v>2026-06-19</v>
      </c>
      <c r="M1673">
        <v>31</v>
      </c>
      <c r="N1673" s="7">
        <v>13.08</v>
      </c>
      <c r="O1673" s="4" t="str">
        <f t="shared" si="78"/>
        <v>julho</v>
      </c>
      <c r="P1673" s="4">
        <f t="shared" si="79"/>
        <v>2026</v>
      </c>
      <c r="Q1673" s="4" t="str">
        <f t="shared" si="80"/>
        <v/>
      </c>
      <c r="R1673" t="s">
        <v>24</v>
      </c>
    </row>
    <row r="1674" spans="1:18" x14ac:dyDescent="0.3">
      <c r="A1674" s="1" t="d">
        <v>2026-07-21</v>
      </c>
      <c r="B1674">
        <v>45511</v>
      </c>
      <c r="C1674" t="str">
        <f>VLOOKUP(Fato_Producao[[#This Row],[referencia]], Dim_Produtos!A:B,2,FALSE)</f>
        <v>lula limpa</v>
      </c>
      <c r="D1674">
        <v>2593</v>
      </c>
      <c r="E1674">
        <v>2352</v>
      </c>
      <c r="F1674" s="5">
        <v>9.2899999999999996E-2</v>
      </c>
      <c r="G1674" s="6">
        <v>77.12</v>
      </c>
      <c r="H1674">
        <v>21</v>
      </c>
      <c r="I1674">
        <v>217</v>
      </c>
      <c r="J1674">
        <v>3</v>
      </c>
      <c r="K1674">
        <f>Fato_Producao[[#This Row],[embalagens_danificadas]]+Fato_Producao[[#This Row],[peso_errado]]+Fato_Producao[[#This Row],[impressao]]</f>
        <v>241</v>
      </c>
      <c r="L1674" s="1" t="d">
        <v>2026-06-19</v>
      </c>
      <c r="M1674">
        <v>32</v>
      </c>
      <c r="N1674" s="7">
        <v>10.8</v>
      </c>
      <c r="O1674" s="4" t="str">
        <f t="shared" si="78"/>
        <v>julho</v>
      </c>
      <c r="P1674" s="4">
        <f t="shared" si="79"/>
        <v>2026</v>
      </c>
      <c r="Q1674" s="4" t="str">
        <f t="shared" si="80"/>
        <v/>
      </c>
      <c r="R1674" t="s">
        <v>24</v>
      </c>
    </row>
    <row r="1675" spans="1:18" x14ac:dyDescent="0.3">
      <c r="A1675" s="1" t="d">
        <v>2026-07-21</v>
      </c>
      <c r="B1675">
        <v>45513</v>
      </c>
      <c r="C1675" t="str">
        <f>VLOOKUP(Fato_Producao[[#This Row],[referencia]], Dim_Produtos!A:B,2,FALSE)</f>
        <v>filete pescada</v>
      </c>
      <c r="D1675">
        <v>2922</v>
      </c>
      <c r="E1675">
        <v>2703</v>
      </c>
      <c r="F1675" s="5">
        <v>7.4899999999999994E-2</v>
      </c>
      <c r="G1675" s="6">
        <v>70.08</v>
      </c>
      <c r="H1675">
        <v>13</v>
      </c>
      <c r="I1675">
        <v>200</v>
      </c>
      <c r="J1675">
        <v>6</v>
      </c>
      <c r="K1675">
        <f>Fato_Producao[[#This Row],[embalagens_danificadas]]+Fato_Producao[[#This Row],[peso_errado]]+Fato_Producao[[#This Row],[impressao]]</f>
        <v>219</v>
      </c>
      <c r="L1675" s="1" t="d">
        <v>2026-06-19</v>
      </c>
      <c r="M1675">
        <v>32</v>
      </c>
      <c r="N1675" s="7">
        <v>9.11</v>
      </c>
      <c r="O1675" s="4" t="str">
        <f t="shared" si="78"/>
        <v>julho</v>
      </c>
      <c r="P1675" s="4">
        <f t="shared" si="79"/>
        <v>2026</v>
      </c>
      <c r="Q1675" s="4" t="str">
        <f t="shared" si="80"/>
        <v/>
      </c>
      <c r="R1675" t="s">
        <v>24</v>
      </c>
    </row>
    <row r="1676" spans="1:18" x14ac:dyDescent="0.3">
      <c r="A1676" s="1" t="d">
        <v>2026-07-22</v>
      </c>
      <c r="B1676">
        <v>45504</v>
      </c>
      <c r="C1676" t="str">
        <f>VLOOKUP(Fato_Producao[[#This Row],[referencia]], Dim_Produtos!A:B,2,FALSE)</f>
        <v>pescada posta fritar</v>
      </c>
      <c r="D1676">
        <v>3117</v>
      </c>
      <c r="E1676">
        <v>2885</v>
      </c>
      <c r="F1676" s="5">
        <v>7.4399999999999994E-2</v>
      </c>
      <c r="G1676" s="6">
        <v>74.239999999999995</v>
      </c>
      <c r="H1676">
        <v>8</v>
      </c>
      <c r="I1676">
        <v>220</v>
      </c>
      <c r="J1676">
        <v>4</v>
      </c>
      <c r="K1676">
        <f>Fato_Producao[[#This Row],[embalagens_danificadas]]+Fato_Producao[[#This Row],[peso_errado]]+Fato_Producao[[#This Row],[impressao]]</f>
        <v>232</v>
      </c>
      <c r="L1676" s="1" t="d">
        <v>2026-06-19</v>
      </c>
      <c r="M1676">
        <v>33</v>
      </c>
      <c r="N1676" s="7">
        <v>10.39</v>
      </c>
      <c r="O1676" s="4" t="str">
        <f t="shared" si="78"/>
        <v>julho</v>
      </c>
      <c r="P1676" s="4">
        <f t="shared" si="79"/>
        <v>2026</v>
      </c>
      <c r="Q1676" s="4" t="str">
        <f t="shared" si="80"/>
        <v/>
      </c>
      <c r="R1676" t="s">
        <v>24</v>
      </c>
    </row>
    <row r="1677" spans="1:18" x14ac:dyDescent="0.3">
      <c r="A1677" s="1" t="d">
        <v>2026-07-23</v>
      </c>
      <c r="B1677">
        <v>45501</v>
      </c>
      <c r="C1677" t="str">
        <f>VLOOKUP(Fato_Producao[[#This Row],[referencia]], Dim_Produtos!A:B,2,FALSE)</f>
        <v>pescada posta cozer</v>
      </c>
      <c r="D1677">
        <v>2686</v>
      </c>
      <c r="E1677">
        <v>2447</v>
      </c>
      <c r="F1677" s="5">
        <v>8.8999999999999996E-2</v>
      </c>
      <c r="G1677" s="6">
        <v>76.48</v>
      </c>
      <c r="H1677">
        <v>15</v>
      </c>
      <c r="I1677">
        <v>219</v>
      </c>
      <c r="J1677">
        <v>5</v>
      </c>
      <c r="K1677">
        <f>Fato_Producao[[#This Row],[embalagens_danificadas]]+Fato_Producao[[#This Row],[peso_errado]]+Fato_Producao[[#This Row],[impressao]]</f>
        <v>239</v>
      </c>
      <c r="L1677" s="1" t="d">
        <v>2026-06-19</v>
      </c>
      <c r="M1677">
        <v>34</v>
      </c>
      <c r="N1677" s="7">
        <v>10.71</v>
      </c>
      <c r="O1677" s="4" t="str">
        <f t="shared" si="78"/>
        <v>julho</v>
      </c>
      <c r="P1677" s="4">
        <f t="shared" si="79"/>
        <v>2026</v>
      </c>
      <c r="Q1677" s="4" t="str">
        <f t="shared" si="80"/>
        <v/>
      </c>
      <c r="R1677" t="s">
        <v>24</v>
      </c>
    </row>
    <row r="1678" spans="1:18" x14ac:dyDescent="0.3">
      <c r="A1678" s="1" t="d">
        <v>2026-07-24</v>
      </c>
      <c r="B1678">
        <v>45503</v>
      </c>
      <c r="C1678" t="str">
        <f>VLOOKUP(Fato_Producao[[#This Row],[referencia]], Dim_Produtos!A:B,2,FALSE)</f>
        <v>sardinha pequena</v>
      </c>
      <c r="D1678">
        <v>4161</v>
      </c>
      <c r="E1678">
        <v>3796</v>
      </c>
      <c r="F1678" s="5">
        <v>8.77E-2</v>
      </c>
      <c r="G1678" s="6">
        <v>94.9</v>
      </c>
      <c r="H1678">
        <v>22</v>
      </c>
      <c r="I1678">
        <v>338</v>
      </c>
      <c r="J1678">
        <v>5</v>
      </c>
      <c r="K1678">
        <f>Fato_Producao[[#This Row],[embalagens_danificadas]]+Fato_Producao[[#This Row],[peso_errado]]+Fato_Producao[[#This Row],[impressao]]</f>
        <v>365</v>
      </c>
      <c r="L1678" s="1" t="d">
        <v>2026-06-19</v>
      </c>
      <c r="M1678">
        <v>35</v>
      </c>
      <c r="N1678" s="7">
        <v>10.44</v>
      </c>
      <c r="O1678" s="4" t="str">
        <f t="shared" si="78"/>
        <v>julho</v>
      </c>
      <c r="P1678" s="4">
        <f t="shared" si="79"/>
        <v>2026</v>
      </c>
      <c r="Q1678" s="4" t="str">
        <f t="shared" si="80"/>
        <v/>
      </c>
      <c r="R1678" t="s">
        <v>24</v>
      </c>
    </row>
    <row r="1679" spans="1:18" x14ac:dyDescent="0.3">
      <c r="A1679" s="1" t="d">
        <v>2026-07-24</v>
      </c>
      <c r="B1679">
        <v>45514</v>
      </c>
      <c r="C1679" t="str">
        <f>VLOOKUP(Fato_Producao[[#This Row],[referencia]], Dim_Produtos!A:B,2,FALSE)</f>
        <v>sardinha pequena</v>
      </c>
      <c r="D1679">
        <v>3195</v>
      </c>
      <c r="E1679">
        <v>2914</v>
      </c>
      <c r="F1679" s="5">
        <v>8.7900000000000006E-2</v>
      </c>
      <c r="G1679" s="6">
        <v>84.3</v>
      </c>
      <c r="H1679">
        <v>18</v>
      </c>
      <c r="I1679">
        <v>257</v>
      </c>
      <c r="J1679">
        <v>6</v>
      </c>
      <c r="K1679">
        <f>Fato_Producao[[#This Row],[embalagens_danificadas]]+Fato_Producao[[#This Row],[peso_errado]]+Fato_Producao[[#This Row],[impressao]]</f>
        <v>281</v>
      </c>
      <c r="L1679" s="1" t="d">
        <v>2026-06-19</v>
      </c>
      <c r="M1679">
        <v>35</v>
      </c>
      <c r="N1679" s="7">
        <v>10.119999999999999</v>
      </c>
      <c r="O1679" s="4" t="str">
        <f t="shared" si="78"/>
        <v>julho</v>
      </c>
      <c r="P1679" s="4">
        <f t="shared" si="79"/>
        <v>2026</v>
      </c>
      <c r="Q1679" s="4" t="str">
        <f t="shared" si="80"/>
        <v/>
      </c>
      <c r="R1679" t="s">
        <v>24</v>
      </c>
    </row>
    <row r="1680" spans="1:18" x14ac:dyDescent="0.3">
      <c r="A1680" s="1" t="d">
        <v>2026-07-25</v>
      </c>
      <c r="B1680">
        <v>45506</v>
      </c>
      <c r="C1680" t="str">
        <f>VLOOKUP(Fato_Producao[[#This Row],[referencia]], Dim_Produtos!A:B,2,FALSE)</f>
        <v>perca posta</v>
      </c>
      <c r="D1680">
        <v>3874</v>
      </c>
      <c r="E1680">
        <v>3667</v>
      </c>
      <c r="F1680" s="5">
        <v>5.3400000000000003E-2</v>
      </c>
      <c r="G1680" s="6">
        <v>72.45</v>
      </c>
      <c r="H1680">
        <v>91</v>
      </c>
      <c r="I1680">
        <v>34</v>
      </c>
      <c r="J1680">
        <v>82</v>
      </c>
      <c r="K1680">
        <f>Fato_Producao[[#This Row],[embalagens_danificadas]]+Fato_Producao[[#This Row],[peso_errado]]+Fato_Producao[[#This Row],[impressao]]</f>
        <v>207</v>
      </c>
      <c r="L1680" s="1" t="d">
        <v>2026-06-19</v>
      </c>
      <c r="M1680">
        <v>36</v>
      </c>
      <c r="N1680" s="7">
        <v>10.87</v>
      </c>
      <c r="O1680" s="4" t="str">
        <f t="shared" si="78"/>
        <v>julho</v>
      </c>
      <c r="P1680" s="4">
        <f t="shared" si="79"/>
        <v>2026</v>
      </c>
      <c r="Q1680" s="4" t="str">
        <f t="shared" si="80"/>
        <v/>
      </c>
      <c r="R1680" t="s">
        <v>50</v>
      </c>
    </row>
    <row r="1681" spans="1:18" x14ac:dyDescent="0.3">
      <c r="A1681" s="1" t="d">
        <v>2026-07-26</v>
      </c>
      <c r="B1681">
        <v>45508</v>
      </c>
      <c r="C1681" t="str">
        <f>VLOOKUP(Fato_Producao[[#This Row],[referencia]], Dim_Produtos!A:B,2,FALSE)</f>
        <v>lula suja</v>
      </c>
      <c r="D1681">
        <v>2811</v>
      </c>
      <c r="E1681">
        <v>2491</v>
      </c>
      <c r="F1681" s="5">
        <v>0.1138</v>
      </c>
      <c r="G1681" s="6">
        <v>102.4</v>
      </c>
      <c r="H1681">
        <v>35</v>
      </c>
      <c r="I1681">
        <v>276</v>
      </c>
      <c r="J1681">
        <v>9</v>
      </c>
      <c r="K1681">
        <f>Fato_Producao[[#This Row],[embalagens_danificadas]]+Fato_Producao[[#This Row],[peso_errado]]+Fato_Producao[[#This Row],[impressao]]</f>
        <v>320</v>
      </c>
      <c r="L1681" s="1" t="d">
        <v>2026-06-19</v>
      </c>
      <c r="M1681">
        <v>37</v>
      </c>
      <c r="N1681" s="7">
        <v>14.34</v>
      </c>
      <c r="O1681" s="4" t="str">
        <f t="shared" si="78"/>
        <v>julho</v>
      </c>
      <c r="P1681" s="4">
        <f t="shared" si="79"/>
        <v>2026</v>
      </c>
      <c r="Q1681" s="4" t="str">
        <f t="shared" si="80"/>
        <v/>
      </c>
      <c r="R1681" t="s">
        <v>24</v>
      </c>
    </row>
    <row r="1682" spans="1:18" x14ac:dyDescent="0.3">
      <c r="A1682" s="1" t="d">
        <v>2026-07-26</v>
      </c>
      <c r="B1682">
        <v>45501</v>
      </c>
      <c r="C1682" t="str">
        <f>VLOOKUP(Fato_Producao[[#This Row],[referencia]], Dim_Produtos!A:B,2,FALSE)</f>
        <v>pescada posta cozer</v>
      </c>
      <c r="D1682">
        <v>2965</v>
      </c>
      <c r="E1682">
        <v>2766</v>
      </c>
      <c r="F1682" s="5">
        <v>6.7100000000000007E-2</v>
      </c>
      <c r="G1682" s="6">
        <v>63.68</v>
      </c>
      <c r="H1682">
        <v>11</v>
      </c>
      <c r="I1682">
        <v>184</v>
      </c>
      <c r="J1682">
        <v>4</v>
      </c>
      <c r="K1682">
        <f>Fato_Producao[[#This Row],[embalagens_danificadas]]+Fato_Producao[[#This Row],[peso_errado]]+Fato_Producao[[#This Row],[impressao]]</f>
        <v>199</v>
      </c>
      <c r="L1682" s="1" t="d">
        <v>2026-06-19</v>
      </c>
      <c r="M1682">
        <v>37</v>
      </c>
      <c r="N1682" s="7">
        <v>8.92</v>
      </c>
      <c r="O1682" s="4" t="str">
        <f t="shared" si="78"/>
        <v>julho</v>
      </c>
      <c r="P1682" s="4">
        <f t="shared" si="79"/>
        <v>2026</v>
      </c>
      <c r="Q1682" s="4" t="str">
        <f t="shared" si="80"/>
        <v/>
      </c>
      <c r="R1682" t="s">
        <v>24</v>
      </c>
    </row>
    <row r="1683" spans="1:18" x14ac:dyDescent="0.3">
      <c r="A1683" s="1" t="d">
        <v>2026-07-27</v>
      </c>
      <c r="B1683">
        <v>45511</v>
      </c>
      <c r="C1683" t="str">
        <f>VLOOKUP(Fato_Producao[[#This Row],[referencia]], Dim_Produtos!A:B,2,FALSE)</f>
        <v>lula limpa</v>
      </c>
      <c r="D1683">
        <v>2871</v>
      </c>
      <c r="E1683">
        <v>2599</v>
      </c>
      <c r="F1683" s="5">
        <v>9.4700000000000006E-2</v>
      </c>
      <c r="G1683" s="6">
        <v>87.04</v>
      </c>
      <c r="H1683">
        <v>25</v>
      </c>
      <c r="I1683">
        <v>242</v>
      </c>
      <c r="J1683">
        <v>5</v>
      </c>
      <c r="K1683">
        <f>Fato_Producao[[#This Row],[embalagens_danificadas]]+Fato_Producao[[#This Row],[peso_errado]]+Fato_Producao[[#This Row],[impressao]]</f>
        <v>272</v>
      </c>
      <c r="L1683" s="1" t="d">
        <v>2026-06-19</v>
      </c>
      <c r="M1683">
        <v>38</v>
      </c>
      <c r="N1683" s="7">
        <v>12.19</v>
      </c>
      <c r="O1683" s="4" t="str">
        <f t="shared" si="78"/>
        <v>julho</v>
      </c>
      <c r="P1683" s="4">
        <f t="shared" si="79"/>
        <v>2026</v>
      </c>
      <c r="Q1683" s="4" t="str">
        <f t="shared" si="80"/>
        <v/>
      </c>
      <c r="R1683" t="s">
        <v>24</v>
      </c>
    </row>
    <row r="1684" spans="1:18" x14ac:dyDescent="0.3">
      <c r="A1684" s="1" t="d">
        <v>2026-07-27</v>
      </c>
      <c r="B1684">
        <v>45507</v>
      </c>
      <c r="C1684" t="str">
        <f>VLOOKUP(Fato_Producao[[#This Row],[referencia]], Dim_Produtos!A:B,2,FALSE)</f>
        <v>salmao posta</v>
      </c>
      <c r="D1684">
        <v>3792</v>
      </c>
      <c r="E1684">
        <v>3560</v>
      </c>
      <c r="F1684" s="5">
        <v>6.1199999999999997E-2</v>
      </c>
      <c r="G1684" s="6">
        <v>81.2</v>
      </c>
      <c r="H1684">
        <v>12</v>
      </c>
      <c r="I1684">
        <v>214</v>
      </c>
      <c r="J1684">
        <v>6</v>
      </c>
      <c r="K1684">
        <f>Fato_Producao[[#This Row],[embalagens_danificadas]]+Fato_Producao[[#This Row],[peso_errado]]+Fato_Producao[[#This Row],[impressao]]</f>
        <v>232</v>
      </c>
      <c r="L1684" s="1" t="d">
        <v>2026-06-19</v>
      </c>
      <c r="M1684">
        <v>38</v>
      </c>
      <c r="N1684" s="7">
        <v>12.99</v>
      </c>
      <c r="O1684" s="4" t="str">
        <f t="shared" si="78"/>
        <v>julho</v>
      </c>
      <c r="P1684" s="4">
        <f t="shared" si="79"/>
        <v>2026</v>
      </c>
      <c r="Q1684" s="4" t="str">
        <f t="shared" si="80"/>
        <v/>
      </c>
      <c r="R1684" t="s">
        <v>24</v>
      </c>
    </row>
    <row r="1685" spans="1:18" x14ac:dyDescent="0.3">
      <c r="A1685" s="1" t="d">
        <v>2026-07-28</v>
      </c>
      <c r="B1685">
        <v>45503</v>
      </c>
      <c r="C1685" t="str">
        <f>VLOOKUP(Fato_Producao[[#This Row],[referencia]], Dim_Produtos!A:B,2,FALSE)</f>
        <v>sardinha pequena</v>
      </c>
      <c r="D1685">
        <v>3242</v>
      </c>
      <c r="E1685">
        <v>2968</v>
      </c>
      <c r="F1685" s="5">
        <v>8.4500000000000006E-2</v>
      </c>
      <c r="G1685" s="6">
        <v>71.239999999999995</v>
      </c>
      <c r="H1685">
        <v>15</v>
      </c>
      <c r="I1685">
        <v>256</v>
      </c>
      <c r="J1685">
        <v>3</v>
      </c>
      <c r="K1685">
        <f>Fato_Producao[[#This Row],[embalagens_danificadas]]+Fato_Producao[[#This Row],[peso_errado]]+Fato_Producao[[#This Row],[impressao]]</f>
        <v>274</v>
      </c>
      <c r="L1685" s="1" t="d">
        <v>2026-06-19</v>
      </c>
      <c r="M1685">
        <v>39</v>
      </c>
      <c r="N1685" s="7">
        <v>7.84</v>
      </c>
      <c r="O1685" s="4" t="str">
        <f t="shared" si="78"/>
        <v>julho</v>
      </c>
      <c r="P1685" s="4">
        <f t="shared" si="79"/>
        <v>2026</v>
      </c>
      <c r="Q1685" s="4" t="str">
        <f t="shared" si="80"/>
        <v/>
      </c>
      <c r="R1685" t="s">
        <v>24</v>
      </c>
    </row>
    <row r="1686" spans="1:18" x14ac:dyDescent="0.3">
      <c r="A1686" s="1" t="d">
        <v>2026-07-28</v>
      </c>
      <c r="B1686">
        <v>45505</v>
      </c>
      <c r="C1686" t="str">
        <f>VLOOKUP(Fato_Producao[[#This Row],[referencia]], Dim_Produtos!A:B,2,FALSE)</f>
        <v>camarao</v>
      </c>
      <c r="D1686">
        <v>2085</v>
      </c>
      <c r="E1686">
        <v>1923</v>
      </c>
      <c r="F1686" s="5">
        <v>7.7700000000000005E-2</v>
      </c>
      <c r="G1686" s="6">
        <v>48.6</v>
      </c>
      <c r="H1686">
        <v>33</v>
      </c>
      <c r="I1686">
        <v>126</v>
      </c>
      <c r="J1686">
        <v>3</v>
      </c>
      <c r="K1686">
        <f>Fato_Producao[[#This Row],[embalagens_danificadas]]+Fato_Producao[[#This Row],[peso_errado]]+Fato_Producao[[#This Row],[impressao]]</f>
        <v>162</v>
      </c>
      <c r="L1686" s="1" t="d">
        <v>2026-06-19</v>
      </c>
      <c r="M1686">
        <v>39</v>
      </c>
      <c r="N1686" s="7">
        <v>7.29</v>
      </c>
      <c r="O1686" s="4" t="str">
        <f t="shared" si="78"/>
        <v>julho</v>
      </c>
      <c r="P1686" s="4">
        <f t="shared" si="79"/>
        <v>2026</v>
      </c>
      <c r="Q1686" s="4" t="str">
        <f t="shared" si="80"/>
        <v/>
      </c>
      <c r="R1686" t="s">
        <v>24</v>
      </c>
    </row>
    <row r="1687" spans="1:18" x14ac:dyDescent="0.3">
      <c r="A1687" s="1" t="d">
        <v>2026-07-29</v>
      </c>
      <c r="B1687">
        <v>45512</v>
      </c>
      <c r="C1687" t="str">
        <f>VLOOKUP(Fato_Producao[[#This Row],[referencia]], Dim_Produtos!A:B,2,FALSE)</f>
        <v>red-fish posta</v>
      </c>
      <c r="D1687">
        <v>2361</v>
      </c>
      <c r="E1687">
        <v>2178</v>
      </c>
      <c r="F1687" s="5">
        <v>7.7499999999999999E-2</v>
      </c>
      <c r="G1687" s="6">
        <v>62.22</v>
      </c>
      <c r="H1687">
        <v>11</v>
      </c>
      <c r="I1687">
        <v>168</v>
      </c>
      <c r="J1687">
        <v>4</v>
      </c>
      <c r="K1687">
        <f>Fato_Producao[[#This Row],[embalagens_danificadas]]+Fato_Producao[[#This Row],[peso_errado]]+Fato_Producao[[#This Row],[impressao]]</f>
        <v>183</v>
      </c>
      <c r="L1687" s="1" t="d">
        <v>2026-06-19</v>
      </c>
      <c r="M1687">
        <v>40</v>
      </c>
      <c r="N1687" s="7">
        <v>8.7100000000000009</v>
      </c>
      <c r="O1687" s="4" t="str">
        <f t="shared" si="78"/>
        <v>julho</v>
      </c>
      <c r="P1687" s="4">
        <f t="shared" si="79"/>
        <v>2026</v>
      </c>
      <c r="Q1687" s="4" t="str">
        <f t="shared" si="80"/>
        <v/>
      </c>
      <c r="R1687" t="s">
        <v>24</v>
      </c>
    </row>
    <row r="1688" spans="1:18" x14ac:dyDescent="0.3">
      <c r="A1688" s="1" t="d">
        <v>2026-07-29</v>
      </c>
      <c r="B1688">
        <v>45513</v>
      </c>
      <c r="C1688" t="str">
        <f>VLOOKUP(Fato_Producao[[#This Row],[referencia]], Dim_Produtos!A:B,2,FALSE)</f>
        <v>filete pescada</v>
      </c>
      <c r="D1688">
        <v>3645</v>
      </c>
      <c r="E1688">
        <v>3350</v>
      </c>
      <c r="F1688" s="5">
        <v>8.09E-2</v>
      </c>
      <c r="G1688" s="6">
        <v>94.4</v>
      </c>
      <c r="H1688">
        <v>11</v>
      </c>
      <c r="I1688">
        <v>280</v>
      </c>
      <c r="J1688">
        <v>4</v>
      </c>
      <c r="K1688">
        <f>Fato_Producao[[#This Row],[embalagens_danificadas]]+Fato_Producao[[#This Row],[peso_errado]]+Fato_Producao[[#This Row],[impressao]]</f>
        <v>295</v>
      </c>
      <c r="L1688" s="1" t="d">
        <v>2026-06-19</v>
      </c>
      <c r="M1688">
        <v>40</v>
      </c>
      <c r="N1688" s="7">
        <v>12.27</v>
      </c>
      <c r="O1688" s="4" t="str">
        <f t="shared" si="78"/>
        <v>julho</v>
      </c>
      <c r="P1688" s="4">
        <f t="shared" si="79"/>
        <v>2026</v>
      </c>
      <c r="Q1688" s="4" t="str">
        <f t="shared" si="80"/>
        <v/>
      </c>
      <c r="R1688" t="s">
        <v>24</v>
      </c>
    </row>
    <row r="1689" spans="1:18" x14ac:dyDescent="0.3">
      <c r="A1689" s="1" t="d">
        <v>2026-07-30</v>
      </c>
      <c r="B1689">
        <v>45510</v>
      </c>
      <c r="C1689" t="str">
        <f>VLOOKUP(Fato_Producao[[#This Row],[referencia]], Dim_Produtos!A:B,2,FALSE)</f>
        <v>tiras pota</v>
      </c>
      <c r="D1689">
        <v>1891</v>
      </c>
      <c r="E1689">
        <v>1696</v>
      </c>
      <c r="F1689" s="5">
        <v>0.1031</v>
      </c>
      <c r="G1689" s="6">
        <v>62.4</v>
      </c>
      <c r="H1689">
        <v>29</v>
      </c>
      <c r="I1689">
        <v>161</v>
      </c>
      <c r="J1689">
        <v>5</v>
      </c>
      <c r="K1689">
        <f>Fato_Producao[[#This Row],[embalagens_danificadas]]+Fato_Producao[[#This Row],[peso_errado]]+Fato_Producao[[#This Row],[impressao]]</f>
        <v>195</v>
      </c>
      <c r="L1689" s="1" t="d">
        <v>2026-06-19</v>
      </c>
      <c r="M1689">
        <v>41</v>
      </c>
      <c r="N1689" s="7">
        <v>8.74</v>
      </c>
      <c r="O1689" s="4" t="str">
        <f t="shared" si="78"/>
        <v>julho</v>
      </c>
      <c r="P1689" s="4">
        <f t="shared" si="79"/>
        <v>2026</v>
      </c>
      <c r="Q1689" s="4" t="str">
        <f t="shared" si="80"/>
        <v/>
      </c>
      <c r="R1689" t="s">
        <v>24</v>
      </c>
    </row>
    <row r="1690" spans="1:18" x14ac:dyDescent="0.3">
      <c r="A1690" s="1" t="d">
        <v>2026-07-31</v>
      </c>
      <c r="B1690">
        <v>45508</v>
      </c>
      <c r="C1690" t="str">
        <f>VLOOKUP(Fato_Producao[[#This Row],[referencia]], Dim_Produtos!A:B,2,FALSE)</f>
        <v>lula suja</v>
      </c>
      <c r="D1690">
        <v>3242</v>
      </c>
      <c r="E1690">
        <v>2930</v>
      </c>
      <c r="F1690" s="5">
        <v>9.6199999999999994E-2</v>
      </c>
      <c r="G1690" s="6">
        <v>99.84</v>
      </c>
      <c r="H1690">
        <v>45</v>
      </c>
      <c r="I1690">
        <v>258</v>
      </c>
      <c r="J1690">
        <v>9</v>
      </c>
      <c r="K1690">
        <f>Fato_Producao[[#This Row],[embalagens_danificadas]]+Fato_Producao[[#This Row],[peso_errado]]+Fato_Producao[[#This Row],[impressao]]</f>
        <v>312</v>
      </c>
      <c r="L1690" s="1" t="d">
        <v>2026-06-19</v>
      </c>
      <c r="M1690">
        <v>42</v>
      </c>
      <c r="N1690" s="7">
        <v>13.98</v>
      </c>
      <c r="O1690" s="4" t="str">
        <f t="shared" si="78"/>
        <v>julho</v>
      </c>
      <c r="P1690" s="4">
        <f t="shared" si="79"/>
        <v>2026</v>
      </c>
      <c r="Q1690" s="4" t="str">
        <f t="shared" si="80"/>
        <v/>
      </c>
      <c r="R1690" t="s">
        <v>24</v>
      </c>
    </row>
    <row r="1691" spans="1:18" x14ac:dyDescent="0.3">
      <c r="A1691" s="1" t="d">
        <v>2026-08-01</v>
      </c>
      <c r="B1691">
        <v>45505</v>
      </c>
      <c r="C1691" t="str">
        <f>VLOOKUP(Fato_Producao[[#This Row],[referencia]], Dim_Produtos!A:B,2,FALSE)</f>
        <v>camarao</v>
      </c>
      <c r="D1691">
        <v>3549</v>
      </c>
      <c r="E1691">
        <v>3267</v>
      </c>
      <c r="F1691" s="5">
        <v>7.9500000000000001E-2</v>
      </c>
      <c r="G1691" s="6">
        <v>84.6</v>
      </c>
      <c r="H1691">
        <v>70</v>
      </c>
      <c r="I1691">
        <v>204</v>
      </c>
      <c r="J1691">
        <v>8</v>
      </c>
      <c r="K1691">
        <f>Fato_Producao[[#This Row],[embalagens_danificadas]]+Fato_Producao[[#This Row],[peso_errado]]+Fato_Producao[[#This Row],[impressao]]</f>
        <v>282</v>
      </c>
      <c r="L1691" s="1" t="d">
        <v>2026-06-19</v>
      </c>
      <c r="M1691">
        <v>43</v>
      </c>
      <c r="N1691" s="7">
        <v>12.69</v>
      </c>
      <c r="O1691" s="4" t="str">
        <f t="shared" si="78"/>
        <v>agosto</v>
      </c>
      <c r="P1691" s="4">
        <f t="shared" si="79"/>
        <v>2026</v>
      </c>
      <c r="Q1691" s="4" t="str">
        <f t="shared" si="80"/>
        <v/>
      </c>
      <c r="R1691" t="s">
        <v>24</v>
      </c>
    </row>
    <row r="1692" spans="1:18" x14ac:dyDescent="0.3">
      <c r="A1692" s="1" t="d">
        <v>2026-08-01</v>
      </c>
      <c r="B1692">
        <v>45514</v>
      </c>
      <c r="C1692" t="str">
        <f>VLOOKUP(Fato_Producao[[#This Row],[referencia]], Dim_Produtos!A:B,2,FALSE)</f>
        <v>sardinha pequena</v>
      </c>
      <c r="D1692">
        <v>2567</v>
      </c>
      <c r="E1692">
        <v>2363</v>
      </c>
      <c r="F1692" s="5">
        <v>7.9500000000000001E-2</v>
      </c>
      <c r="G1692" s="6">
        <v>61.2</v>
      </c>
      <c r="H1692">
        <v>5</v>
      </c>
      <c r="I1692">
        <v>194</v>
      </c>
      <c r="J1692">
        <v>5</v>
      </c>
      <c r="K1692">
        <f>Fato_Producao[[#This Row],[embalagens_danificadas]]+Fato_Producao[[#This Row],[peso_errado]]+Fato_Producao[[#This Row],[impressao]]</f>
        <v>204</v>
      </c>
      <c r="L1692" s="1" t="d">
        <v>2026-06-19</v>
      </c>
      <c r="M1692">
        <v>43</v>
      </c>
      <c r="N1692" s="7">
        <v>7.34</v>
      </c>
      <c r="O1692" s="4" t="str">
        <f t="shared" si="78"/>
        <v>agosto</v>
      </c>
      <c r="P1692" s="4">
        <f t="shared" si="79"/>
        <v>2026</v>
      </c>
      <c r="Q1692" s="4" t="str">
        <f t="shared" si="80"/>
        <v/>
      </c>
      <c r="R1692" t="s">
        <v>24</v>
      </c>
    </row>
    <row r="1693" spans="1:18" x14ac:dyDescent="0.3">
      <c r="A1693" s="1" t="d">
        <v>2026-08-02</v>
      </c>
      <c r="B1693">
        <v>45514</v>
      </c>
      <c r="C1693" t="str">
        <f>VLOOKUP(Fato_Producao[[#This Row],[referencia]], Dim_Produtos!A:B,2,FALSE)</f>
        <v>sardinha pequena</v>
      </c>
      <c r="D1693">
        <v>2870</v>
      </c>
      <c r="E1693">
        <v>2615</v>
      </c>
      <c r="F1693" s="5">
        <v>8.8900000000000007E-2</v>
      </c>
      <c r="G1693" s="6">
        <v>76.5</v>
      </c>
      <c r="H1693">
        <v>13</v>
      </c>
      <c r="I1693">
        <v>237</v>
      </c>
      <c r="J1693">
        <v>5</v>
      </c>
      <c r="K1693">
        <f>Fato_Producao[[#This Row],[embalagens_danificadas]]+Fato_Producao[[#This Row],[peso_errado]]+Fato_Producao[[#This Row],[impressao]]</f>
        <v>255</v>
      </c>
      <c r="L1693" s="1" t="d">
        <v>2026-06-19</v>
      </c>
      <c r="M1693">
        <v>44</v>
      </c>
      <c r="N1693" s="7">
        <v>9.18</v>
      </c>
      <c r="O1693" s="4" t="str">
        <f t="shared" si="78"/>
        <v>agosto</v>
      </c>
      <c r="P1693" s="4">
        <f t="shared" si="79"/>
        <v>2026</v>
      </c>
      <c r="Q1693" s="4" t="str">
        <f t="shared" si="80"/>
        <v/>
      </c>
      <c r="R1693" t="s">
        <v>24</v>
      </c>
    </row>
    <row r="1694" spans="1:18" x14ac:dyDescent="0.3">
      <c r="A1694" s="1" t="d">
        <v>2026-08-02</v>
      </c>
      <c r="B1694">
        <v>45508</v>
      </c>
      <c r="C1694" t="str">
        <f>VLOOKUP(Fato_Producao[[#This Row],[referencia]], Dim_Produtos!A:B,2,FALSE)</f>
        <v>lula suja</v>
      </c>
      <c r="D1694">
        <v>3991</v>
      </c>
      <c r="E1694">
        <v>3619</v>
      </c>
      <c r="F1694" s="5">
        <v>9.3200000000000005E-2</v>
      </c>
      <c r="G1694" s="6">
        <v>119.04</v>
      </c>
      <c r="H1694">
        <v>42</v>
      </c>
      <c r="I1694">
        <v>323</v>
      </c>
      <c r="J1694">
        <v>7</v>
      </c>
      <c r="K1694">
        <f>Fato_Producao[[#This Row],[embalagens_danificadas]]+Fato_Producao[[#This Row],[peso_errado]]+Fato_Producao[[#This Row],[impressao]]</f>
        <v>372</v>
      </c>
      <c r="L1694" s="1" t="d">
        <v>2026-06-19</v>
      </c>
      <c r="M1694">
        <v>44</v>
      </c>
      <c r="N1694" s="7">
        <v>16.670000000000002</v>
      </c>
      <c r="O1694" s="4" t="str">
        <f t="shared" si="78"/>
        <v>agosto</v>
      </c>
      <c r="P1694" s="4">
        <f t="shared" si="79"/>
        <v>2026</v>
      </c>
      <c r="Q1694" s="4" t="str">
        <f t="shared" si="80"/>
        <v/>
      </c>
      <c r="R1694" t="s">
        <v>24</v>
      </c>
    </row>
    <row r="1695" spans="1:18" x14ac:dyDescent="0.3">
      <c r="A1695" s="1" t="d">
        <v>2026-08-03</v>
      </c>
      <c r="B1695">
        <v>45510</v>
      </c>
      <c r="C1695" t="str">
        <f>VLOOKUP(Fato_Producao[[#This Row],[referencia]], Dim_Produtos!A:B,2,FALSE)</f>
        <v>tiras pota</v>
      </c>
      <c r="D1695">
        <v>3753</v>
      </c>
      <c r="E1695">
        <v>3359</v>
      </c>
      <c r="F1695" s="5">
        <v>0.105</v>
      </c>
      <c r="G1695" s="6">
        <v>126.08</v>
      </c>
      <c r="H1695">
        <v>40</v>
      </c>
      <c r="I1695">
        <v>343</v>
      </c>
      <c r="J1695">
        <v>11</v>
      </c>
      <c r="K1695">
        <f>Fato_Producao[[#This Row],[embalagens_danificadas]]+Fato_Producao[[#This Row],[peso_errado]]+Fato_Producao[[#This Row],[impressao]]</f>
        <v>394</v>
      </c>
      <c r="L1695" s="1" t="d">
        <v>2026-06-19</v>
      </c>
      <c r="M1695">
        <v>45</v>
      </c>
      <c r="N1695" s="7">
        <v>17.649999999999999</v>
      </c>
      <c r="O1695" s="4" t="str">
        <f t="shared" si="78"/>
        <v>agosto</v>
      </c>
      <c r="P1695" s="4">
        <f t="shared" si="79"/>
        <v>2026</v>
      </c>
      <c r="Q1695" s="4" t="str">
        <f t="shared" si="80"/>
        <v/>
      </c>
      <c r="R1695" t="s">
        <v>24</v>
      </c>
    </row>
    <row r="1696" spans="1:18" x14ac:dyDescent="0.3">
      <c r="A1696" s="1" t="d">
        <v>2026-08-03</v>
      </c>
      <c r="B1696">
        <v>45511</v>
      </c>
      <c r="C1696" t="str">
        <f>VLOOKUP(Fato_Producao[[#This Row],[referencia]], Dim_Produtos!A:B,2,FALSE)</f>
        <v>lula limpa</v>
      </c>
      <c r="D1696">
        <v>3180</v>
      </c>
      <c r="E1696">
        <v>2893</v>
      </c>
      <c r="F1696" s="5">
        <v>9.0300000000000005E-2</v>
      </c>
      <c r="G1696" s="6">
        <v>91.84</v>
      </c>
      <c r="H1696">
        <v>29</v>
      </c>
      <c r="I1696">
        <v>251</v>
      </c>
      <c r="J1696">
        <v>7</v>
      </c>
      <c r="K1696">
        <f>Fato_Producao[[#This Row],[embalagens_danificadas]]+Fato_Producao[[#This Row],[peso_errado]]+Fato_Producao[[#This Row],[impressao]]</f>
        <v>287</v>
      </c>
      <c r="L1696" s="1" t="d">
        <v>2026-06-19</v>
      </c>
      <c r="M1696">
        <v>45</v>
      </c>
      <c r="N1696" s="7">
        <v>12.86</v>
      </c>
      <c r="O1696" s="4" t="str">
        <f t="shared" si="78"/>
        <v>agosto</v>
      </c>
      <c r="P1696" s="4">
        <f t="shared" si="79"/>
        <v>2026</v>
      </c>
      <c r="Q1696" s="4" t="str">
        <f t="shared" si="80"/>
        <v/>
      </c>
      <c r="R1696" t="s">
        <v>24</v>
      </c>
    </row>
    <row r="1697" spans="1:18" x14ac:dyDescent="0.3">
      <c r="A1697" s="1" t="d">
        <v>2026-08-04</v>
      </c>
      <c r="B1697">
        <v>45509</v>
      </c>
      <c r="C1697" t="str">
        <f>VLOOKUP(Fato_Producao[[#This Row],[referencia]], Dim_Produtos!A:B,2,FALSE)</f>
        <v>lascas bacalhau</v>
      </c>
      <c r="D1697">
        <v>3864</v>
      </c>
      <c r="E1697">
        <v>3496</v>
      </c>
      <c r="F1697" s="5">
        <v>9.5200000000000007E-2</v>
      </c>
      <c r="G1697" s="6">
        <v>103.04</v>
      </c>
      <c r="H1697">
        <v>17</v>
      </c>
      <c r="I1697">
        <v>343</v>
      </c>
      <c r="J1697">
        <v>8</v>
      </c>
      <c r="K1697">
        <f>Fato_Producao[[#This Row],[embalagens_danificadas]]+Fato_Producao[[#This Row],[peso_errado]]+Fato_Producao[[#This Row],[impressao]]</f>
        <v>368</v>
      </c>
      <c r="L1697" s="1" t="d">
        <v>2026-06-19</v>
      </c>
      <c r="M1697">
        <v>46</v>
      </c>
      <c r="N1697" s="7">
        <v>13.4</v>
      </c>
      <c r="O1697" s="4" t="str">
        <f t="shared" si="78"/>
        <v>agosto</v>
      </c>
      <c r="P1697" s="4">
        <f t="shared" si="79"/>
        <v>2026</v>
      </c>
      <c r="Q1697" s="4" t="str">
        <f t="shared" si="80"/>
        <v/>
      </c>
      <c r="R1697" t="s">
        <v>24</v>
      </c>
    </row>
    <row r="1698" spans="1:18" x14ac:dyDescent="0.3">
      <c r="A1698" s="1" t="d">
        <v>2026-08-04</v>
      </c>
      <c r="B1698">
        <v>45508</v>
      </c>
      <c r="C1698" t="str">
        <f>VLOOKUP(Fato_Producao[[#This Row],[referencia]], Dim_Produtos!A:B,2,FALSE)</f>
        <v>lula suja</v>
      </c>
      <c r="D1698">
        <v>3511</v>
      </c>
      <c r="E1698">
        <v>3120</v>
      </c>
      <c r="F1698" s="5">
        <v>0.1114</v>
      </c>
      <c r="G1698" s="6">
        <v>125.12</v>
      </c>
      <c r="H1698">
        <v>44</v>
      </c>
      <c r="I1698">
        <v>341</v>
      </c>
      <c r="J1698">
        <v>6</v>
      </c>
      <c r="K1698">
        <f>Fato_Producao[[#This Row],[embalagens_danificadas]]+Fato_Producao[[#This Row],[peso_errado]]+Fato_Producao[[#This Row],[impressao]]</f>
        <v>391</v>
      </c>
      <c r="L1698" s="1" t="d">
        <v>2026-06-19</v>
      </c>
      <c r="M1698">
        <v>46</v>
      </c>
      <c r="N1698" s="7">
        <v>17.52</v>
      </c>
      <c r="O1698" s="4" t="str">
        <f t="shared" si="78"/>
        <v>agosto</v>
      </c>
      <c r="P1698" s="4">
        <f t="shared" si="79"/>
        <v>2026</v>
      </c>
      <c r="Q1698" s="4" t="str">
        <f t="shared" si="80"/>
        <v/>
      </c>
      <c r="R1698" t="s">
        <v>24</v>
      </c>
    </row>
    <row r="1699" spans="1:18" x14ac:dyDescent="0.3">
      <c r="A1699" s="1" t="d">
        <v>2026-08-05</v>
      </c>
      <c r="B1699">
        <v>45500</v>
      </c>
      <c r="C1699" t="str">
        <f>VLOOKUP(Fato_Producao[[#This Row],[referencia]], Dim_Produtos!A:B,2,FALSE)</f>
        <v>filete pescada</v>
      </c>
      <c r="D1699">
        <v>4046</v>
      </c>
      <c r="E1699">
        <v>3751</v>
      </c>
      <c r="F1699" s="5">
        <v>7.2900000000000006E-2</v>
      </c>
      <c r="G1699" s="6">
        <v>82.6</v>
      </c>
      <c r="H1699">
        <v>126</v>
      </c>
      <c r="I1699">
        <v>9</v>
      </c>
      <c r="J1699">
        <v>160</v>
      </c>
      <c r="K1699">
        <f>Fato_Producao[[#This Row],[embalagens_danificadas]]+Fato_Producao[[#This Row],[peso_errado]]+Fato_Producao[[#This Row],[impressao]]</f>
        <v>295</v>
      </c>
      <c r="L1699" s="1" t="d">
        <v>2026-06-19</v>
      </c>
      <c r="M1699">
        <v>47</v>
      </c>
      <c r="N1699" s="7">
        <v>9.91</v>
      </c>
      <c r="O1699" s="4" t="str">
        <f t="shared" si="78"/>
        <v>agosto</v>
      </c>
      <c r="P1699" s="4">
        <f t="shared" si="79"/>
        <v>2026</v>
      </c>
      <c r="Q1699" s="4" t="str">
        <f t="shared" si="80"/>
        <v/>
      </c>
      <c r="R1699" t="s">
        <v>50</v>
      </c>
    </row>
    <row r="1700" spans="1:18" x14ac:dyDescent="0.3">
      <c r="A1700" s="1" t="d">
        <v>2026-08-05</v>
      </c>
      <c r="B1700">
        <v>45503</v>
      </c>
      <c r="C1700" t="str">
        <f>VLOOKUP(Fato_Producao[[#This Row],[referencia]], Dim_Produtos!A:B,2,FALSE)</f>
        <v>sardinha pequena</v>
      </c>
      <c r="D1700">
        <v>2099</v>
      </c>
      <c r="E1700">
        <v>1918</v>
      </c>
      <c r="F1700" s="5">
        <v>8.6199999999999999E-2</v>
      </c>
      <c r="G1700" s="6">
        <v>47.06</v>
      </c>
      <c r="H1700">
        <v>5</v>
      </c>
      <c r="I1700">
        <v>173</v>
      </c>
      <c r="J1700">
        <v>3</v>
      </c>
      <c r="K1700">
        <f>Fato_Producao[[#This Row],[embalagens_danificadas]]+Fato_Producao[[#This Row],[peso_errado]]+Fato_Producao[[#This Row],[impressao]]</f>
        <v>181</v>
      </c>
      <c r="L1700" s="1" t="d">
        <v>2026-06-19</v>
      </c>
      <c r="M1700">
        <v>47</v>
      </c>
      <c r="N1700" s="7">
        <v>5.18</v>
      </c>
      <c r="O1700" s="4" t="str">
        <f t="shared" si="78"/>
        <v>agosto</v>
      </c>
      <c r="P1700" s="4">
        <f t="shared" si="79"/>
        <v>2026</v>
      </c>
      <c r="Q1700" s="4" t="str">
        <f t="shared" si="80"/>
        <v/>
      </c>
      <c r="R1700" t="s">
        <v>24</v>
      </c>
    </row>
    <row r="1701" spans="1:18" x14ac:dyDescent="0.3">
      <c r="A1701" s="1" t="d">
        <v>2026-08-06</v>
      </c>
      <c r="B1701">
        <v>45500</v>
      </c>
      <c r="C1701" t="str">
        <f>VLOOKUP(Fato_Producao[[#This Row],[referencia]], Dim_Produtos!A:B,2,FALSE)</f>
        <v>filete pescada</v>
      </c>
      <c r="D1701">
        <v>4189</v>
      </c>
      <c r="E1701">
        <v>3911</v>
      </c>
      <c r="F1701" s="5">
        <v>6.6400000000000001E-2</v>
      </c>
      <c r="G1701" s="6">
        <v>77.84</v>
      </c>
      <c r="H1701">
        <v>15</v>
      </c>
      <c r="I1701">
        <v>256</v>
      </c>
      <c r="J1701">
        <v>7</v>
      </c>
      <c r="K1701">
        <f>Fato_Producao[[#This Row],[embalagens_danificadas]]+Fato_Producao[[#This Row],[peso_errado]]+Fato_Producao[[#This Row],[impressao]]</f>
        <v>278</v>
      </c>
      <c r="L1701" s="1" t="d">
        <v>2026-06-19</v>
      </c>
      <c r="M1701">
        <v>48</v>
      </c>
      <c r="N1701" s="7">
        <v>9.34</v>
      </c>
      <c r="O1701" s="4" t="str">
        <f t="shared" si="78"/>
        <v>agosto</v>
      </c>
      <c r="P1701" s="4">
        <f t="shared" si="79"/>
        <v>2026</v>
      </c>
      <c r="Q1701" s="4" t="str">
        <f t="shared" si="80"/>
        <v/>
      </c>
      <c r="R1701" t="s">
        <v>24</v>
      </c>
    </row>
    <row r="1702" spans="1:18" x14ac:dyDescent="0.3">
      <c r="A1702" s="1" t="d">
        <v>2026-08-06</v>
      </c>
      <c r="B1702">
        <v>45507</v>
      </c>
      <c r="C1702" t="str">
        <f>VLOOKUP(Fato_Producao[[#This Row],[referencia]], Dim_Produtos!A:B,2,FALSE)</f>
        <v>salmao posta</v>
      </c>
      <c r="D1702">
        <v>4103</v>
      </c>
      <c r="E1702">
        <v>3780</v>
      </c>
      <c r="F1702" s="5">
        <v>7.8700000000000006E-2</v>
      </c>
      <c r="G1702" s="6">
        <v>113.05</v>
      </c>
      <c r="H1702">
        <v>11</v>
      </c>
      <c r="I1702">
        <v>308</v>
      </c>
      <c r="J1702">
        <v>4</v>
      </c>
      <c r="K1702">
        <f>Fato_Producao[[#This Row],[embalagens_danificadas]]+Fato_Producao[[#This Row],[peso_errado]]+Fato_Producao[[#This Row],[impressao]]</f>
        <v>323</v>
      </c>
      <c r="L1702" s="1" t="d">
        <v>2026-06-19</v>
      </c>
      <c r="M1702">
        <v>48</v>
      </c>
      <c r="N1702" s="7">
        <v>18.09</v>
      </c>
      <c r="O1702" s="4" t="str">
        <f t="shared" si="78"/>
        <v>agosto</v>
      </c>
      <c r="P1702" s="4">
        <f t="shared" si="79"/>
        <v>2026</v>
      </c>
      <c r="Q1702" s="4" t="str">
        <f t="shared" si="80"/>
        <v/>
      </c>
      <c r="R1702" t="s">
        <v>24</v>
      </c>
    </row>
    <row r="1703" spans="1:18" x14ac:dyDescent="0.3">
      <c r="A1703" s="1" t="d">
        <v>2026-08-07</v>
      </c>
      <c r="B1703">
        <v>45506</v>
      </c>
      <c r="C1703" t="str">
        <f>VLOOKUP(Fato_Producao[[#This Row],[referencia]], Dim_Produtos!A:B,2,FALSE)</f>
        <v>perca posta</v>
      </c>
      <c r="D1703">
        <v>3235</v>
      </c>
      <c r="E1703">
        <v>2982</v>
      </c>
      <c r="F1703" s="5">
        <v>7.8200000000000006E-2</v>
      </c>
      <c r="G1703" s="6">
        <v>88.55</v>
      </c>
      <c r="H1703">
        <v>18</v>
      </c>
      <c r="I1703">
        <v>232</v>
      </c>
      <c r="J1703">
        <v>3</v>
      </c>
      <c r="K1703">
        <f>Fato_Producao[[#This Row],[embalagens_danificadas]]+Fato_Producao[[#This Row],[peso_errado]]+Fato_Producao[[#This Row],[impressao]]</f>
        <v>253</v>
      </c>
      <c r="L1703" s="1" t="d">
        <v>2026-06-19</v>
      </c>
      <c r="M1703">
        <v>49</v>
      </c>
      <c r="N1703" s="7">
        <v>13.28</v>
      </c>
      <c r="O1703" s="4" t="str">
        <f t="shared" si="78"/>
        <v>agosto</v>
      </c>
      <c r="P1703" s="4">
        <f t="shared" si="79"/>
        <v>2026</v>
      </c>
      <c r="Q1703" s="4" t="str">
        <f t="shared" si="80"/>
        <v/>
      </c>
      <c r="R1703" t="s">
        <v>24</v>
      </c>
    </row>
    <row r="1704" spans="1:18" x14ac:dyDescent="0.3">
      <c r="A1704" s="1" t="d">
        <v>2026-08-08</v>
      </c>
      <c r="B1704">
        <v>45500</v>
      </c>
      <c r="C1704" t="str">
        <f>VLOOKUP(Fato_Producao[[#This Row],[referencia]], Dim_Produtos!A:B,2,FALSE)</f>
        <v>filete pescada</v>
      </c>
      <c r="D1704">
        <v>3534</v>
      </c>
      <c r="E1704">
        <v>3269</v>
      </c>
      <c r="F1704" s="5">
        <v>7.4999999999999997E-2</v>
      </c>
      <c r="G1704" s="6">
        <v>74.2</v>
      </c>
      <c r="H1704">
        <v>13</v>
      </c>
      <c r="I1704">
        <v>245</v>
      </c>
      <c r="J1704">
        <v>7</v>
      </c>
      <c r="K1704">
        <f>Fato_Producao[[#This Row],[embalagens_danificadas]]+Fato_Producao[[#This Row],[peso_errado]]+Fato_Producao[[#This Row],[impressao]]</f>
        <v>265</v>
      </c>
      <c r="L1704" s="1" t="d">
        <v>2026-06-19</v>
      </c>
      <c r="M1704">
        <v>50</v>
      </c>
      <c r="N1704" s="7">
        <v>8.9</v>
      </c>
      <c r="O1704" s="4" t="str">
        <f t="shared" si="78"/>
        <v>agosto</v>
      </c>
      <c r="P1704" s="4">
        <f t="shared" si="79"/>
        <v>2026</v>
      </c>
      <c r="Q1704" s="4" t="str">
        <f t="shared" si="80"/>
        <v/>
      </c>
      <c r="R1704" t="s">
        <v>24</v>
      </c>
    </row>
    <row r="1705" spans="1:18" x14ac:dyDescent="0.3">
      <c r="A1705" s="1" t="d">
        <v>2026-08-09</v>
      </c>
      <c r="B1705">
        <v>45501</v>
      </c>
      <c r="C1705" t="str">
        <f>VLOOKUP(Fato_Producao[[#This Row],[referencia]], Dim_Produtos!A:B,2,FALSE)</f>
        <v>pescada posta cozer</v>
      </c>
      <c r="D1705">
        <v>2230</v>
      </c>
      <c r="E1705">
        <v>2037</v>
      </c>
      <c r="F1705" s="5">
        <v>8.6499999999999994E-2</v>
      </c>
      <c r="G1705" s="6">
        <v>61.76</v>
      </c>
      <c r="H1705">
        <v>8</v>
      </c>
      <c r="I1705">
        <v>183</v>
      </c>
      <c r="J1705">
        <v>2</v>
      </c>
      <c r="K1705">
        <f>Fato_Producao[[#This Row],[embalagens_danificadas]]+Fato_Producao[[#This Row],[peso_errado]]+Fato_Producao[[#This Row],[impressao]]</f>
        <v>193</v>
      </c>
      <c r="L1705" s="1" t="d">
        <v>2026-06-19</v>
      </c>
      <c r="M1705">
        <v>51</v>
      </c>
      <c r="N1705" s="7">
        <v>8.65</v>
      </c>
      <c r="O1705" s="4" t="str">
        <f t="shared" si="78"/>
        <v>agosto</v>
      </c>
      <c r="P1705" s="4">
        <f t="shared" si="79"/>
        <v>2026</v>
      </c>
      <c r="Q1705" s="4" t="str">
        <f t="shared" si="80"/>
        <v/>
      </c>
      <c r="R1705" t="s">
        <v>24</v>
      </c>
    </row>
    <row r="1706" spans="1:18" x14ac:dyDescent="0.3">
      <c r="A1706" s="1" t="d">
        <v>2026-08-10</v>
      </c>
      <c r="B1706">
        <v>45507</v>
      </c>
      <c r="C1706" t="str">
        <f>VLOOKUP(Fato_Producao[[#This Row],[referencia]], Dim_Produtos!A:B,2,FALSE)</f>
        <v>salmao posta</v>
      </c>
      <c r="D1706">
        <v>3413</v>
      </c>
      <c r="E1706">
        <v>3107</v>
      </c>
      <c r="F1706" s="5">
        <v>8.9700000000000002E-2</v>
      </c>
      <c r="G1706" s="6">
        <v>107.1</v>
      </c>
      <c r="H1706">
        <v>13</v>
      </c>
      <c r="I1706">
        <v>284</v>
      </c>
      <c r="J1706">
        <v>9</v>
      </c>
      <c r="K1706">
        <f>Fato_Producao[[#This Row],[embalagens_danificadas]]+Fato_Producao[[#This Row],[peso_errado]]+Fato_Producao[[#This Row],[impressao]]</f>
        <v>306</v>
      </c>
      <c r="L1706" s="1" t="d">
        <v>2026-06-19</v>
      </c>
      <c r="M1706">
        <v>52</v>
      </c>
      <c r="N1706" s="7">
        <v>17.14</v>
      </c>
      <c r="O1706" s="4" t="str">
        <f t="shared" si="78"/>
        <v>agosto</v>
      </c>
      <c r="P1706" s="4">
        <f t="shared" si="79"/>
        <v>2026</v>
      </c>
      <c r="Q1706" s="4" t="str">
        <f t="shared" si="80"/>
        <v/>
      </c>
      <c r="R1706" t="s">
        <v>24</v>
      </c>
    </row>
    <row r="1707" spans="1:18" x14ac:dyDescent="0.3">
      <c r="A1707" s="1" t="d">
        <v>2026-08-10</v>
      </c>
      <c r="B1707">
        <v>45509</v>
      </c>
      <c r="C1707" t="str">
        <f>VLOOKUP(Fato_Producao[[#This Row],[referencia]], Dim_Produtos!A:B,2,FALSE)</f>
        <v>lascas bacalhau</v>
      </c>
      <c r="D1707">
        <v>3016</v>
      </c>
      <c r="E1707">
        <v>2730</v>
      </c>
      <c r="F1707" s="5">
        <v>9.4799999999999995E-2</v>
      </c>
      <c r="G1707" s="6">
        <v>80.08</v>
      </c>
      <c r="H1707">
        <v>7</v>
      </c>
      <c r="I1707">
        <v>275</v>
      </c>
      <c r="J1707">
        <v>4</v>
      </c>
      <c r="K1707">
        <f>Fato_Producao[[#This Row],[embalagens_danificadas]]+Fato_Producao[[#This Row],[peso_errado]]+Fato_Producao[[#This Row],[impressao]]</f>
        <v>286</v>
      </c>
      <c r="L1707" s="1" t="d">
        <v>2026-06-19</v>
      </c>
      <c r="M1707">
        <v>52</v>
      </c>
      <c r="N1707" s="7">
        <v>10.41</v>
      </c>
      <c r="O1707" s="4" t="str">
        <f t="shared" si="78"/>
        <v>agosto</v>
      </c>
      <c r="P1707" s="4">
        <f t="shared" si="79"/>
        <v>2026</v>
      </c>
      <c r="Q1707" s="4" t="str">
        <f t="shared" si="80"/>
        <v/>
      </c>
      <c r="R1707" t="s">
        <v>24</v>
      </c>
    </row>
    <row r="1708" spans="1:18" x14ac:dyDescent="0.3">
      <c r="A1708" s="1" t="d">
        <v>2026-08-11</v>
      </c>
      <c r="B1708">
        <v>45512</v>
      </c>
      <c r="C1708" t="str">
        <f>VLOOKUP(Fato_Producao[[#This Row],[referencia]], Dim_Produtos!A:B,2,FALSE)</f>
        <v>red-fish posta</v>
      </c>
      <c r="D1708">
        <v>2722</v>
      </c>
      <c r="E1708">
        <v>2523</v>
      </c>
      <c r="F1708" s="5">
        <v>7.3099999999999998E-2</v>
      </c>
      <c r="G1708" s="6">
        <v>67.66</v>
      </c>
      <c r="H1708">
        <v>9</v>
      </c>
      <c r="I1708">
        <v>185</v>
      </c>
      <c r="J1708">
        <v>5</v>
      </c>
      <c r="K1708">
        <f>Fato_Producao[[#This Row],[embalagens_danificadas]]+Fato_Producao[[#This Row],[peso_errado]]+Fato_Producao[[#This Row],[impressao]]</f>
        <v>199</v>
      </c>
      <c r="L1708" s="1" t="d">
        <v>2026-06-19</v>
      </c>
      <c r="M1708">
        <v>53</v>
      </c>
      <c r="N1708" s="7">
        <v>9.4700000000000006</v>
      </c>
      <c r="O1708" s="4" t="str">
        <f t="shared" si="78"/>
        <v>agosto</v>
      </c>
      <c r="P1708" s="4">
        <f t="shared" si="79"/>
        <v>2026</v>
      </c>
      <c r="Q1708" s="4" t="str">
        <f t="shared" si="80"/>
        <v/>
      </c>
      <c r="R1708" t="s">
        <v>24</v>
      </c>
    </row>
    <row r="1709" spans="1:18" x14ac:dyDescent="0.3">
      <c r="A1709" s="1" t="d">
        <v>2026-08-11</v>
      </c>
      <c r="B1709">
        <v>45511</v>
      </c>
      <c r="C1709" t="str">
        <f>VLOOKUP(Fato_Producao[[#This Row],[referencia]], Dim_Produtos!A:B,2,FALSE)</f>
        <v>lula limpa</v>
      </c>
      <c r="D1709">
        <v>3230</v>
      </c>
      <c r="E1709">
        <v>2883</v>
      </c>
      <c r="F1709" s="5">
        <v>0.1074</v>
      </c>
      <c r="G1709" s="6">
        <v>111.04</v>
      </c>
      <c r="H1709">
        <v>37</v>
      </c>
      <c r="I1709">
        <v>305</v>
      </c>
      <c r="J1709">
        <v>5</v>
      </c>
      <c r="K1709">
        <f>Fato_Producao[[#This Row],[embalagens_danificadas]]+Fato_Producao[[#This Row],[peso_errado]]+Fato_Producao[[#This Row],[impressao]]</f>
        <v>347</v>
      </c>
      <c r="L1709" s="1" t="d">
        <v>2026-06-19</v>
      </c>
      <c r="M1709">
        <v>53</v>
      </c>
      <c r="N1709" s="7">
        <v>15.55</v>
      </c>
      <c r="O1709" s="4" t="str">
        <f t="shared" si="78"/>
        <v>agosto</v>
      </c>
      <c r="P1709" s="4">
        <f t="shared" si="79"/>
        <v>2026</v>
      </c>
      <c r="Q1709" s="4" t="str">
        <f t="shared" si="80"/>
        <v/>
      </c>
      <c r="R1709" t="s">
        <v>24</v>
      </c>
    </row>
    <row r="1710" spans="1:18" x14ac:dyDescent="0.3">
      <c r="A1710" s="1" t="d">
        <v>2026-08-12</v>
      </c>
      <c r="B1710">
        <v>45510</v>
      </c>
      <c r="C1710" t="str">
        <f>VLOOKUP(Fato_Producao[[#This Row],[referencia]], Dim_Produtos!A:B,2,FALSE)</f>
        <v>tiras pota</v>
      </c>
      <c r="D1710">
        <v>3834</v>
      </c>
      <c r="E1710">
        <v>3507</v>
      </c>
      <c r="F1710" s="5">
        <v>8.5300000000000001E-2</v>
      </c>
      <c r="G1710" s="6">
        <v>104.64</v>
      </c>
      <c r="H1710">
        <v>27</v>
      </c>
      <c r="I1710">
        <v>292</v>
      </c>
      <c r="J1710">
        <v>8</v>
      </c>
      <c r="K1710">
        <f>Fato_Producao[[#This Row],[embalagens_danificadas]]+Fato_Producao[[#This Row],[peso_errado]]+Fato_Producao[[#This Row],[impressao]]</f>
        <v>327</v>
      </c>
      <c r="L1710" s="1" t="d">
        <v>2026-06-19</v>
      </c>
      <c r="M1710">
        <v>54</v>
      </c>
      <c r="N1710" s="7">
        <v>14.65</v>
      </c>
      <c r="O1710" s="4" t="str">
        <f t="shared" si="78"/>
        <v>agosto</v>
      </c>
      <c r="P1710" s="4">
        <f t="shared" si="79"/>
        <v>2026</v>
      </c>
      <c r="Q1710" s="4" t="str">
        <f t="shared" si="80"/>
        <v/>
      </c>
      <c r="R1710" t="s">
        <v>24</v>
      </c>
    </row>
    <row r="1711" spans="1:18" x14ac:dyDescent="0.3">
      <c r="A1711" s="1" t="d">
        <v>2026-08-12</v>
      </c>
      <c r="B1711">
        <v>45507</v>
      </c>
      <c r="C1711" t="str">
        <f>VLOOKUP(Fato_Producao[[#This Row],[referencia]], Dim_Produtos!A:B,2,FALSE)</f>
        <v>salmao posta</v>
      </c>
      <c r="D1711">
        <v>2927</v>
      </c>
      <c r="E1711">
        <v>2678</v>
      </c>
      <c r="F1711" s="5">
        <v>8.5099999999999995E-2</v>
      </c>
      <c r="G1711" s="6">
        <v>87.15</v>
      </c>
      <c r="H1711">
        <v>4</v>
      </c>
      <c r="I1711">
        <v>238</v>
      </c>
      <c r="J1711">
        <v>7</v>
      </c>
      <c r="K1711">
        <f>Fato_Producao[[#This Row],[embalagens_danificadas]]+Fato_Producao[[#This Row],[peso_errado]]+Fato_Producao[[#This Row],[impressao]]</f>
        <v>249</v>
      </c>
      <c r="L1711" s="1" t="d">
        <v>2026-06-19</v>
      </c>
      <c r="M1711">
        <v>54</v>
      </c>
      <c r="N1711" s="7">
        <v>13.94</v>
      </c>
      <c r="O1711" s="4" t="str">
        <f t="shared" si="78"/>
        <v>agosto</v>
      </c>
      <c r="P1711" s="4">
        <f t="shared" si="79"/>
        <v>2026</v>
      </c>
      <c r="Q1711" s="4" t="str">
        <f t="shared" si="80"/>
        <v/>
      </c>
      <c r="R1711" t="s">
        <v>24</v>
      </c>
    </row>
    <row r="1712" spans="1:18" x14ac:dyDescent="0.3">
      <c r="A1712" s="1" t="d">
        <v>2026-08-13</v>
      </c>
      <c r="B1712">
        <v>45508</v>
      </c>
      <c r="C1712" t="str">
        <f>VLOOKUP(Fato_Producao[[#This Row],[referencia]], Dim_Produtos!A:B,2,FALSE)</f>
        <v>lula suja</v>
      </c>
      <c r="D1712">
        <v>2567</v>
      </c>
      <c r="E1712">
        <v>2208</v>
      </c>
      <c r="F1712" s="5">
        <v>0.1399</v>
      </c>
      <c r="G1712" s="6">
        <v>114.88</v>
      </c>
      <c r="H1712">
        <v>45</v>
      </c>
      <c r="I1712">
        <v>309</v>
      </c>
      <c r="J1712">
        <v>5</v>
      </c>
      <c r="K1712">
        <f>Fato_Producao[[#This Row],[embalagens_danificadas]]+Fato_Producao[[#This Row],[peso_errado]]+Fato_Producao[[#This Row],[impressao]]</f>
        <v>359</v>
      </c>
      <c r="L1712" s="1" t="d">
        <v>2026-06-19</v>
      </c>
      <c r="M1712">
        <v>55</v>
      </c>
      <c r="N1712" s="7">
        <v>16.079999999999998</v>
      </c>
      <c r="O1712" s="4" t="str">
        <f t="shared" si="78"/>
        <v>agosto</v>
      </c>
      <c r="P1712" s="4">
        <f t="shared" si="79"/>
        <v>2026</v>
      </c>
      <c r="Q1712" s="4" t="str">
        <f t="shared" si="80"/>
        <v/>
      </c>
      <c r="R1712" t="s">
        <v>24</v>
      </c>
    </row>
    <row r="1713" spans="1:18" x14ac:dyDescent="0.3">
      <c r="A1713" s="1" t="d">
        <v>2026-08-13</v>
      </c>
      <c r="B1713">
        <v>45513</v>
      </c>
      <c r="C1713" t="str">
        <f>VLOOKUP(Fato_Producao[[#This Row],[referencia]], Dim_Produtos!A:B,2,FALSE)</f>
        <v>filete pescada</v>
      </c>
      <c r="D1713">
        <v>2593</v>
      </c>
      <c r="E1713">
        <v>2400</v>
      </c>
      <c r="F1713" s="5">
        <v>7.4399999999999994E-2</v>
      </c>
      <c r="G1713" s="6">
        <v>61.76</v>
      </c>
      <c r="H1713">
        <v>7</v>
      </c>
      <c r="I1713">
        <v>183</v>
      </c>
      <c r="J1713">
        <v>3</v>
      </c>
      <c r="K1713">
        <f>Fato_Producao[[#This Row],[embalagens_danificadas]]+Fato_Producao[[#This Row],[peso_errado]]+Fato_Producao[[#This Row],[impressao]]</f>
        <v>193</v>
      </c>
      <c r="L1713" s="1" t="d">
        <v>2026-06-19</v>
      </c>
      <c r="M1713">
        <v>55</v>
      </c>
      <c r="N1713" s="7">
        <v>8.0299999999999994</v>
      </c>
      <c r="O1713" s="4" t="str">
        <f t="shared" si="78"/>
        <v>agosto</v>
      </c>
      <c r="P1713" s="4">
        <f t="shared" si="79"/>
        <v>2026</v>
      </c>
      <c r="Q1713" s="4" t="str">
        <f t="shared" si="80"/>
        <v/>
      </c>
      <c r="R1713" t="s">
        <v>24</v>
      </c>
    </row>
    <row r="1714" spans="1:18" x14ac:dyDescent="0.3">
      <c r="A1714" s="1" t="d">
        <v>2026-08-14</v>
      </c>
      <c r="B1714">
        <v>45507</v>
      </c>
      <c r="C1714" t="str">
        <f>VLOOKUP(Fato_Producao[[#This Row],[referencia]], Dim_Produtos!A:B,2,FALSE)</f>
        <v>salmao posta</v>
      </c>
      <c r="D1714">
        <v>2012</v>
      </c>
      <c r="E1714">
        <v>1801</v>
      </c>
      <c r="F1714" s="5">
        <v>0.10489999999999999</v>
      </c>
      <c r="G1714" s="6">
        <v>73.849999999999994</v>
      </c>
      <c r="H1714">
        <v>6</v>
      </c>
      <c r="I1714">
        <v>200</v>
      </c>
      <c r="J1714">
        <v>5</v>
      </c>
      <c r="K1714">
        <f>Fato_Producao[[#This Row],[embalagens_danificadas]]+Fato_Producao[[#This Row],[peso_errado]]+Fato_Producao[[#This Row],[impressao]]</f>
        <v>211</v>
      </c>
      <c r="L1714" s="1" t="d">
        <v>2026-06-19</v>
      </c>
      <c r="M1714">
        <v>56</v>
      </c>
      <c r="N1714" s="7">
        <v>11.82</v>
      </c>
      <c r="O1714" s="4" t="str">
        <f t="shared" si="78"/>
        <v>agosto</v>
      </c>
      <c r="P1714" s="4">
        <f t="shared" si="79"/>
        <v>2026</v>
      </c>
      <c r="Q1714" s="4" t="str">
        <f t="shared" si="80"/>
        <v/>
      </c>
      <c r="R1714" t="s">
        <v>24</v>
      </c>
    </row>
    <row r="1715" spans="1:18" x14ac:dyDescent="0.3">
      <c r="A1715" s="1" t="d">
        <v>2026-08-14</v>
      </c>
      <c r="B1715">
        <v>45500</v>
      </c>
      <c r="C1715" t="str">
        <f>VLOOKUP(Fato_Producao[[#This Row],[referencia]], Dim_Produtos!A:B,2,FALSE)</f>
        <v>filete pescada</v>
      </c>
      <c r="D1715">
        <v>2348</v>
      </c>
      <c r="E1715">
        <v>2173</v>
      </c>
      <c r="F1715" s="5">
        <v>7.4499999999999997E-2</v>
      </c>
      <c r="G1715" s="6">
        <v>49</v>
      </c>
      <c r="H1715">
        <v>8</v>
      </c>
      <c r="I1715">
        <v>163</v>
      </c>
      <c r="J1715">
        <v>4</v>
      </c>
      <c r="K1715">
        <f>Fato_Producao[[#This Row],[embalagens_danificadas]]+Fato_Producao[[#This Row],[peso_errado]]+Fato_Producao[[#This Row],[impressao]]</f>
        <v>175</v>
      </c>
      <c r="L1715" s="1" t="d">
        <v>2026-06-19</v>
      </c>
      <c r="M1715">
        <v>56</v>
      </c>
      <c r="N1715" s="7">
        <v>5.88</v>
      </c>
      <c r="O1715" s="4" t="str">
        <f t="shared" si="78"/>
        <v>agosto</v>
      </c>
      <c r="P1715" s="4">
        <f t="shared" si="79"/>
        <v>2026</v>
      </c>
      <c r="Q1715" s="4" t="str">
        <f t="shared" si="80"/>
        <v/>
      </c>
      <c r="R1715" t="s">
        <v>24</v>
      </c>
    </row>
    <row r="1716" spans="1:18" x14ac:dyDescent="0.3">
      <c r="A1716" s="1" t="d">
        <v>2026-08-15</v>
      </c>
      <c r="B1716">
        <v>45505</v>
      </c>
      <c r="C1716" t="str">
        <f>VLOOKUP(Fato_Producao[[#This Row],[referencia]], Dim_Produtos!A:B,2,FALSE)</f>
        <v>camarao</v>
      </c>
      <c r="D1716">
        <v>2604</v>
      </c>
      <c r="E1716">
        <v>2319</v>
      </c>
      <c r="F1716" s="5">
        <v>0.1094</v>
      </c>
      <c r="G1716" s="6">
        <v>85.5</v>
      </c>
      <c r="H1716">
        <v>57</v>
      </c>
      <c r="I1716">
        <v>221</v>
      </c>
      <c r="J1716">
        <v>7</v>
      </c>
      <c r="K1716">
        <f>Fato_Producao[[#This Row],[embalagens_danificadas]]+Fato_Producao[[#This Row],[peso_errado]]+Fato_Producao[[#This Row],[impressao]]</f>
        <v>285</v>
      </c>
      <c r="L1716" s="1" t="d">
        <v>2026-06-19</v>
      </c>
      <c r="M1716">
        <v>57</v>
      </c>
      <c r="N1716" s="7">
        <v>12.82</v>
      </c>
      <c r="O1716" s="4" t="str">
        <f t="shared" si="78"/>
        <v>agosto</v>
      </c>
      <c r="P1716" s="4">
        <f t="shared" si="79"/>
        <v>2026</v>
      </c>
      <c r="Q1716" s="4" t="str">
        <f t="shared" si="80"/>
        <v/>
      </c>
      <c r="R1716" t="s">
        <v>24</v>
      </c>
    </row>
    <row r="1717" spans="1:18" x14ac:dyDescent="0.3">
      <c r="A1717" s="1" t="d">
        <v>2026-08-15</v>
      </c>
      <c r="B1717">
        <v>45513</v>
      </c>
      <c r="C1717" t="str">
        <f>VLOOKUP(Fato_Producao[[#This Row],[referencia]], Dim_Produtos!A:B,2,FALSE)</f>
        <v>filete pescada</v>
      </c>
      <c r="D1717">
        <v>3942</v>
      </c>
      <c r="E1717">
        <v>3637</v>
      </c>
      <c r="F1717" s="5">
        <v>7.7399999999999997E-2</v>
      </c>
      <c r="G1717" s="6">
        <v>97.6</v>
      </c>
      <c r="H1717">
        <v>15</v>
      </c>
      <c r="I1717">
        <v>285</v>
      </c>
      <c r="J1717">
        <v>5</v>
      </c>
      <c r="K1717">
        <f>Fato_Producao[[#This Row],[embalagens_danificadas]]+Fato_Producao[[#This Row],[peso_errado]]+Fato_Producao[[#This Row],[impressao]]</f>
        <v>305</v>
      </c>
      <c r="L1717" s="1" t="d">
        <v>2026-06-19</v>
      </c>
      <c r="M1717">
        <v>57</v>
      </c>
      <c r="N1717" s="7">
        <v>12.69</v>
      </c>
      <c r="O1717" s="4" t="str">
        <f t="shared" si="78"/>
        <v>agosto</v>
      </c>
      <c r="P1717" s="4">
        <f t="shared" si="79"/>
        <v>2026</v>
      </c>
      <c r="Q1717" s="4" t="str">
        <f t="shared" si="80"/>
        <v/>
      </c>
      <c r="R1717" t="s">
        <v>24</v>
      </c>
    </row>
    <row r="1718" spans="1:18" x14ac:dyDescent="0.3">
      <c r="A1718" s="1" t="d">
        <v>2026-08-16</v>
      </c>
      <c r="B1718">
        <v>45505</v>
      </c>
      <c r="C1718" t="str">
        <f>VLOOKUP(Fato_Producao[[#This Row],[referencia]], Dim_Produtos!A:B,2,FALSE)</f>
        <v>camarao</v>
      </c>
      <c r="D1718">
        <v>2305</v>
      </c>
      <c r="E1718">
        <v>2093</v>
      </c>
      <c r="F1718" s="5">
        <v>9.1999999999999998E-2</v>
      </c>
      <c r="G1718" s="6">
        <v>63.6</v>
      </c>
      <c r="H1718">
        <v>49</v>
      </c>
      <c r="I1718">
        <v>156</v>
      </c>
      <c r="J1718">
        <v>7</v>
      </c>
      <c r="K1718">
        <f>Fato_Producao[[#This Row],[embalagens_danificadas]]+Fato_Producao[[#This Row],[peso_errado]]+Fato_Producao[[#This Row],[impressao]]</f>
        <v>212</v>
      </c>
      <c r="L1718" s="1" t="d">
        <v>2026-06-19</v>
      </c>
      <c r="M1718">
        <v>58</v>
      </c>
      <c r="N1718" s="7">
        <v>9.5399999999999991</v>
      </c>
      <c r="O1718" s="4" t="str">
        <f t="shared" si="78"/>
        <v>agosto</v>
      </c>
      <c r="P1718" s="4">
        <f t="shared" si="79"/>
        <v>2026</v>
      </c>
      <c r="Q1718" s="4" t="str">
        <f t="shared" si="80"/>
        <v/>
      </c>
      <c r="R1718" t="s">
        <v>24</v>
      </c>
    </row>
    <row r="1719" spans="1:18" x14ac:dyDescent="0.3">
      <c r="A1719" s="1" t="d">
        <v>2026-08-17</v>
      </c>
      <c r="B1719">
        <v>45504</v>
      </c>
      <c r="C1719" t="str">
        <f>VLOOKUP(Fato_Producao[[#This Row],[referencia]], Dim_Produtos!A:B,2,FALSE)</f>
        <v>pescada posta fritar</v>
      </c>
      <c r="D1719">
        <v>2929</v>
      </c>
      <c r="E1719">
        <v>2601</v>
      </c>
      <c r="F1719" s="5">
        <v>0.112</v>
      </c>
      <c r="G1719" s="6">
        <v>104.96</v>
      </c>
      <c r="H1719">
        <v>17</v>
      </c>
      <c r="I1719">
        <v>305</v>
      </c>
      <c r="J1719">
        <v>6</v>
      </c>
      <c r="K1719">
        <f>Fato_Producao[[#This Row],[embalagens_danificadas]]+Fato_Producao[[#This Row],[peso_errado]]+Fato_Producao[[#This Row],[impressao]]</f>
        <v>328</v>
      </c>
      <c r="L1719" s="1" t="d">
        <v>2026-06-19</v>
      </c>
      <c r="M1719">
        <v>59</v>
      </c>
      <c r="N1719" s="7">
        <v>14.69</v>
      </c>
      <c r="O1719" s="4" t="str">
        <f t="shared" si="78"/>
        <v>agosto</v>
      </c>
      <c r="P1719" s="4">
        <f t="shared" si="79"/>
        <v>2026</v>
      </c>
      <c r="Q1719" s="4" t="str">
        <f t="shared" si="80"/>
        <v/>
      </c>
      <c r="R1719" t="s">
        <v>24</v>
      </c>
    </row>
    <row r="1720" spans="1:18" x14ac:dyDescent="0.3">
      <c r="A1720" s="1" t="d">
        <v>2026-08-18</v>
      </c>
      <c r="B1720">
        <v>45500</v>
      </c>
      <c r="C1720" t="str">
        <f>VLOOKUP(Fato_Producao[[#This Row],[referencia]], Dim_Produtos!A:B,2,FALSE)</f>
        <v>filete pescada</v>
      </c>
      <c r="D1720">
        <v>2205</v>
      </c>
      <c r="E1720">
        <v>1995</v>
      </c>
      <c r="F1720" s="5">
        <v>9.5200000000000007E-2</v>
      </c>
      <c r="G1720" s="6">
        <v>58.8</v>
      </c>
      <c r="H1720">
        <v>3</v>
      </c>
      <c r="I1720">
        <v>201</v>
      </c>
      <c r="J1720">
        <v>6</v>
      </c>
      <c r="K1720">
        <f>Fato_Producao[[#This Row],[embalagens_danificadas]]+Fato_Producao[[#This Row],[peso_errado]]+Fato_Producao[[#This Row],[impressao]]</f>
        <v>210</v>
      </c>
      <c r="L1720" s="1" t="d">
        <v>2026-06-19</v>
      </c>
      <c r="M1720">
        <v>60</v>
      </c>
      <c r="N1720" s="7">
        <v>7.06</v>
      </c>
      <c r="O1720" s="4" t="str">
        <f t="shared" si="78"/>
        <v>agosto</v>
      </c>
      <c r="P1720" s="4">
        <f t="shared" si="79"/>
        <v>2026</v>
      </c>
      <c r="Q1720" s="4" t="str">
        <f t="shared" si="80"/>
        <v/>
      </c>
      <c r="R1720" t="s">
        <v>24</v>
      </c>
    </row>
    <row r="1721" spans="1:18" x14ac:dyDescent="0.3">
      <c r="A1721" s="1" t="d">
        <v>2026-08-18</v>
      </c>
      <c r="B1721">
        <v>45501</v>
      </c>
      <c r="C1721" t="str">
        <f>VLOOKUP(Fato_Producao[[#This Row],[referencia]], Dim_Produtos!A:B,2,FALSE)</f>
        <v>pescada posta cozer</v>
      </c>
      <c r="D1721">
        <v>3347</v>
      </c>
      <c r="E1721">
        <v>3027</v>
      </c>
      <c r="F1721" s="5">
        <v>9.5600000000000004E-2</v>
      </c>
      <c r="G1721" s="6">
        <v>102.4</v>
      </c>
      <c r="H1721">
        <v>17</v>
      </c>
      <c r="I1721">
        <v>296</v>
      </c>
      <c r="J1721">
        <v>7</v>
      </c>
      <c r="K1721">
        <f>Fato_Producao[[#This Row],[embalagens_danificadas]]+Fato_Producao[[#This Row],[peso_errado]]+Fato_Producao[[#This Row],[impressao]]</f>
        <v>320</v>
      </c>
      <c r="L1721" s="1" t="d">
        <v>2026-06-19</v>
      </c>
      <c r="M1721">
        <v>60</v>
      </c>
      <c r="N1721" s="7">
        <v>14.34</v>
      </c>
      <c r="O1721" s="4" t="str">
        <f t="shared" si="78"/>
        <v>agosto</v>
      </c>
      <c r="P1721" s="4">
        <f t="shared" si="79"/>
        <v>2026</v>
      </c>
      <c r="Q1721" s="4">
        <f t="shared" si="80"/>
        <v>60</v>
      </c>
      <c r="R1721" t="s">
        <v>24</v>
      </c>
    </row>
    <row r="1722" spans="1:18" x14ac:dyDescent="0.3">
      <c r="A1722" s="1" t="d">
        <v>2026-08-19</v>
      </c>
      <c r="B1722">
        <v>45510</v>
      </c>
      <c r="C1722" t="str">
        <f>VLOOKUP(Fato_Producao[[#This Row],[referencia]], Dim_Produtos!A:B,2,FALSE)</f>
        <v>tiras pota</v>
      </c>
      <c r="D1722">
        <v>2080</v>
      </c>
      <c r="E1722">
        <v>1932</v>
      </c>
      <c r="F1722" s="5">
        <v>7.1199999999999999E-2</v>
      </c>
      <c r="G1722" s="6">
        <v>47.36</v>
      </c>
      <c r="H1722">
        <v>19</v>
      </c>
      <c r="I1722">
        <v>127</v>
      </c>
      <c r="J1722">
        <v>2</v>
      </c>
      <c r="K1722">
        <f>Fato_Producao[[#This Row],[embalagens_danificadas]]+Fato_Producao[[#This Row],[peso_errado]]+Fato_Producao[[#This Row],[impressao]]</f>
        <v>148</v>
      </c>
      <c r="L1722" s="1" t="d">
        <v>2026-08-19</v>
      </c>
      <c r="M1722">
        <v>0</v>
      </c>
      <c r="N1722" s="7">
        <v>6.63</v>
      </c>
      <c r="O1722" s="4" t="str">
        <f t="shared" si="78"/>
        <v>agosto</v>
      </c>
      <c r="P1722" s="4">
        <f t="shared" si="79"/>
        <v>2026</v>
      </c>
      <c r="Q1722" s="4" t="str">
        <f t="shared" si="80"/>
        <v/>
      </c>
      <c r="R1722" t="s">
        <v>24</v>
      </c>
    </row>
    <row r="1723" spans="1:18" x14ac:dyDescent="0.3">
      <c r="A1723" s="1" t="d">
        <v>2026-08-19</v>
      </c>
      <c r="B1723">
        <v>45503</v>
      </c>
      <c r="C1723" t="str">
        <f>VLOOKUP(Fato_Producao[[#This Row],[referencia]], Dim_Produtos!A:B,2,FALSE)</f>
        <v>sardinha pequena</v>
      </c>
      <c r="D1723">
        <v>3817</v>
      </c>
      <c r="E1723">
        <v>3550</v>
      </c>
      <c r="F1723" s="5">
        <v>7.0000000000000007E-2</v>
      </c>
      <c r="G1723" s="6">
        <v>69.42</v>
      </c>
      <c r="H1723">
        <v>16</v>
      </c>
      <c r="I1723">
        <v>248</v>
      </c>
      <c r="J1723">
        <v>3</v>
      </c>
      <c r="K1723">
        <f>Fato_Producao[[#This Row],[embalagens_danificadas]]+Fato_Producao[[#This Row],[peso_errado]]+Fato_Producao[[#This Row],[impressao]]</f>
        <v>267</v>
      </c>
      <c r="L1723" s="1" t="d">
        <v>2026-08-19</v>
      </c>
      <c r="M1723">
        <v>0</v>
      </c>
      <c r="N1723" s="7">
        <v>7.64</v>
      </c>
      <c r="O1723" s="4" t="str">
        <f t="shared" si="78"/>
        <v>agosto</v>
      </c>
      <c r="P1723" s="4">
        <f t="shared" si="79"/>
        <v>2026</v>
      </c>
      <c r="Q1723" s="4" t="str">
        <f t="shared" si="80"/>
        <v/>
      </c>
      <c r="R1723" t="s">
        <v>24</v>
      </c>
    </row>
    <row r="1724" spans="1:18" x14ac:dyDescent="0.3">
      <c r="A1724" s="1" t="d">
        <v>2026-08-20</v>
      </c>
      <c r="B1724">
        <v>45509</v>
      </c>
      <c r="C1724" t="str">
        <f>VLOOKUP(Fato_Producao[[#This Row],[referencia]], Dim_Produtos!A:B,2,FALSE)</f>
        <v>lascas bacalhau</v>
      </c>
      <c r="D1724">
        <v>3275</v>
      </c>
      <c r="E1724">
        <v>3133</v>
      </c>
      <c r="F1724" s="5">
        <v>4.3400000000000001E-2</v>
      </c>
      <c r="G1724" s="6">
        <v>39.76</v>
      </c>
      <c r="H1724">
        <v>4</v>
      </c>
      <c r="I1724">
        <v>136</v>
      </c>
      <c r="J1724">
        <v>2</v>
      </c>
      <c r="K1724">
        <f>Fato_Producao[[#This Row],[embalagens_danificadas]]+Fato_Producao[[#This Row],[peso_errado]]+Fato_Producao[[#This Row],[impressao]]</f>
        <v>142</v>
      </c>
      <c r="L1724" s="1" t="d">
        <v>2026-08-19</v>
      </c>
      <c r="M1724">
        <v>1</v>
      </c>
      <c r="N1724" s="7">
        <v>5.17</v>
      </c>
      <c r="O1724" s="4" t="str">
        <f t="shared" si="78"/>
        <v>agosto</v>
      </c>
      <c r="P1724" s="4">
        <f t="shared" si="79"/>
        <v>2026</v>
      </c>
      <c r="Q1724" s="4" t="str">
        <f t="shared" si="80"/>
        <v/>
      </c>
      <c r="R1724" t="s">
        <v>24</v>
      </c>
    </row>
    <row r="1725" spans="1:18" x14ac:dyDescent="0.3">
      <c r="A1725" s="1" t="d">
        <v>2026-08-20</v>
      </c>
      <c r="B1725">
        <v>45514</v>
      </c>
      <c r="C1725" t="str">
        <f>VLOOKUP(Fato_Producao[[#This Row],[referencia]], Dim_Produtos!A:B,2,FALSE)</f>
        <v>sardinha pequena</v>
      </c>
      <c r="D1725">
        <v>2741</v>
      </c>
      <c r="E1725">
        <v>2589</v>
      </c>
      <c r="F1725" s="5">
        <v>5.5500000000000001E-2</v>
      </c>
      <c r="G1725" s="6">
        <v>45.6</v>
      </c>
      <c r="H1725">
        <v>10</v>
      </c>
      <c r="I1725">
        <v>139</v>
      </c>
      <c r="J1725">
        <v>3</v>
      </c>
      <c r="K1725">
        <f>Fato_Producao[[#This Row],[embalagens_danificadas]]+Fato_Producao[[#This Row],[peso_errado]]+Fato_Producao[[#This Row],[impressao]]</f>
        <v>152</v>
      </c>
      <c r="L1725" s="1" t="d">
        <v>2026-08-19</v>
      </c>
      <c r="M1725">
        <v>1</v>
      </c>
      <c r="N1725" s="7">
        <v>5.47</v>
      </c>
      <c r="O1725" s="4" t="str">
        <f t="shared" si="78"/>
        <v>agosto</v>
      </c>
      <c r="P1725" s="4">
        <f t="shared" si="79"/>
        <v>2026</v>
      </c>
      <c r="Q1725" s="4" t="str">
        <f t="shared" si="80"/>
        <v/>
      </c>
      <c r="R1725" t="s">
        <v>24</v>
      </c>
    </row>
    <row r="1726" spans="1:18" x14ac:dyDescent="0.3">
      <c r="A1726" s="1" t="d">
        <v>2026-08-21</v>
      </c>
      <c r="B1726">
        <v>45514</v>
      </c>
      <c r="C1726" t="str">
        <f>VLOOKUP(Fato_Producao[[#This Row],[referencia]], Dim_Produtos!A:B,2,FALSE)</f>
        <v>sardinha pequena</v>
      </c>
      <c r="D1726">
        <v>2235</v>
      </c>
      <c r="E1726">
        <v>2099</v>
      </c>
      <c r="F1726" s="5">
        <v>6.0900000000000003E-2</v>
      </c>
      <c r="G1726" s="6">
        <v>40.799999999999997</v>
      </c>
      <c r="H1726">
        <v>6</v>
      </c>
      <c r="I1726">
        <v>127</v>
      </c>
      <c r="J1726">
        <v>3</v>
      </c>
      <c r="K1726">
        <f>Fato_Producao[[#This Row],[embalagens_danificadas]]+Fato_Producao[[#This Row],[peso_errado]]+Fato_Producao[[#This Row],[impressao]]</f>
        <v>136</v>
      </c>
      <c r="L1726" s="1" t="d">
        <v>2026-08-19</v>
      </c>
      <c r="M1726">
        <v>2</v>
      </c>
      <c r="N1726" s="7">
        <v>4.9000000000000004</v>
      </c>
      <c r="O1726" s="4" t="str">
        <f t="shared" si="78"/>
        <v>agosto</v>
      </c>
      <c r="P1726" s="4">
        <f t="shared" si="79"/>
        <v>2026</v>
      </c>
      <c r="Q1726" s="4" t="str">
        <f t="shared" si="80"/>
        <v/>
      </c>
      <c r="R1726" t="s">
        <v>24</v>
      </c>
    </row>
    <row r="1727" spans="1:18" x14ac:dyDescent="0.3">
      <c r="A1727" s="1" t="d">
        <v>2026-08-22</v>
      </c>
      <c r="B1727">
        <v>45506</v>
      </c>
      <c r="C1727" t="str">
        <f>VLOOKUP(Fato_Producao[[#This Row],[referencia]], Dim_Produtos!A:B,2,FALSE)</f>
        <v>perca posta</v>
      </c>
      <c r="D1727">
        <v>3982</v>
      </c>
      <c r="E1727">
        <v>3824</v>
      </c>
      <c r="F1727" s="5">
        <v>3.9699999999999999E-2</v>
      </c>
      <c r="G1727" s="6">
        <v>55.3</v>
      </c>
      <c r="H1727">
        <v>5</v>
      </c>
      <c r="I1727">
        <v>151</v>
      </c>
      <c r="J1727">
        <v>2</v>
      </c>
      <c r="K1727">
        <f>Fato_Producao[[#This Row],[embalagens_danificadas]]+Fato_Producao[[#This Row],[peso_errado]]+Fato_Producao[[#This Row],[impressao]]</f>
        <v>158</v>
      </c>
      <c r="L1727" s="1" t="d">
        <v>2026-08-19</v>
      </c>
      <c r="M1727">
        <v>3</v>
      </c>
      <c r="N1727" s="7">
        <v>8.2899999999999991</v>
      </c>
      <c r="O1727" s="4" t="str">
        <f t="shared" si="78"/>
        <v>agosto</v>
      </c>
      <c r="P1727" s="4">
        <f t="shared" si="79"/>
        <v>2026</v>
      </c>
      <c r="Q1727" s="4" t="str">
        <f t="shared" si="80"/>
        <v/>
      </c>
      <c r="R1727" t="s">
        <v>24</v>
      </c>
    </row>
    <row r="1728" spans="1:18" x14ac:dyDescent="0.3">
      <c r="A1728" s="1" t="d">
        <v>2026-08-23</v>
      </c>
      <c r="B1728">
        <v>45508</v>
      </c>
      <c r="C1728" t="str">
        <f>VLOOKUP(Fato_Producao[[#This Row],[referencia]], Dim_Produtos!A:B,2,FALSE)</f>
        <v>lula suja</v>
      </c>
      <c r="D1728">
        <v>3349</v>
      </c>
      <c r="E1728">
        <v>3045</v>
      </c>
      <c r="F1728" s="5">
        <v>9.0800000000000006E-2</v>
      </c>
      <c r="G1728" s="6">
        <v>97.28</v>
      </c>
      <c r="H1728">
        <v>37</v>
      </c>
      <c r="I1728">
        <v>260</v>
      </c>
      <c r="J1728">
        <v>7</v>
      </c>
      <c r="K1728">
        <f>Fato_Producao[[#This Row],[embalagens_danificadas]]+Fato_Producao[[#This Row],[peso_errado]]+Fato_Producao[[#This Row],[impressao]]</f>
        <v>304</v>
      </c>
      <c r="L1728" s="1" t="d">
        <v>2026-08-19</v>
      </c>
      <c r="M1728">
        <v>4</v>
      </c>
      <c r="N1728" s="7">
        <v>13.62</v>
      </c>
      <c r="O1728" s="4" t="str">
        <f t="shared" si="78"/>
        <v>agosto</v>
      </c>
      <c r="P1728" s="4">
        <f t="shared" si="79"/>
        <v>2026</v>
      </c>
      <c r="Q1728" s="4" t="str">
        <f t="shared" si="80"/>
        <v/>
      </c>
      <c r="R1728" t="s">
        <v>24</v>
      </c>
    </row>
    <row r="1729" spans="1:18" x14ac:dyDescent="0.3">
      <c r="A1729" s="1" t="d">
        <v>2026-08-23</v>
      </c>
      <c r="B1729">
        <v>45503</v>
      </c>
      <c r="C1729" t="str">
        <f>VLOOKUP(Fato_Producao[[#This Row],[referencia]], Dim_Produtos!A:B,2,FALSE)</f>
        <v>sardinha pequena</v>
      </c>
      <c r="D1729">
        <v>1878</v>
      </c>
      <c r="E1729">
        <v>1762</v>
      </c>
      <c r="F1729" s="5">
        <v>6.1800000000000001E-2</v>
      </c>
      <c r="G1729" s="6">
        <v>30.16</v>
      </c>
      <c r="H1729">
        <v>6</v>
      </c>
      <c r="I1729">
        <v>108</v>
      </c>
      <c r="J1729">
        <v>2</v>
      </c>
      <c r="K1729">
        <f>Fato_Producao[[#This Row],[embalagens_danificadas]]+Fato_Producao[[#This Row],[peso_errado]]+Fato_Producao[[#This Row],[impressao]]</f>
        <v>116</v>
      </c>
      <c r="L1729" s="1" t="d">
        <v>2026-08-19</v>
      </c>
      <c r="M1729">
        <v>4</v>
      </c>
      <c r="N1729" s="7">
        <v>3.32</v>
      </c>
      <c r="O1729" s="4" t="str">
        <f t="shared" si="78"/>
        <v>agosto</v>
      </c>
      <c r="P1729" s="4">
        <f t="shared" si="79"/>
        <v>2026</v>
      </c>
      <c r="Q1729" s="4" t="str">
        <f t="shared" si="80"/>
        <v/>
      </c>
      <c r="R1729" t="s">
        <v>24</v>
      </c>
    </row>
    <row r="1730" spans="1:18" x14ac:dyDescent="0.3">
      <c r="A1730" s="1" t="d">
        <v>2026-08-24</v>
      </c>
      <c r="B1730">
        <v>45507</v>
      </c>
      <c r="C1730" t="str">
        <f>VLOOKUP(Fato_Producao[[#This Row],[referencia]], Dim_Produtos!A:B,2,FALSE)</f>
        <v>salmao posta</v>
      </c>
      <c r="D1730">
        <v>1816</v>
      </c>
      <c r="E1730">
        <v>1709</v>
      </c>
      <c r="F1730" s="5">
        <v>5.8900000000000001E-2</v>
      </c>
      <c r="G1730" s="6">
        <v>37.450000000000003</v>
      </c>
      <c r="H1730">
        <v>7</v>
      </c>
      <c r="I1730">
        <v>98</v>
      </c>
      <c r="J1730">
        <v>2</v>
      </c>
      <c r="K1730">
        <f>Fato_Producao[[#This Row],[embalagens_danificadas]]+Fato_Producao[[#This Row],[peso_errado]]+Fato_Producao[[#This Row],[impressao]]</f>
        <v>107</v>
      </c>
      <c r="L1730" s="1" t="d">
        <v>2026-08-19</v>
      </c>
      <c r="M1730">
        <v>5</v>
      </c>
      <c r="N1730" s="7">
        <v>5.99</v>
      </c>
      <c r="O1730" s="4" t="str">
        <f t="shared" ref="O1730:O1793" si="81">TEXT(A1730, "mmmm")</f>
        <v>agosto</v>
      </c>
      <c r="P1730" s="4">
        <f t="shared" ref="P1730:P1793" si="82">YEAR(A1730)</f>
        <v>2026</v>
      </c>
      <c r="Q1730" s="4" t="str">
        <f t="shared" ref="Q1730:Q1793" si="83">IF(M1731 &gt;= M1730, "", M1730)</f>
        <v/>
      </c>
      <c r="R1730" t="s">
        <v>24</v>
      </c>
    </row>
    <row r="1731" spans="1:18" x14ac:dyDescent="0.3">
      <c r="A1731" s="1" t="d">
        <v>2026-08-25</v>
      </c>
      <c r="B1731">
        <v>45501</v>
      </c>
      <c r="C1731" t="str">
        <f>VLOOKUP(Fato_Producao[[#This Row],[referencia]], Dim_Produtos!A:B,2,FALSE)</f>
        <v>pescada posta cozer</v>
      </c>
      <c r="D1731">
        <v>3905</v>
      </c>
      <c r="E1731">
        <v>3701</v>
      </c>
      <c r="F1731" s="5">
        <v>5.2200000000000003E-2</v>
      </c>
      <c r="G1731" s="6">
        <v>65.28</v>
      </c>
      <c r="H1731">
        <v>2</v>
      </c>
      <c r="I1731">
        <v>196</v>
      </c>
      <c r="J1731">
        <v>6</v>
      </c>
      <c r="K1731">
        <f>Fato_Producao[[#This Row],[embalagens_danificadas]]+Fato_Producao[[#This Row],[peso_errado]]+Fato_Producao[[#This Row],[impressao]]</f>
        <v>204</v>
      </c>
      <c r="L1731" s="1" t="d">
        <v>2026-08-19</v>
      </c>
      <c r="M1731">
        <v>6</v>
      </c>
      <c r="N1731" s="7">
        <v>9.14</v>
      </c>
      <c r="O1731" s="4" t="str">
        <f t="shared" si="81"/>
        <v>agosto</v>
      </c>
      <c r="P1731" s="4">
        <f t="shared" si="82"/>
        <v>2026</v>
      </c>
      <c r="Q1731" s="4" t="str">
        <f t="shared" si="83"/>
        <v/>
      </c>
      <c r="R1731" t="s">
        <v>24</v>
      </c>
    </row>
    <row r="1732" spans="1:18" x14ac:dyDescent="0.3">
      <c r="A1732" s="1" t="d">
        <v>2026-08-25</v>
      </c>
      <c r="B1732">
        <v>45501</v>
      </c>
      <c r="C1732" t="str">
        <f>VLOOKUP(Fato_Producao[[#This Row],[referencia]], Dim_Produtos!A:B,2,FALSE)</f>
        <v>pescada posta cozer</v>
      </c>
      <c r="D1732">
        <v>3676</v>
      </c>
      <c r="E1732">
        <v>3449</v>
      </c>
      <c r="F1732" s="5">
        <v>6.1800000000000001E-2</v>
      </c>
      <c r="G1732" s="6">
        <v>72.64</v>
      </c>
      <c r="H1732">
        <v>7</v>
      </c>
      <c r="I1732">
        <v>217</v>
      </c>
      <c r="J1732">
        <v>3</v>
      </c>
      <c r="K1732">
        <f>Fato_Producao[[#This Row],[embalagens_danificadas]]+Fato_Producao[[#This Row],[peso_errado]]+Fato_Producao[[#This Row],[impressao]]</f>
        <v>227</v>
      </c>
      <c r="L1732" s="1" t="d">
        <v>2026-08-19</v>
      </c>
      <c r="M1732">
        <v>6</v>
      </c>
      <c r="N1732" s="7">
        <v>10.17</v>
      </c>
      <c r="O1732" s="4" t="str">
        <f t="shared" si="81"/>
        <v>agosto</v>
      </c>
      <c r="P1732" s="4">
        <f t="shared" si="82"/>
        <v>2026</v>
      </c>
      <c r="Q1732" s="4" t="str">
        <f t="shared" si="83"/>
        <v/>
      </c>
      <c r="R1732" t="s">
        <v>24</v>
      </c>
    </row>
    <row r="1733" spans="1:18" x14ac:dyDescent="0.3">
      <c r="A1733" s="1" t="d">
        <v>2026-08-26</v>
      </c>
      <c r="B1733">
        <v>45502</v>
      </c>
      <c r="C1733" t="str">
        <f>VLOOKUP(Fato_Producao[[#This Row],[referencia]], Dim_Produtos!A:B,2,FALSE)</f>
        <v>carapau pelim</v>
      </c>
      <c r="D1733">
        <v>2747</v>
      </c>
      <c r="E1733">
        <v>2599</v>
      </c>
      <c r="F1733" s="5">
        <v>5.3900000000000003E-2</v>
      </c>
      <c r="G1733" s="6">
        <v>44.4</v>
      </c>
      <c r="H1733">
        <v>31</v>
      </c>
      <c r="I1733">
        <v>113</v>
      </c>
      <c r="J1733">
        <v>4</v>
      </c>
      <c r="K1733">
        <f>Fato_Producao[[#This Row],[embalagens_danificadas]]+Fato_Producao[[#This Row],[peso_errado]]+Fato_Producao[[#This Row],[impressao]]</f>
        <v>148</v>
      </c>
      <c r="L1733" s="1" t="d">
        <v>2026-08-19</v>
      </c>
      <c r="M1733">
        <v>7</v>
      </c>
      <c r="N1733" s="7">
        <v>5.77</v>
      </c>
      <c r="O1733" s="4" t="str">
        <f t="shared" si="81"/>
        <v>agosto</v>
      </c>
      <c r="P1733" s="4">
        <f t="shared" si="82"/>
        <v>2026</v>
      </c>
      <c r="Q1733" s="4" t="str">
        <f t="shared" si="83"/>
        <v/>
      </c>
      <c r="R1733" t="s">
        <v>24</v>
      </c>
    </row>
    <row r="1734" spans="1:18" x14ac:dyDescent="0.3">
      <c r="A1734" s="1" t="d">
        <v>2026-08-26</v>
      </c>
      <c r="B1734">
        <v>45502</v>
      </c>
      <c r="C1734" t="str">
        <f>VLOOKUP(Fato_Producao[[#This Row],[referencia]], Dim_Produtos!A:B,2,FALSE)</f>
        <v>carapau pelim</v>
      </c>
      <c r="D1734">
        <v>2330</v>
      </c>
      <c r="E1734">
        <v>2222</v>
      </c>
      <c r="F1734" s="5">
        <v>4.6399999999999997E-2</v>
      </c>
      <c r="G1734" s="6">
        <v>32.4</v>
      </c>
      <c r="H1734">
        <v>23</v>
      </c>
      <c r="I1734">
        <v>83</v>
      </c>
      <c r="J1734">
        <v>2</v>
      </c>
      <c r="K1734">
        <f>Fato_Producao[[#This Row],[embalagens_danificadas]]+Fato_Producao[[#This Row],[peso_errado]]+Fato_Producao[[#This Row],[impressao]]</f>
        <v>108</v>
      </c>
      <c r="L1734" s="1" t="d">
        <v>2026-08-19</v>
      </c>
      <c r="M1734">
        <v>7</v>
      </c>
      <c r="N1734" s="7">
        <v>4.21</v>
      </c>
      <c r="O1734" s="4" t="str">
        <f t="shared" si="81"/>
        <v>agosto</v>
      </c>
      <c r="P1734" s="4">
        <f t="shared" si="82"/>
        <v>2026</v>
      </c>
      <c r="Q1734" s="4" t="str">
        <f t="shared" si="83"/>
        <v/>
      </c>
      <c r="R1734" t="s">
        <v>24</v>
      </c>
    </row>
    <row r="1735" spans="1:18" x14ac:dyDescent="0.3">
      <c r="A1735" s="1" t="d">
        <v>2026-08-27</v>
      </c>
      <c r="B1735">
        <v>45502</v>
      </c>
      <c r="C1735" t="str">
        <f>VLOOKUP(Fato_Producao[[#This Row],[referencia]], Dim_Produtos!A:B,2,FALSE)</f>
        <v>carapau pelim</v>
      </c>
      <c r="D1735">
        <v>2045</v>
      </c>
      <c r="E1735">
        <v>1909</v>
      </c>
      <c r="F1735" s="5">
        <v>6.6500000000000004E-2</v>
      </c>
      <c r="G1735" s="6">
        <v>40.799999999999997</v>
      </c>
      <c r="H1735">
        <v>34</v>
      </c>
      <c r="I1735">
        <v>99</v>
      </c>
      <c r="J1735">
        <v>3</v>
      </c>
      <c r="K1735">
        <f>Fato_Producao[[#This Row],[embalagens_danificadas]]+Fato_Producao[[#This Row],[peso_errado]]+Fato_Producao[[#This Row],[impressao]]</f>
        <v>136</v>
      </c>
      <c r="L1735" s="1" t="d">
        <v>2026-08-19</v>
      </c>
      <c r="M1735">
        <v>8</v>
      </c>
      <c r="N1735" s="7">
        <v>5.3</v>
      </c>
      <c r="O1735" s="4" t="str">
        <f t="shared" si="81"/>
        <v>agosto</v>
      </c>
      <c r="P1735" s="4">
        <f t="shared" si="82"/>
        <v>2026</v>
      </c>
      <c r="Q1735" s="4" t="str">
        <f t="shared" si="83"/>
        <v/>
      </c>
      <c r="R1735" t="s">
        <v>24</v>
      </c>
    </row>
    <row r="1736" spans="1:18" x14ac:dyDescent="0.3">
      <c r="A1736" s="1" t="d">
        <v>2026-08-27</v>
      </c>
      <c r="B1736">
        <v>45509</v>
      </c>
      <c r="C1736" t="str">
        <f>VLOOKUP(Fato_Producao[[#This Row],[referencia]], Dim_Produtos!A:B,2,FALSE)</f>
        <v>lascas bacalhau</v>
      </c>
      <c r="D1736">
        <v>2649</v>
      </c>
      <c r="E1736">
        <v>2501</v>
      </c>
      <c r="F1736" s="5">
        <v>5.5899999999999998E-2</v>
      </c>
      <c r="G1736" s="6">
        <v>41.44</v>
      </c>
      <c r="H1736">
        <v>5</v>
      </c>
      <c r="I1736">
        <v>139</v>
      </c>
      <c r="J1736">
        <v>4</v>
      </c>
      <c r="K1736">
        <f>Fato_Producao[[#This Row],[embalagens_danificadas]]+Fato_Producao[[#This Row],[peso_errado]]+Fato_Producao[[#This Row],[impressao]]</f>
        <v>148</v>
      </c>
      <c r="L1736" s="1" t="d">
        <v>2026-08-19</v>
      </c>
      <c r="M1736">
        <v>8</v>
      </c>
      <c r="N1736" s="7">
        <v>5.39</v>
      </c>
      <c r="O1736" s="4" t="str">
        <f t="shared" si="81"/>
        <v>agosto</v>
      </c>
      <c r="P1736" s="4">
        <f t="shared" si="82"/>
        <v>2026</v>
      </c>
      <c r="Q1736" s="4" t="str">
        <f t="shared" si="83"/>
        <v/>
      </c>
      <c r="R1736" t="s">
        <v>24</v>
      </c>
    </row>
    <row r="1737" spans="1:18" x14ac:dyDescent="0.3">
      <c r="A1737" s="1" t="d">
        <v>2026-08-28</v>
      </c>
      <c r="B1737">
        <v>45505</v>
      </c>
      <c r="C1737" t="str">
        <f>VLOOKUP(Fato_Producao[[#This Row],[referencia]], Dim_Produtos!A:B,2,FALSE)</f>
        <v>camarao</v>
      </c>
      <c r="D1737">
        <v>3595</v>
      </c>
      <c r="E1737">
        <v>3405</v>
      </c>
      <c r="F1737" s="5">
        <v>5.2900000000000003E-2</v>
      </c>
      <c r="G1737" s="6">
        <v>57</v>
      </c>
      <c r="H1737">
        <v>47</v>
      </c>
      <c r="I1737">
        <v>139</v>
      </c>
      <c r="J1737">
        <v>4</v>
      </c>
      <c r="K1737">
        <f>Fato_Producao[[#This Row],[embalagens_danificadas]]+Fato_Producao[[#This Row],[peso_errado]]+Fato_Producao[[#This Row],[impressao]]</f>
        <v>190</v>
      </c>
      <c r="L1737" s="1" t="d">
        <v>2026-08-19</v>
      </c>
      <c r="M1737">
        <v>9</v>
      </c>
      <c r="N1737" s="7">
        <v>8.5500000000000007</v>
      </c>
      <c r="O1737" s="4" t="str">
        <f t="shared" si="81"/>
        <v>agosto</v>
      </c>
      <c r="P1737" s="4">
        <f t="shared" si="82"/>
        <v>2026</v>
      </c>
      <c r="Q1737" s="4" t="str">
        <f t="shared" si="83"/>
        <v/>
      </c>
      <c r="R1737" t="s">
        <v>24</v>
      </c>
    </row>
    <row r="1738" spans="1:18" x14ac:dyDescent="0.3">
      <c r="A1738" s="1" t="d">
        <v>2026-08-28</v>
      </c>
      <c r="B1738">
        <v>45504</v>
      </c>
      <c r="C1738" t="str">
        <f>VLOOKUP(Fato_Producao[[#This Row],[referencia]], Dim_Produtos!A:B,2,FALSE)</f>
        <v>pescada posta fritar</v>
      </c>
      <c r="D1738">
        <v>3477</v>
      </c>
      <c r="E1738">
        <v>3298</v>
      </c>
      <c r="F1738" s="5">
        <v>5.1499999999999997E-2</v>
      </c>
      <c r="G1738" s="6">
        <v>57.28</v>
      </c>
      <c r="H1738">
        <v>7</v>
      </c>
      <c r="I1738">
        <v>168</v>
      </c>
      <c r="J1738">
        <v>4</v>
      </c>
      <c r="K1738">
        <f>Fato_Producao[[#This Row],[embalagens_danificadas]]+Fato_Producao[[#This Row],[peso_errado]]+Fato_Producao[[#This Row],[impressao]]</f>
        <v>179</v>
      </c>
      <c r="L1738" s="1" t="d">
        <v>2026-08-19</v>
      </c>
      <c r="M1738">
        <v>9</v>
      </c>
      <c r="N1738" s="7">
        <v>8.02</v>
      </c>
      <c r="O1738" s="4" t="str">
        <f t="shared" si="81"/>
        <v>agosto</v>
      </c>
      <c r="P1738" s="4">
        <f t="shared" si="82"/>
        <v>2026</v>
      </c>
      <c r="Q1738" s="4" t="str">
        <f t="shared" si="83"/>
        <v/>
      </c>
      <c r="R1738" t="s">
        <v>24</v>
      </c>
    </row>
    <row r="1739" spans="1:18" x14ac:dyDescent="0.3">
      <c r="A1739" s="1" t="d">
        <v>2026-08-29</v>
      </c>
      <c r="B1739">
        <v>45511</v>
      </c>
      <c r="C1739" t="str">
        <f>VLOOKUP(Fato_Producao[[#This Row],[referencia]], Dim_Produtos!A:B,2,FALSE)</f>
        <v>lula limpa</v>
      </c>
      <c r="D1739">
        <v>2873</v>
      </c>
      <c r="E1739">
        <v>2636</v>
      </c>
      <c r="F1739" s="5">
        <v>8.2500000000000004E-2</v>
      </c>
      <c r="G1739" s="6">
        <v>75.84</v>
      </c>
      <c r="H1739">
        <v>27</v>
      </c>
      <c r="I1739">
        <v>203</v>
      </c>
      <c r="J1739">
        <v>7</v>
      </c>
      <c r="K1739">
        <f>Fato_Producao[[#This Row],[embalagens_danificadas]]+Fato_Producao[[#This Row],[peso_errado]]+Fato_Producao[[#This Row],[impressao]]</f>
        <v>237</v>
      </c>
      <c r="L1739" s="1" t="d">
        <v>2026-08-19</v>
      </c>
      <c r="M1739">
        <v>10</v>
      </c>
      <c r="N1739" s="7">
        <v>10.62</v>
      </c>
      <c r="O1739" s="4" t="str">
        <f t="shared" si="81"/>
        <v>agosto</v>
      </c>
      <c r="P1739" s="4">
        <f t="shared" si="82"/>
        <v>2026</v>
      </c>
      <c r="Q1739" s="4" t="str">
        <f t="shared" si="83"/>
        <v/>
      </c>
      <c r="R1739" t="s">
        <v>24</v>
      </c>
    </row>
    <row r="1740" spans="1:18" x14ac:dyDescent="0.3">
      <c r="A1740" s="1" t="d">
        <v>2026-08-30</v>
      </c>
      <c r="B1740">
        <v>45514</v>
      </c>
      <c r="C1740" t="str">
        <f>VLOOKUP(Fato_Producao[[#This Row],[referencia]], Dim_Produtos!A:B,2,FALSE)</f>
        <v>sardinha pequena</v>
      </c>
      <c r="D1740">
        <v>4180</v>
      </c>
      <c r="E1740">
        <v>3929</v>
      </c>
      <c r="F1740" s="5">
        <v>0.06</v>
      </c>
      <c r="G1740" s="6">
        <v>75.3</v>
      </c>
      <c r="H1740">
        <v>8</v>
      </c>
      <c r="I1740">
        <v>239</v>
      </c>
      <c r="J1740">
        <v>4</v>
      </c>
      <c r="K1740">
        <f>Fato_Producao[[#This Row],[embalagens_danificadas]]+Fato_Producao[[#This Row],[peso_errado]]+Fato_Producao[[#This Row],[impressao]]</f>
        <v>251</v>
      </c>
      <c r="L1740" s="1" t="d">
        <v>2026-08-19</v>
      </c>
      <c r="M1740">
        <v>11</v>
      </c>
      <c r="N1740" s="7">
        <v>9.0399999999999991</v>
      </c>
      <c r="O1740" s="4" t="str">
        <f t="shared" si="81"/>
        <v>agosto</v>
      </c>
      <c r="P1740" s="4">
        <f t="shared" si="82"/>
        <v>2026</v>
      </c>
      <c r="Q1740" s="4" t="str">
        <f t="shared" si="83"/>
        <v/>
      </c>
      <c r="R1740" t="s">
        <v>24</v>
      </c>
    </row>
    <row r="1741" spans="1:18" x14ac:dyDescent="0.3">
      <c r="A1741" s="1" t="d">
        <v>2026-08-30</v>
      </c>
      <c r="B1741">
        <v>45503</v>
      </c>
      <c r="C1741" t="str">
        <f>VLOOKUP(Fato_Producao[[#This Row],[referencia]], Dim_Produtos!A:B,2,FALSE)</f>
        <v>sardinha pequena</v>
      </c>
      <c r="D1741">
        <v>3268</v>
      </c>
      <c r="E1741">
        <v>3071</v>
      </c>
      <c r="F1741" s="5">
        <v>6.0299999999999999E-2</v>
      </c>
      <c r="G1741" s="6">
        <v>51.22</v>
      </c>
      <c r="H1741">
        <v>72</v>
      </c>
      <c r="I1741">
        <v>41</v>
      </c>
      <c r="J1741">
        <v>84</v>
      </c>
      <c r="K1741">
        <f>Fato_Producao[[#This Row],[embalagens_danificadas]]+Fato_Producao[[#This Row],[peso_errado]]+Fato_Producao[[#This Row],[impressao]]</f>
        <v>197</v>
      </c>
      <c r="L1741" s="1" t="d">
        <v>2026-08-19</v>
      </c>
      <c r="M1741">
        <v>11</v>
      </c>
      <c r="N1741" s="7">
        <v>5.63</v>
      </c>
      <c r="O1741" s="4" t="str">
        <f t="shared" si="81"/>
        <v>agosto</v>
      </c>
      <c r="P1741" s="4">
        <f t="shared" si="82"/>
        <v>2026</v>
      </c>
      <c r="Q1741" s="4" t="str">
        <f t="shared" si="83"/>
        <v/>
      </c>
      <c r="R1741" t="s">
        <v>50</v>
      </c>
    </row>
    <row r="1742" spans="1:18" x14ac:dyDescent="0.3">
      <c r="A1742" s="1" t="d">
        <v>2026-08-31</v>
      </c>
      <c r="B1742">
        <v>45512</v>
      </c>
      <c r="C1742" t="str">
        <f>VLOOKUP(Fato_Producao[[#This Row],[referencia]], Dim_Produtos!A:B,2,FALSE)</f>
        <v>red-fish posta</v>
      </c>
      <c r="D1742">
        <v>3081</v>
      </c>
      <c r="E1742">
        <v>2874</v>
      </c>
      <c r="F1742" s="5">
        <v>6.7199999999999996E-2</v>
      </c>
      <c r="G1742" s="6">
        <v>70.38</v>
      </c>
      <c r="H1742">
        <v>12</v>
      </c>
      <c r="I1742">
        <v>192</v>
      </c>
      <c r="J1742">
        <v>3</v>
      </c>
      <c r="K1742">
        <f>Fato_Producao[[#This Row],[embalagens_danificadas]]+Fato_Producao[[#This Row],[peso_errado]]+Fato_Producao[[#This Row],[impressao]]</f>
        <v>207</v>
      </c>
      <c r="L1742" s="1" t="d">
        <v>2026-08-19</v>
      </c>
      <c r="M1742">
        <v>12</v>
      </c>
      <c r="N1742" s="7">
        <v>9.85</v>
      </c>
      <c r="O1742" s="4" t="str">
        <f t="shared" si="81"/>
        <v>agosto</v>
      </c>
      <c r="P1742" s="4">
        <f t="shared" si="82"/>
        <v>2026</v>
      </c>
      <c r="Q1742" s="4" t="str">
        <f t="shared" si="83"/>
        <v/>
      </c>
      <c r="R1742" t="s">
        <v>24</v>
      </c>
    </row>
    <row r="1743" spans="1:18" x14ac:dyDescent="0.3">
      <c r="A1743" s="1" t="d">
        <v>2026-08-31</v>
      </c>
      <c r="B1743">
        <v>45502</v>
      </c>
      <c r="C1743" t="str">
        <f>VLOOKUP(Fato_Producao[[#This Row],[referencia]], Dim_Produtos!A:B,2,FALSE)</f>
        <v>carapau pelim</v>
      </c>
      <c r="D1743">
        <v>3858</v>
      </c>
      <c r="E1743">
        <v>3571</v>
      </c>
      <c r="F1743" s="5">
        <v>7.4399999999999994E-2</v>
      </c>
      <c r="G1743" s="6">
        <v>86.1</v>
      </c>
      <c r="H1743">
        <v>89</v>
      </c>
      <c r="I1743">
        <v>193</v>
      </c>
      <c r="J1743">
        <v>5</v>
      </c>
      <c r="K1743">
        <f>Fato_Producao[[#This Row],[embalagens_danificadas]]+Fato_Producao[[#This Row],[peso_errado]]+Fato_Producao[[#This Row],[impressao]]</f>
        <v>287</v>
      </c>
      <c r="L1743" s="1" t="d">
        <v>2026-08-19</v>
      </c>
      <c r="M1743">
        <v>12</v>
      </c>
      <c r="N1743" s="7">
        <v>11.19</v>
      </c>
      <c r="O1743" s="4" t="str">
        <f t="shared" si="81"/>
        <v>agosto</v>
      </c>
      <c r="P1743" s="4">
        <f t="shared" si="82"/>
        <v>2026</v>
      </c>
      <c r="Q1743" s="4" t="str">
        <f t="shared" si="83"/>
        <v/>
      </c>
      <c r="R1743" t="s">
        <v>24</v>
      </c>
    </row>
    <row r="1744" spans="1:18" x14ac:dyDescent="0.3">
      <c r="A1744" s="1" t="d">
        <v>2026-09-01</v>
      </c>
      <c r="B1744">
        <v>45511</v>
      </c>
      <c r="C1744" t="str">
        <f>VLOOKUP(Fato_Producao[[#This Row],[referencia]], Dim_Produtos!A:B,2,FALSE)</f>
        <v>lula limpa</v>
      </c>
      <c r="D1744">
        <v>2211</v>
      </c>
      <c r="E1744">
        <v>2073</v>
      </c>
      <c r="F1744" s="5">
        <v>6.2399999999999997E-2</v>
      </c>
      <c r="G1744" s="6">
        <v>44.16</v>
      </c>
      <c r="H1744">
        <v>60</v>
      </c>
      <c r="I1744">
        <v>-3</v>
      </c>
      <c r="J1744">
        <v>81</v>
      </c>
      <c r="K1744">
        <f>Fato_Producao[[#This Row],[embalagens_danificadas]]+Fato_Producao[[#This Row],[peso_errado]]+Fato_Producao[[#This Row],[impressao]]</f>
        <v>138</v>
      </c>
      <c r="L1744" s="1" t="d">
        <v>2026-08-19</v>
      </c>
      <c r="M1744">
        <v>13</v>
      </c>
      <c r="N1744" s="7">
        <v>6.18</v>
      </c>
      <c r="O1744" s="4" t="str">
        <f t="shared" si="81"/>
        <v>setembro</v>
      </c>
      <c r="P1744" s="4">
        <f t="shared" si="82"/>
        <v>2026</v>
      </c>
      <c r="Q1744" s="4" t="str">
        <f t="shared" si="83"/>
        <v/>
      </c>
      <c r="R1744" t="s">
        <v>50</v>
      </c>
    </row>
    <row r="1745" spans="1:18" x14ac:dyDescent="0.3">
      <c r="A1745" s="1" t="d">
        <v>2026-09-01</v>
      </c>
      <c r="B1745">
        <v>45504</v>
      </c>
      <c r="C1745" t="str">
        <f>VLOOKUP(Fato_Producao[[#This Row],[referencia]], Dim_Produtos!A:B,2,FALSE)</f>
        <v>pescada posta fritar</v>
      </c>
      <c r="D1745">
        <v>3051</v>
      </c>
      <c r="E1745">
        <v>2859</v>
      </c>
      <c r="F1745" s="5">
        <v>6.2899999999999998E-2</v>
      </c>
      <c r="G1745" s="6">
        <v>61.44</v>
      </c>
      <c r="H1745">
        <v>8</v>
      </c>
      <c r="I1745">
        <v>179</v>
      </c>
      <c r="J1745">
        <v>5</v>
      </c>
      <c r="K1745">
        <f>Fato_Producao[[#This Row],[embalagens_danificadas]]+Fato_Producao[[#This Row],[peso_errado]]+Fato_Producao[[#This Row],[impressao]]</f>
        <v>192</v>
      </c>
      <c r="L1745" s="1" t="d">
        <v>2026-08-19</v>
      </c>
      <c r="M1745">
        <v>13</v>
      </c>
      <c r="N1745" s="7">
        <v>8.6</v>
      </c>
      <c r="O1745" s="4" t="str">
        <f t="shared" si="81"/>
        <v>setembro</v>
      </c>
      <c r="P1745" s="4">
        <f t="shared" si="82"/>
        <v>2026</v>
      </c>
      <c r="Q1745" s="4" t="str">
        <f t="shared" si="83"/>
        <v/>
      </c>
      <c r="R1745" t="s">
        <v>24</v>
      </c>
    </row>
    <row r="1746" spans="1:18" x14ac:dyDescent="0.3">
      <c r="A1746" s="1" t="d">
        <v>2026-09-02</v>
      </c>
      <c r="B1746">
        <v>45510</v>
      </c>
      <c r="C1746" t="str">
        <f>VLOOKUP(Fato_Producao[[#This Row],[referencia]], Dim_Produtos!A:B,2,FALSE)</f>
        <v>tiras pota</v>
      </c>
      <c r="D1746">
        <v>3397</v>
      </c>
      <c r="E1746">
        <v>3175</v>
      </c>
      <c r="F1746" s="5">
        <v>6.54E-2</v>
      </c>
      <c r="G1746" s="6">
        <v>71.040000000000006</v>
      </c>
      <c r="H1746">
        <v>20</v>
      </c>
      <c r="I1746">
        <v>197</v>
      </c>
      <c r="J1746">
        <v>5</v>
      </c>
      <c r="K1746">
        <f>Fato_Producao[[#This Row],[embalagens_danificadas]]+Fato_Producao[[#This Row],[peso_errado]]+Fato_Producao[[#This Row],[impressao]]</f>
        <v>222</v>
      </c>
      <c r="L1746" s="1" t="d">
        <v>2026-08-19</v>
      </c>
      <c r="M1746">
        <v>14</v>
      </c>
      <c r="N1746" s="7">
        <v>9.9499999999999993</v>
      </c>
      <c r="O1746" s="4" t="str">
        <f t="shared" si="81"/>
        <v>setembro</v>
      </c>
      <c r="P1746" s="4">
        <f t="shared" si="82"/>
        <v>2026</v>
      </c>
      <c r="Q1746" s="4" t="str">
        <f t="shared" si="83"/>
        <v/>
      </c>
      <c r="R1746" t="s">
        <v>24</v>
      </c>
    </row>
    <row r="1747" spans="1:18" x14ac:dyDescent="0.3">
      <c r="A1747" s="1" t="d">
        <v>2026-09-02</v>
      </c>
      <c r="B1747">
        <v>45505</v>
      </c>
      <c r="C1747" t="str">
        <f>VLOOKUP(Fato_Producao[[#This Row],[referencia]], Dim_Produtos!A:B,2,FALSE)</f>
        <v>camarao</v>
      </c>
      <c r="D1747">
        <v>2333</v>
      </c>
      <c r="E1747">
        <v>2192</v>
      </c>
      <c r="F1747" s="5">
        <v>6.0400000000000002E-2</v>
      </c>
      <c r="G1747" s="6">
        <v>42.3</v>
      </c>
      <c r="H1747">
        <v>29</v>
      </c>
      <c r="I1747">
        <v>107</v>
      </c>
      <c r="J1747">
        <v>5</v>
      </c>
      <c r="K1747">
        <f>Fato_Producao[[#This Row],[embalagens_danificadas]]+Fato_Producao[[#This Row],[peso_errado]]+Fato_Producao[[#This Row],[impressao]]</f>
        <v>141</v>
      </c>
      <c r="L1747" s="1" t="d">
        <v>2026-08-19</v>
      </c>
      <c r="M1747">
        <v>14</v>
      </c>
      <c r="N1747" s="7">
        <v>6.34</v>
      </c>
      <c r="O1747" s="4" t="str">
        <f t="shared" si="81"/>
        <v>setembro</v>
      </c>
      <c r="P1747" s="4">
        <f t="shared" si="82"/>
        <v>2026</v>
      </c>
      <c r="Q1747" s="4" t="str">
        <f t="shared" si="83"/>
        <v/>
      </c>
      <c r="R1747" t="s">
        <v>24</v>
      </c>
    </row>
    <row r="1748" spans="1:18" x14ac:dyDescent="0.3">
      <c r="A1748" s="1" t="d">
        <v>2026-09-03</v>
      </c>
      <c r="B1748">
        <v>45509</v>
      </c>
      <c r="C1748" t="str">
        <f>VLOOKUP(Fato_Producao[[#This Row],[referencia]], Dim_Produtos!A:B,2,FALSE)</f>
        <v>lascas bacalhau</v>
      </c>
      <c r="D1748">
        <v>2805</v>
      </c>
      <c r="E1748">
        <v>2631</v>
      </c>
      <c r="F1748" s="5">
        <v>6.2E-2</v>
      </c>
      <c r="G1748" s="6">
        <v>48.72</v>
      </c>
      <c r="H1748">
        <v>9</v>
      </c>
      <c r="I1748">
        <v>161</v>
      </c>
      <c r="J1748">
        <v>4</v>
      </c>
      <c r="K1748">
        <f>Fato_Producao[[#This Row],[embalagens_danificadas]]+Fato_Producao[[#This Row],[peso_errado]]+Fato_Producao[[#This Row],[impressao]]</f>
        <v>174</v>
      </c>
      <c r="L1748" s="1" t="d">
        <v>2026-08-19</v>
      </c>
      <c r="M1748">
        <v>15</v>
      </c>
      <c r="N1748" s="7">
        <v>6.33</v>
      </c>
      <c r="O1748" s="4" t="str">
        <f t="shared" si="81"/>
        <v>setembro</v>
      </c>
      <c r="P1748" s="4">
        <f t="shared" si="82"/>
        <v>2026</v>
      </c>
      <c r="Q1748" s="4" t="str">
        <f t="shared" si="83"/>
        <v/>
      </c>
      <c r="R1748" t="s">
        <v>24</v>
      </c>
    </row>
    <row r="1749" spans="1:18" x14ac:dyDescent="0.3">
      <c r="A1749" s="1" t="d">
        <v>2026-09-04</v>
      </c>
      <c r="B1749">
        <v>45511</v>
      </c>
      <c r="C1749" t="str">
        <f>VLOOKUP(Fato_Producao[[#This Row],[referencia]], Dim_Produtos!A:B,2,FALSE)</f>
        <v>lula limpa</v>
      </c>
      <c r="D1749">
        <v>4097</v>
      </c>
      <c r="E1749">
        <v>3746</v>
      </c>
      <c r="F1749" s="5">
        <v>8.5699999999999998E-2</v>
      </c>
      <c r="G1749" s="6">
        <v>112.32</v>
      </c>
      <c r="H1749">
        <v>33</v>
      </c>
      <c r="I1749">
        <v>314</v>
      </c>
      <c r="J1749">
        <v>4</v>
      </c>
      <c r="K1749">
        <f>Fato_Producao[[#This Row],[embalagens_danificadas]]+Fato_Producao[[#This Row],[peso_errado]]+Fato_Producao[[#This Row],[impressao]]</f>
        <v>351</v>
      </c>
      <c r="L1749" s="1" t="d">
        <v>2026-08-19</v>
      </c>
      <c r="M1749">
        <v>16</v>
      </c>
      <c r="N1749" s="7">
        <v>15.72</v>
      </c>
      <c r="O1749" s="4" t="str">
        <f t="shared" si="81"/>
        <v>setembro</v>
      </c>
      <c r="P1749" s="4">
        <f t="shared" si="82"/>
        <v>2026</v>
      </c>
      <c r="Q1749" s="4" t="str">
        <f t="shared" si="83"/>
        <v/>
      </c>
      <c r="R1749" t="s">
        <v>24</v>
      </c>
    </row>
    <row r="1750" spans="1:18" x14ac:dyDescent="0.3">
      <c r="A1750" s="1" t="d">
        <v>2026-09-04</v>
      </c>
      <c r="B1750">
        <v>45510</v>
      </c>
      <c r="C1750" t="str">
        <f>VLOOKUP(Fato_Producao[[#This Row],[referencia]], Dim_Produtos!A:B,2,FALSE)</f>
        <v>tiras pota</v>
      </c>
      <c r="D1750">
        <v>4033</v>
      </c>
      <c r="E1750">
        <v>3702</v>
      </c>
      <c r="F1750" s="5">
        <v>8.2100000000000006E-2</v>
      </c>
      <c r="G1750" s="6">
        <v>105.92</v>
      </c>
      <c r="H1750">
        <v>41</v>
      </c>
      <c r="I1750">
        <v>281</v>
      </c>
      <c r="J1750">
        <v>9</v>
      </c>
      <c r="K1750">
        <f>Fato_Producao[[#This Row],[embalagens_danificadas]]+Fato_Producao[[#This Row],[peso_errado]]+Fato_Producao[[#This Row],[impressao]]</f>
        <v>331</v>
      </c>
      <c r="L1750" s="1" t="d">
        <v>2026-08-19</v>
      </c>
      <c r="M1750">
        <v>16</v>
      </c>
      <c r="N1750" s="7">
        <v>14.83</v>
      </c>
      <c r="O1750" s="4" t="str">
        <f t="shared" si="81"/>
        <v>setembro</v>
      </c>
      <c r="P1750" s="4">
        <f t="shared" si="82"/>
        <v>2026</v>
      </c>
      <c r="Q1750" s="4" t="str">
        <f t="shared" si="83"/>
        <v/>
      </c>
      <c r="R1750" t="s">
        <v>24</v>
      </c>
    </row>
    <row r="1751" spans="1:18" x14ac:dyDescent="0.3">
      <c r="A1751" s="1" t="d">
        <v>2026-09-05</v>
      </c>
      <c r="B1751">
        <v>45508</v>
      </c>
      <c r="C1751" t="str">
        <f>VLOOKUP(Fato_Producao[[#This Row],[referencia]], Dim_Produtos!A:B,2,FALSE)</f>
        <v>lula suja</v>
      </c>
      <c r="D1751">
        <v>2574</v>
      </c>
      <c r="E1751">
        <v>2324</v>
      </c>
      <c r="F1751" s="5">
        <v>9.7100000000000006E-2</v>
      </c>
      <c r="G1751" s="6">
        <v>80</v>
      </c>
      <c r="H1751">
        <v>36</v>
      </c>
      <c r="I1751">
        <v>208</v>
      </c>
      <c r="J1751">
        <v>6</v>
      </c>
      <c r="K1751">
        <f>Fato_Producao[[#This Row],[embalagens_danificadas]]+Fato_Producao[[#This Row],[peso_errado]]+Fato_Producao[[#This Row],[impressao]]</f>
        <v>250</v>
      </c>
      <c r="L1751" s="1" t="d">
        <v>2026-08-19</v>
      </c>
      <c r="M1751">
        <v>17</v>
      </c>
      <c r="N1751" s="7">
        <v>11.2</v>
      </c>
      <c r="O1751" s="4" t="str">
        <f t="shared" si="81"/>
        <v>setembro</v>
      </c>
      <c r="P1751" s="4">
        <f t="shared" si="82"/>
        <v>2026</v>
      </c>
      <c r="Q1751" s="4" t="str">
        <f t="shared" si="83"/>
        <v/>
      </c>
      <c r="R1751" t="s">
        <v>24</v>
      </c>
    </row>
    <row r="1752" spans="1:18" x14ac:dyDescent="0.3">
      <c r="A1752" s="1" t="d">
        <v>2026-09-05</v>
      </c>
      <c r="B1752">
        <v>45502</v>
      </c>
      <c r="C1752" t="str">
        <f>VLOOKUP(Fato_Producao[[#This Row],[referencia]], Dim_Produtos!A:B,2,FALSE)</f>
        <v>carapau pelim</v>
      </c>
      <c r="D1752">
        <v>3630</v>
      </c>
      <c r="E1752">
        <v>3340</v>
      </c>
      <c r="F1752" s="5">
        <v>7.9899999999999999E-2</v>
      </c>
      <c r="G1752" s="6">
        <v>87</v>
      </c>
      <c r="H1752">
        <v>76</v>
      </c>
      <c r="I1752">
        <v>208</v>
      </c>
      <c r="J1752">
        <v>6</v>
      </c>
      <c r="K1752">
        <f>Fato_Producao[[#This Row],[embalagens_danificadas]]+Fato_Producao[[#This Row],[peso_errado]]+Fato_Producao[[#This Row],[impressao]]</f>
        <v>290</v>
      </c>
      <c r="L1752" s="1" t="d">
        <v>2026-08-19</v>
      </c>
      <c r="M1752">
        <v>17</v>
      </c>
      <c r="N1752" s="7">
        <v>11.31</v>
      </c>
      <c r="O1752" s="4" t="str">
        <f t="shared" si="81"/>
        <v>setembro</v>
      </c>
      <c r="P1752" s="4">
        <f t="shared" si="82"/>
        <v>2026</v>
      </c>
      <c r="Q1752" s="4" t="str">
        <f t="shared" si="83"/>
        <v/>
      </c>
      <c r="R1752" t="s">
        <v>24</v>
      </c>
    </row>
    <row r="1753" spans="1:18" x14ac:dyDescent="0.3">
      <c r="A1753" s="1" t="d">
        <v>2026-09-06</v>
      </c>
      <c r="B1753">
        <v>45514</v>
      </c>
      <c r="C1753" t="str">
        <f>VLOOKUP(Fato_Producao[[#This Row],[referencia]], Dim_Produtos!A:B,2,FALSE)</f>
        <v>sardinha pequena</v>
      </c>
      <c r="D1753">
        <v>3442</v>
      </c>
      <c r="E1753">
        <v>3099</v>
      </c>
      <c r="F1753" s="5">
        <v>9.9699999999999997E-2</v>
      </c>
      <c r="G1753" s="6">
        <v>102.9</v>
      </c>
      <c r="H1753">
        <v>9</v>
      </c>
      <c r="I1753">
        <v>324</v>
      </c>
      <c r="J1753">
        <v>10</v>
      </c>
      <c r="K1753">
        <f>Fato_Producao[[#This Row],[embalagens_danificadas]]+Fato_Producao[[#This Row],[peso_errado]]+Fato_Producao[[#This Row],[impressao]]</f>
        <v>343</v>
      </c>
      <c r="L1753" s="1" t="d">
        <v>2026-08-19</v>
      </c>
      <c r="M1753">
        <v>18</v>
      </c>
      <c r="N1753" s="7">
        <v>12.35</v>
      </c>
      <c r="O1753" s="4" t="str">
        <f t="shared" si="81"/>
        <v>setembro</v>
      </c>
      <c r="P1753" s="4">
        <f t="shared" si="82"/>
        <v>2026</v>
      </c>
      <c r="Q1753" s="4" t="str">
        <f t="shared" si="83"/>
        <v/>
      </c>
      <c r="R1753" t="s">
        <v>24</v>
      </c>
    </row>
    <row r="1754" spans="1:18" x14ac:dyDescent="0.3">
      <c r="A1754" s="1" t="d">
        <v>2026-09-07</v>
      </c>
      <c r="B1754">
        <v>45509</v>
      </c>
      <c r="C1754" t="str">
        <f>VLOOKUP(Fato_Producao[[#This Row],[referencia]], Dim_Produtos!A:B,2,FALSE)</f>
        <v>lascas bacalhau</v>
      </c>
      <c r="D1754">
        <v>3677</v>
      </c>
      <c r="E1754">
        <v>3405</v>
      </c>
      <c r="F1754" s="5">
        <v>7.3999999999999996E-2</v>
      </c>
      <c r="G1754" s="6">
        <v>76.16</v>
      </c>
      <c r="H1754">
        <v>5</v>
      </c>
      <c r="I1754">
        <v>260</v>
      </c>
      <c r="J1754">
        <v>7</v>
      </c>
      <c r="K1754">
        <f>Fato_Producao[[#This Row],[embalagens_danificadas]]+Fato_Producao[[#This Row],[peso_errado]]+Fato_Producao[[#This Row],[impressao]]</f>
        <v>272</v>
      </c>
      <c r="L1754" s="1" t="d">
        <v>2026-08-19</v>
      </c>
      <c r="M1754">
        <v>19</v>
      </c>
      <c r="N1754" s="7">
        <v>9.9</v>
      </c>
      <c r="O1754" s="4" t="str">
        <f t="shared" si="81"/>
        <v>setembro</v>
      </c>
      <c r="P1754" s="4">
        <f t="shared" si="82"/>
        <v>2026</v>
      </c>
      <c r="Q1754" s="4" t="str">
        <f t="shared" si="83"/>
        <v/>
      </c>
      <c r="R1754" t="s">
        <v>24</v>
      </c>
    </row>
    <row r="1755" spans="1:18" x14ac:dyDescent="0.3">
      <c r="A1755" s="1" t="d">
        <v>2026-09-08</v>
      </c>
      <c r="B1755">
        <v>45503</v>
      </c>
      <c r="C1755" t="str">
        <f>VLOOKUP(Fato_Producao[[#This Row],[referencia]], Dim_Produtos!A:B,2,FALSE)</f>
        <v>sardinha pequena</v>
      </c>
      <c r="D1755">
        <v>2936</v>
      </c>
      <c r="E1755">
        <v>2726</v>
      </c>
      <c r="F1755" s="5">
        <v>7.1499999999999994E-2</v>
      </c>
      <c r="G1755" s="6">
        <v>54.6</v>
      </c>
      <c r="H1755">
        <v>10</v>
      </c>
      <c r="I1755">
        <v>196</v>
      </c>
      <c r="J1755">
        <v>4</v>
      </c>
      <c r="K1755">
        <f>Fato_Producao[[#This Row],[embalagens_danificadas]]+Fato_Producao[[#This Row],[peso_errado]]+Fato_Producao[[#This Row],[impressao]]</f>
        <v>210</v>
      </c>
      <c r="L1755" s="1" t="d">
        <v>2026-08-19</v>
      </c>
      <c r="M1755">
        <v>20</v>
      </c>
      <c r="N1755" s="7">
        <v>6.01</v>
      </c>
      <c r="O1755" s="4" t="str">
        <f t="shared" si="81"/>
        <v>setembro</v>
      </c>
      <c r="P1755" s="4">
        <f t="shared" si="82"/>
        <v>2026</v>
      </c>
      <c r="Q1755" s="4" t="str">
        <f t="shared" si="83"/>
        <v/>
      </c>
      <c r="R1755" t="s">
        <v>24</v>
      </c>
    </row>
    <row r="1756" spans="1:18" x14ac:dyDescent="0.3">
      <c r="A1756" s="1" t="d">
        <v>2026-09-09</v>
      </c>
      <c r="B1756">
        <v>45508</v>
      </c>
      <c r="C1756" t="str">
        <f>VLOOKUP(Fato_Producao[[#This Row],[referencia]], Dim_Produtos!A:B,2,FALSE)</f>
        <v>lula suja</v>
      </c>
      <c r="D1756">
        <v>3944</v>
      </c>
      <c r="E1756">
        <v>3516</v>
      </c>
      <c r="F1756" s="5">
        <v>0.1085</v>
      </c>
      <c r="G1756" s="6">
        <v>136.96</v>
      </c>
      <c r="H1756">
        <v>63</v>
      </c>
      <c r="I1756">
        <v>356</v>
      </c>
      <c r="J1756">
        <v>9</v>
      </c>
      <c r="K1756">
        <f>Fato_Producao[[#This Row],[embalagens_danificadas]]+Fato_Producao[[#This Row],[peso_errado]]+Fato_Producao[[#This Row],[impressao]]</f>
        <v>428</v>
      </c>
      <c r="L1756" s="1" t="d">
        <v>2026-08-19</v>
      </c>
      <c r="M1756">
        <v>21</v>
      </c>
      <c r="N1756" s="7">
        <v>19.170000000000002</v>
      </c>
      <c r="O1756" s="4" t="str">
        <f t="shared" si="81"/>
        <v>setembro</v>
      </c>
      <c r="P1756" s="4">
        <f t="shared" si="82"/>
        <v>2026</v>
      </c>
      <c r="Q1756" s="4" t="str">
        <f t="shared" si="83"/>
        <v/>
      </c>
      <c r="R1756" t="s">
        <v>24</v>
      </c>
    </row>
    <row r="1757" spans="1:18" x14ac:dyDescent="0.3">
      <c r="A1757" s="1" t="d">
        <v>2026-09-10</v>
      </c>
      <c r="B1757">
        <v>45503</v>
      </c>
      <c r="C1757" t="str">
        <f>VLOOKUP(Fato_Producao[[#This Row],[referencia]], Dim_Produtos!A:B,2,FALSE)</f>
        <v>sardinha pequena</v>
      </c>
      <c r="D1757">
        <v>3571</v>
      </c>
      <c r="E1757">
        <v>3337</v>
      </c>
      <c r="F1757" s="5">
        <v>6.5500000000000003E-2</v>
      </c>
      <c r="G1757" s="6">
        <v>60.84</v>
      </c>
      <c r="H1757">
        <v>8</v>
      </c>
      <c r="I1757">
        <v>220</v>
      </c>
      <c r="J1757">
        <v>6</v>
      </c>
      <c r="K1757">
        <f>Fato_Producao[[#This Row],[embalagens_danificadas]]+Fato_Producao[[#This Row],[peso_errado]]+Fato_Producao[[#This Row],[impressao]]</f>
        <v>234</v>
      </c>
      <c r="L1757" s="1" t="d">
        <v>2026-08-19</v>
      </c>
      <c r="M1757">
        <v>22</v>
      </c>
      <c r="N1757" s="7">
        <v>6.69</v>
      </c>
      <c r="O1757" s="4" t="str">
        <f t="shared" si="81"/>
        <v>setembro</v>
      </c>
      <c r="P1757" s="4">
        <f t="shared" si="82"/>
        <v>2026</v>
      </c>
      <c r="Q1757" s="4" t="str">
        <f t="shared" si="83"/>
        <v/>
      </c>
      <c r="R1757" t="s">
        <v>24</v>
      </c>
    </row>
    <row r="1758" spans="1:18" x14ac:dyDescent="0.3">
      <c r="A1758" s="1" t="d">
        <v>2026-09-11</v>
      </c>
      <c r="B1758">
        <v>45507</v>
      </c>
      <c r="C1758" t="str">
        <f>VLOOKUP(Fato_Producao[[#This Row],[referencia]], Dim_Produtos!A:B,2,FALSE)</f>
        <v>salmao posta</v>
      </c>
      <c r="D1758">
        <v>1904</v>
      </c>
      <c r="E1758">
        <v>1761</v>
      </c>
      <c r="F1758" s="5">
        <v>7.51E-2</v>
      </c>
      <c r="G1758" s="6">
        <v>50.05</v>
      </c>
      <c r="H1758">
        <v>7</v>
      </c>
      <c r="I1758">
        <v>133</v>
      </c>
      <c r="J1758">
        <v>3</v>
      </c>
      <c r="K1758">
        <f>Fato_Producao[[#This Row],[embalagens_danificadas]]+Fato_Producao[[#This Row],[peso_errado]]+Fato_Producao[[#This Row],[impressao]]</f>
        <v>143</v>
      </c>
      <c r="L1758" s="1" t="d">
        <v>2026-08-19</v>
      </c>
      <c r="M1758">
        <v>23</v>
      </c>
      <c r="N1758" s="7">
        <v>8.01</v>
      </c>
      <c r="O1758" s="4" t="str">
        <f t="shared" si="81"/>
        <v>setembro</v>
      </c>
      <c r="P1758" s="4">
        <f t="shared" si="82"/>
        <v>2026</v>
      </c>
      <c r="Q1758" s="4" t="str">
        <f t="shared" si="83"/>
        <v/>
      </c>
      <c r="R1758" t="s">
        <v>24</v>
      </c>
    </row>
    <row r="1759" spans="1:18" x14ac:dyDescent="0.3">
      <c r="A1759" s="1" t="d">
        <v>2026-09-11</v>
      </c>
      <c r="B1759">
        <v>45507</v>
      </c>
      <c r="C1759" t="str">
        <f>VLOOKUP(Fato_Producao[[#This Row],[referencia]], Dim_Produtos!A:B,2,FALSE)</f>
        <v>salmao posta</v>
      </c>
      <c r="D1759">
        <v>3300</v>
      </c>
      <c r="E1759">
        <v>3127</v>
      </c>
      <c r="F1759" s="5">
        <v>5.2400000000000002E-2</v>
      </c>
      <c r="G1759" s="6">
        <v>60.55</v>
      </c>
      <c r="H1759">
        <v>6</v>
      </c>
      <c r="I1759">
        <v>165</v>
      </c>
      <c r="J1759">
        <v>2</v>
      </c>
      <c r="K1759">
        <f>Fato_Producao[[#This Row],[embalagens_danificadas]]+Fato_Producao[[#This Row],[peso_errado]]+Fato_Producao[[#This Row],[impressao]]</f>
        <v>173</v>
      </c>
      <c r="L1759" s="1" t="d">
        <v>2026-08-19</v>
      </c>
      <c r="M1759">
        <v>23</v>
      </c>
      <c r="N1759" s="7">
        <v>9.69</v>
      </c>
      <c r="O1759" s="4" t="str">
        <f t="shared" si="81"/>
        <v>setembro</v>
      </c>
      <c r="P1759" s="4">
        <f t="shared" si="82"/>
        <v>2026</v>
      </c>
      <c r="Q1759" s="4" t="str">
        <f t="shared" si="83"/>
        <v/>
      </c>
      <c r="R1759" t="s">
        <v>24</v>
      </c>
    </row>
    <row r="1760" spans="1:18" x14ac:dyDescent="0.3">
      <c r="A1760" s="1" t="d">
        <v>2026-09-12</v>
      </c>
      <c r="B1760">
        <v>45513</v>
      </c>
      <c r="C1760" t="str">
        <f>VLOOKUP(Fato_Producao[[#This Row],[referencia]], Dim_Produtos!A:B,2,FALSE)</f>
        <v>filete pescada</v>
      </c>
      <c r="D1760">
        <v>3304</v>
      </c>
      <c r="E1760">
        <v>3067</v>
      </c>
      <c r="F1760" s="5">
        <v>7.17E-2</v>
      </c>
      <c r="G1760" s="6">
        <v>75.84</v>
      </c>
      <c r="H1760">
        <v>5</v>
      </c>
      <c r="I1760">
        <v>226</v>
      </c>
      <c r="J1760">
        <v>6</v>
      </c>
      <c r="K1760">
        <f>Fato_Producao[[#This Row],[embalagens_danificadas]]+Fato_Producao[[#This Row],[peso_errado]]+Fato_Producao[[#This Row],[impressao]]</f>
        <v>237</v>
      </c>
      <c r="L1760" s="1" t="d">
        <v>2026-08-19</v>
      </c>
      <c r="M1760">
        <v>24</v>
      </c>
      <c r="N1760" s="7">
        <v>9.86</v>
      </c>
      <c r="O1760" s="4" t="str">
        <f t="shared" si="81"/>
        <v>setembro</v>
      </c>
      <c r="P1760" s="4">
        <f t="shared" si="82"/>
        <v>2026</v>
      </c>
      <c r="Q1760" s="4" t="str">
        <f t="shared" si="83"/>
        <v/>
      </c>
      <c r="R1760" t="s">
        <v>24</v>
      </c>
    </row>
    <row r="1761" spans="1:18" x14ac:dyDescent="0.3">
      <c r="A1761" s="1" t="d">
        <v>2026-09-12</v>
      </c>
      <c r="B1761">
        <v>45504</v>
      </c>
      <c r="C1761" t="str">
        <f>VLOOKUP(Fato_Producao[[#This Row],[referencia]], Dim_Produtos!A:B,2,FALSE)</f>
        <v>pescada posta fritar</v>
      </c>
      <c r="D1761">
        <v>2297</v>
      </c>
      <c r="E1761">
        <v>2117</v>
      </c>
      <c r="F1761" s="5">
        <v>7.8399999999999997E-2</v>
      </c>
      <c r="G1761" s="6">
        <v>57.6</v>
      </c>
      <c r="H1761">
        <v>9</v>
      </c>
      <c r="I1761">
        <v>167</v>
      </c>
      <c r="J1761">
        <v>4</v>
      </c>
      <c r="K1761">
        <f>Fato_Producao[[#This Row],[embalagens_danificadas]]+Fato_Producao[[#This Row],[peso_errado]]+Fato_Producao[[#This Row],[impressao]]</f>
        <v>180</v>
      </c>
      <c r="L1761" s="1" t="d">
        <v>2026-08-19</v>
      </c>
      <c r="M1761">
        <v>24</v>
      </c>
      <c r="N1761" s="7">
        <v>8.06</v>
      </c>
      <c r="O1761" s="4" t="str">
        <f t="shared" si="81"/>
        <v>setembro</v>
      </c>
      <c r="P1761" s="4">
        <f t="shared" si="82"/>
        <v>2026</v>
      </c>
      <c r="Q1761" s="4" t="str">
        <f t="shared" si="83"/>
        <v/>
      </c>
      <c r="R1761" t="s">
        <v>24</v>
      </c>
    </row>
    <row r="1762" spans="1:18" x14ac:dyDescent="0.3">
      <c r="A1762" s="1" t="d">
        <v>2026-09-13</v>
      </c>
      <c r="B1762">
        <v>45504</v>
      </c>
      <c r="C1762" t="str">
        <f>VLOOKUP(Fato_Producao[[#This Row],[referencia]], Dim_Produtos!A:B,2,FALSE)</f>
        <v>pescada posta fritar</v>
      </c>
      <c r="D1762">
        <v>3930</v>
      </c>
      <c r="E1762">
        <v>3654</v>
      </c>
      <c r="F1762" s="5">
        <v>7.0199999999999999E-2</v>
      </c>
      <c r="G1762" s="6">
        <v>88.32</v>
      </c>
      <c r="H1762">
        <v>19</v>
      </c>
      <c r="I1762">
        <v>251</v>
      </c>
      <c r="J1762">
        <v>6</v>
      </c>
      <c r="K1762">
        <f>Fato_Producao[[#This Row],[embalagens_danificadas]]+Fato_Producao[[#This Row],[peso_errado]]+Fato_Producao[[#This Row],[impressao]]</f>
        <v>276</v>
      </c>
      <c r="L1762" s="1" t="d">
        <v>2026-08-19</v>
      </c>
      <c r="M1762">
        <v>25</v>
      </c>
      <c r="N1762" s="7">
        <v>12.36</v>
      </c>
      <c r="O1762" s="4" t="str">
        <f t="shared" si="81"/>
        <v>setembro</v>
      </c>
      <c r="P1762" s="4">
        <f t="shared" si="82"/>
        <v>2026</v>
      </c>
      <c r="Q1762" s="4" t="str">
        <f t="shared" si="83"/>
        <v/>
      </c>
      <c r="R1762" t="s">
        <v>24</v>
      </c>
    </row>
    <row r="1763" spans="1:18" x14ac:dyDescent="0.3">
      <c r="A1763" s="1" t="d">
        <v>2026-09-13</v>
      </c>
      <c r="B1763">
        <v>45506</v>
      </c>
      <c r="C1763" t="str">
        <f>VLOOKUP(Fato_Producao[[#This Row],[referencia]], Dim_Produtos!A:B,2,FALSE)</f>
        <v>perca posta</v>
      </c>
      <c r="D1763">
        <v>3493</v>
      </c>
      <c r="E1763">
        <v>3255</v>
      </c>
      <c r="F1763" s="5">
        <v>6.8099999999999994E-2</v>
      </c>
      <c r="G1763" s="6">
        <v>83.3</v>
      </c>
      <c r="H1763">
        <v>18</v>
      </c>
      <c r="I1763">
        <v>217</v>
      </c>
      <c r="J1763">
        <v>3</v>
      </c>
      <c r="K1763">
        <f>Fato_Producao[[#This Row],[embalagens_danificadas]]+Fato_Producao[[#This Row],[peso_errado]]+Fato_Producao[[#This Row],[impressao]]</f>
        <v>238</v>
      </c>
      <c r="L1763" s="1" t="d">
        <v>2026-08-19</v>
      </c>
      <c r="M1763">
        <v>25</v>
      </c>
      <c r="N1763" s="7">
        <v>12.49</v>
      </c>
      <c r="O1763" s="4" t="str">
        <f t="shared" si="81"/>
        <v>setembro</v>
      </c>
      <c r="P1763" s="4">
        <f t="shared" si="82"/>
        <v>2026</v>
      </c>
      <c r="Q1763" s="4" t="str">
        <f t="shared" si="83"/>
        <v/>
      </c>
      <c r="R1763" t="s">
        <v>24</v>
      </c>
    </row>
    <row r="1764" spans="1:18" x14ac:dyDescent="0.3">
      <c r="A1764" s="1" t="d">
        <v>2026-09-14</v>
      </c>
      <c r="B1764">
        <v>45507</v>
      </c>
      <c r="C1764" t="str">
        <f>VLOOKUP(Fato_Producao[[#This Row],[referencia]], Dim_Produtos!A:B,2,FALSE)</f>
        <v>salmao posta</v>
      </c>
      <c r="D1764">
        <v>3088</v>
      </c>
      <c r="E1764">
        <v>2923</v>
      </c>
      <c r="F1764" s="5">
        <v>5.3400000000000003E-2</v>
      </c>
      <c r="G1764" s="6">
        <v>57.75</v>
      </c>
      <c r="H1764">
        <v>7</v>
      </c>
      <c r="I1764">
        <v>156</v>
      </c>
      <c r="J1764">
        <v>2</v>
      </c>
      <c r="K1764">
        <f>Fato_Producao[[#This Row],[embalagens_danificadas]]+Fato_Producao[[#This Row],[peso_errado]]+Fato_Producao[[#This Row],[impressao]]</f>
        <v>165</v>
      </c>
      <c r="L1764" s="1" t="d">
        <v>2026-08-19</v>
      </c>
      <c r="M1764">
        <v>26</v>
      </c>
      <c r="N1764" s="7">
        <v>9.24</v>
      </c>
      <c r="O1764" s="4" t="str">
        <f t="shared" si="81"/>
        <v>setembro</v>
      </c>
      <c r="P1764" s="4">
        <f t="shared" si="82"/>
        <v>2026</v>
      </c>
      <c r="Q1764" s="4" t="str">
        <f t="shared" si="83"/>
        <v/>
      </c>
      <c r="R1764" t="s">
        <v>24</v>
      </c>
    </row>
    <row r="1765" spans="1:18" x14ac:dyDescent="0.3">
      <c r="A1765" s="1" t="d">
        <v>2026-09-14</v>
      </c>
      <c r="B1765">
        <v>45506</v>
      </c>
      <c r="C1765" t="str">
        <f>VLOOKUP(Fato_Producao[[#This Row],[referencia]], Dim_Produtos!A:B,2,FALSE)</f>
        <v>perca posta</v>
      </c>
      <c r="D1765">
        <v>3951</v>
      </c>
      <c r="E1765">
        <v>3781</v>
      </c>
      <c r="F1765" s="5">
        <v>4.2999999999999997E-2</v>
      </c>
      <c r="G1765" s="6">
        <v>59.5</v>
      </c>
      <c r="H1765">
        <v>5</v>
      </c>
      <c r="I1765">
        <v>161</v>
      </c>
      <c r="J1765">
        <v>4</v>
      </c>
      <c r="K1765">
        <f>Fato_Producao[[#This Row],[embalagens_danificadas]]+Fato_Producao[[#This Row],[peso_errado]]+Fato_Producao[[#This Row],[impressao]]</f>
        <v>170</v>
      </c>
      <c r="L1765" s="1" t="d">
        <v>2026-08-19</v>
      </c>
      <c r="M1765">
        <v>26</v>
      </c>
      <c r="N1765" s="7">
        <v>8.92</v>
      </c>
      <c r="O1765" s="4" t="str">
        <f t="shared" si="81"/>
        <v>setembro</v>
      </c>
      <c r="P1765" s="4">
        <f t="shared" si="82"/>
        <v>2026</v>
      </c>
      <c r="Q1765" s="4" t="str">
        <f t="shared" si="83"/>
        <v/>
      </c>
      <c r="R1765" t="s">
        <v>24</v>
      </c>
    </row>
    <row r="1766" spans="1:18" x14ac:dyDescent="0.3">
      <c r="A1766" s="1" t="d">
        <v>2026-09-15</v>
      </c>
      <c r="B1766">
        <v>45514</v>
      </c>
      <c r="C1766" t="str">
        <f>VLOOKUP(Fato_Producao[[#This Row],[referencia]], Dim_Produtos!A:B,2,FALSE)</f>
        <v>sardinha pequena</v>
      </c>
      <c r="D1766">
        <v>2582</v>
      </c>
      <c r="E1766">
        <v>2340</v>
      </c>
      <c r="F1766" s="5">
        <v>9.3700000000000006E-2</v>
      </c>
      <c r="G1766" s="6">
        <v>72.599999999999994</v>
      </c>
      <c r="H1766">
        <v>6</v>
      </c>
      <c r="I1766">
        <v>229</v>
      </c>
      <c r="J1766">
        <v>7</v>
      </c>
      <c r="K1766">
        <f>Fato_Producao[[#This Row],[embalagens_danificadas]]+Fato_Producao[[#This Row],[peso_errado]]+Fato_Producao[[#This Row],[impressao]]</f>
        <v>242</v>
      </c>
      <c r="L1766" s="1" t="d">
        <v>2026-08-19</v>
      </c>
      <c r="M1766">
        <v>27</v>
      </c>
      <c r="N1766" s="7">
        <v>8.7100000000000009</v>
      </c>
      <c r="O1766" s="4" t="str">
        <f t="shared" si="81"/>
        <v>setembro</v>
      </c>
      <c r="P1766" s="4">
        <f t="shared" si="82"/>
        <v>2026</v>
      </c>
      <c r="Q1766" s="4" t="str">
        <f t="shared" si="83"/>
        <v/>
      </c>
      <c r="R1766" t="s">
        <v>24</v>
      </c>
    </row>
    <row r="1767" spans="1:18" x14ac:dyDescent="0.3">
      <c r="A1767" s="1" t="d">
        <v>2026-09-15</v>
      </c>
      <c r="B1767">
        <v>45513</v>
      </c>
      <c r="C1767" t="str">
        <f>VLOOKUP(Fato_Producao[[#This Row],[referencia]], Dim_Produtos!A:B,2,FALSE)</f>
        <v>filete pescada</v>
      </c>
      <c r="D1767">
        <v>2711</v>
      </c>
      <c r="E1767">
        <v>2565</v>
      </c>
      <c r="F1767" s="5">
        <v>5.3900000000000003E-2</v>
      </c>
      <c r="G1767" s="6">
        <v>46.72</v>
      </c>
      <c r="H1767">
        <v>5</v>
      </c>
      <c r="I1767">
        <v>138</v>
      </c>
      <c r="J1767">
        <v>3</v>
      </c>
      <c r="K1767">
        <f>Fato_Producao[[#This Row],[embalagens_danificadas]]+Fato_Producao[[#This Row],[peso_errado]]+Fato_Producao[[#This Row],[impressao]]</f>
        <v>146</v>
      </c>
      <c r="L1767" s="1" t="d">
        <v>2026-08-19</v>
      </c>
      <c r="M1767">
        <v>27</v>
      </c>
      <c r="N1767" s="7">
        <v>6.07</v>
      </c>
      <c r="O1767" s="4" t="str">
        <f t="shared" si="81"/>
        <v>setembro</v>
      </c>
      <c r="P1767" s="4">
        <f t="shared" si="82"/>
        <v>2026</v>
      </c>
      <c r="Q1767" s="4" t="str">
        <f t="shared" si="83"/>
        <v/>
      </c>
      <c r="R1767" t="s">
        <v>24</v>
      </c>
    </row>
    <row r="1768" spans="1:18" x14ac:dyDescent="0.3">
      <c r="A1768" s="1" t="d">
        <v>2026-09-16</v>
      </c>
      <c r="B1768">
        <v>45514</v>
      </c>
      <c r="C1768" t="str">
        <f>VLOOKUP(Fato_Producao[[#This Row],[referencia]], Dim_Produtos!A:B,2,FALSE)</f>
        <v>sardinha pequena</v>
      </c>
      <c r="D1768">
        <v>2378</v>
      </c>
      <c r="E1768">
        <v>2185</v>
      </c>
      <c r="F1768" s="5">
        <v>8.1199999999999994E-2</v>
      </c>
      <c r="G1768" s="6">
        <v>57.9</v>
      </c>
      <c r="H1768">
        <v>8</v>
      </c>
      <c r="I1768">
        <v>181</v>
      </c>
      <c r="J1768">
        <v>4</v>
      </c>
      <c r="K1768">
        <f>Fato_Producao[[#This Row],[embalagens_danificadas]]+Fato_Producao[[#This Row],[peso_errado]]+Fato_Producao[[#This Row],[impressao]]</f>
        <v>193</v>
      </c>
      <c r="L1768" s="1" t="d">
        <v>2026-08-19</v>
      </c>
      <c r="M1768">
        <v>28</v>
      </c>
      <c r="N1768" s="7">
        <v>6.95</v>
      </c>
      <c r="O1768" s="4" t="str">
        <f t="shared" si="81"/>
        <v>setembro</v>
      </c>
      <c r="P1768" s="4">
        <f t="shared" si="82"/>
        <v>2026</v>
      </c>
      <c r="Q1768" s="4" t="str">
        <f t="shared" si="83"/>
        <v/>
      </c>
      <c r="R1768" t="s">
        <v>24</v>
      </c>
    </row>
    <row r="1769" spans="1:18" x14ac:dyDescent="0.3">
      <c r="A1769" s="1" t="d">
        <v>2026-09-16</v>
      </c>
      <c r="B1769">
        <v>45500</v>
      </c>
      <c r="C1769" t="str">
        <f>VLOOKUP(Fato_Producao[[#This Row],[referencia]], Dim_Produtos!A:B,2,FALSE)</f>
        <v>filete pescada</v>
      </c>
      <c r="D1769">
        <v>2762</v>
      </c>
      <c r="E1769">
        <v>2599</v>
      </c>
      <c r="F1769" s="5">
        <v>5.8999999999999997E-2</v>
      </c>
      <c r="G1769" s="6">
        <v>45.64</v>
      </c>
      <c r="H1769">
        <v>6</v>
      </c>
      <c r="I1769">
        <v>153</v>
      </c>
      <c r="J1769">
        <v>4</v>
      </c>
      <c r="K1769">
        <f>Fato_Producao[[#This Row],[embalagens_danificadas]]+Fato_Producao[[#This Row],[peso_errado]]+Fato_Producao[[#This Row],[impressao]]</f>
        <v>163</v>
      </c>
      <c r="L1769" s="1" t="d">
        <v>2026-08-19</v>
      </c>
      <c r="M1769">
        <v>28</v>
      </c>
      <c r="N1769" s="7">
        <v>5.48</v>
      </c>
      <c r="O1769" s="4" t="str">
        <f t="shared" si="81"/>
        <v>setembro</v>
      </c>
      <c r="P1769" s="4">
        <f t="shared" si="82"/>
        <v>2026</v>
      </c>
      <c r="Q1769" s="4" t="str">
        <f t="shared" si="83"/>
        <v/>
      </c>
      <c r="R1769" t="s">
        <v>24</v>
      </c>
    </row>
    <row r="1770" spans="1:18" x14ac:dyDescent="0.3">
      <c r="A1770" s="1" t="d">
        <v>2026-09-17</v>
      </c>
      <c r="B1770">
        <v>45512</v>
      </c>
      <c r="C1770" t="str">
        <f>VLOOKUP(Fato_Producao[[#This Row],[referencia]], Dim_Produtos!A:B,2,FALSE)</f>
        <v>red-fish posta</v>
      </c>
      <c r="D1770">
        <v>3996</v>
      </c>
      <c r="E1770">
        <v>3753</v>
      </c>
      <c r="F1770" s="5">
        <v>6.08E-2</v>
      </c>
      <c r="G1770" s="6">
        <v>82.62</v>
      </c>
      <c r="H1770">
        <v>16</v>
      </c>
      <c r="I1770">
        <v>221</v>
      </c>
      <c r="J1770">
        <v>6</v>
      </c>
      <c r="K1770">
        <f>Fato_Producao[[#This Row],[embalagens_danificadas]]+Fato_Producao[[#This Row],[peso_errado]]+Fato_Producao[[#This Row],[impressao]]</f>
        <v>243</v>
      </c>
      <c r="L1770" s="1" t="d">
        <v>2026-08-19</v>
      </c>
      <c r="M1770">
        <v>29</v>
      </c>
      <c r="N1770" s="7">
        <v>11.57</v>
      </c>
      <c r="O1770" s="4" t="str">
        <f t="shared" si="81"/>
        <v>setembro</v>
      </c>
      <c r="P1770" s="4">
        <f t="shared" si="82"/>
        <v>2026</v>
      </c>
      <c r="Q1770" s="4" t="str">
        <f t="shared" si="83"/>
        <v/>
      </c>
      <c r="R1770" t="s">
        <v>24</v>
      </c>
    </row>
    <row r="1771" spans="1:18" x14ac:dyDescent="0.3">
      <c r="A1771" s="1" t="d">
        <v>2026-09-17</v>
      </c>
      <c r="B1771">
        <v>45505</v>
      </c>
      <c r="C1771" t="str">
        <f>VLOOKUP(Fato_Producao[[#This Row],[referencia]], Dim_Produtos!A:B,2,FALSE)</f>
        <v>camarao</v>
      </c>
      <c r="D1771">
        <v>3272</v>
      </c>
      <c r="E1771">
        <v>3059</v>
      </c>
      <c r="F1771" s="5">
        <v>6.5100000000000005E-2</v>
      </c>
      <c r="G1771" s="6">
        <v>63.9</v>
      </c>
      <c r="H1771">
        <v>53</v>
      </c>
      <c r="I1771">
        <v>155</v>
      </c>
      <c r="J1771">
        <v>5</v>
      </c>
      <c r="K1771">
        <f>Fato_Producao[[#This Row],[embalagens_danificadas]]+Fato_Producao[[#This Row],[peso_errado]]+Fato_Producao[[#This Row],[impressao]]</f>
        <v>213</v>
      </c>
      <c r="L1771" s="1" t="d">
        <v>2026-08-19</v>
      </c>
      <c r="M1771">
        <v>29</v>
      </c>
      <c r="N1771" s="7">
        <v>9.58</v>
      </c>
      <c r="O1771" s="4" t="str">
        <f t="shared" si="81"/>
        <v>setembro</v>
      </c>
      <c r="P1771" s="4">
        <f t="shared" si="82"/>
        <v>2026</v>
      </c>
      <c r="Q1771" s="4" t="str">
        <f t="shared" si="83"/>
        <v/>
      </c>
      <c r="R1771" t="s">
        <v>24</v>
      </c>
    </row>
    <row r="1772" spans="1:18" x14ac:dyDescent="0.3">
      <c r="A1772" s="1" t="d">
        <v>2026-09-18</v>
      </c>
      <c r="B1772">
        <v>45510</v>
      </c>
      <c r="C1772" t="str">
        <f>VLOOKUP(Fato_Producao[[#This Row],[referencia]], Dim_Produtos!A:B,2,FALSE)</f>
        <v>tiras pota</v>
      </c>
      <c r="D1772">
        <v>4106</v>
      </c>
      <c r="E1772">
        <v>3776</v>
      </c>
      <c r="F1772" s="5">
        <v>8.0399999999999999E-2</v>
      </c>
      <c r="G1772" s="6">
        <v>105.6</v>
      </c>
      <c r="H1772">
        <v>41</v>
      </c>
      <c r="I1772">
        <v>283</v>
      </c>
      <c r="J1772">
        <v>6</v>
      </c>
      <c r="K1772">
        <f>Fato_Producao[[#This Row],[embalagens_danificadas]]+Fato_Producao[[#This Row],[peso_errado]]+Fato_Producao[[#This Row],[impressao]]</f>
        <v>330</v>
      </c>
      <c r="L1772" s="1" t="d">
        <v>2026-08-19</v>
      </c>
      <c r="M1772">
        <v>30</v>
      </c>
      <c r="N1772" s="7">
        <v>14.78</v>
      </c>
      <c r="O1772" s="4" t="str">
        <f t="shared" si="81"/>
        <v>setembro</v>
      </c>
      <c r="P1772" s="4">
        <f t="shared" si="82"/>
        <v>2026</v>
      </c>
      <c r="Q1772" s="4" t="str">
        <f t="shared" si="83"/>
        <v/>
      </c>
      <c r="R1772" t="s">
        <v>24</v>
      </c>
    </row>
    <row r="1773" spans="1:18" x14ac:dyDescent="0.3">
      <c r="A1773" s="1" t="d">
        <v>2026-09-18</v>
      </c>
      <c r="B1773">
        <v>45506</v>
      </c>
      <c r="C1773" t="str">
        <f>VLOOKUP(Fato_Producao[[#This Row],[referencia]], Dim_Produtos!A:B,2,FALSE)</f>
        <v>perca posta</v>
      </c>
      <c r="D1773">
        <v>2637</v>
      </c>
      <c r="E1773">
        <v>2516</v>
      </c>
      <c r="F1773" s="5">
        <v>4.5900000000000003E-2</v>
      </c>
      <c r="G1773" s="6">
        <v>42.35</v>
      </c>
      <c r="H1773">
        <v>7</v>
      </c>
      <c r="I1773">
        <v>111</v>
      </c>
      <c r="J1773">
        <v>3</v>
      </c>
      <c r="K1773">
        <f>Fato_Producao[[#This Row],[embalagens_danificadas]]+Fato_Producao[[#This Row],[peso_errado]]+Fato_Producao[[#This Row],[impressao]]</f>
        <v>121</v>
      </c>
      <c r="L1773" s="1" t="d">
        <v>2026-08-19</v>
      </c>
      <c r="M1773">
        <v>30</v>
      </c>
      <c r="N1773" s="7">
        <v>6.35</v>
      </c>
      <c r="O1773" s="4" t="str">
        <f t="shared" si="81"/>
        <v>setembro</v>
      </c>
      <c r="P1773" s="4">
        <f t="shared" si="82"/>
        <v>2026</v>
      </c>
      <c r="Q1773" s="4" t="str">
        <f t="shared" si="83"/>
        <v/>
      </c>
      <c r="R1773" t="s">
        <v>24</v>
      </c>
    </row>
    <row r="1774" spans="1:18" x14ac:dyDescent="0.3">
      <c r="A1774" s="1" t="d">
        <v>2026-09-19</v>
      </c>
      <c r="B1774">
        <v>45500</v>
      </c>
      <c r="C1774" t="str">
        <f>VLOOKUP(Fato_Producao[[#This Row],[referencia]], Dim_Produtos!A:B,2,FALSE)</f>
        <v>filete pescada</v>
      </c>
      <c r="D1774">
        <v>2345</v>
      </c>
      <c r="E1774">
        <v>2188</v>
      </c>
      <c r="F1774" s="5">
        <v>6.7000000000000004E-2</v>
      </c>
      <c r="G1774" s="6">
        <v>43.96</v>
      </c>
      <c r="H1774">
        <v>5</v>
      </c>
      <c r="I1774">
        <v>149</v>
      </c>
      <c r="J1774">
        <v>3</v>
      </c>
      <c r="K1774">
        <f>Fato_Producao[[#This Row],[embalagens_danificadas]]+Fato_Producao[[#This Row],[peso_errado]]+Fato_Producao[[#This Row],[impressao]]</f>
        <v>157</v>
      </c>
      <c r="L1774" s="1" t="d">
        <v>2026-08-19</v>
      </c>
      <c r="M1774">
        <v>31</v>
      </c>
      <c r="N1774" s="7">
        <v>5.28</v>
      </c>
      <c r="O1774" s="4" t="str">
        <f t="shared" si="81"/>
        <v>setembro</v>
      </c>
      <c r="P1774" s="4">
        <f t="shared" si="82"/>
        <v>2026</v>
      </c>
      <c r="Q1774" s="4" t="str">
        <f t="shared" si="83"/>
        <v/>
      </c>
      <c r="R1774" t="s">
        <v>24</v>
      </c>
    </row>
    <row r="1775" spans="1:18" x14ac:dyDescent="0.3">
      <c r="A1775" s="1" t="d">
        <v>2026-09-20</v>
      </c>
      <c r="B1775">
        <v>45514</v>
      </c>
      <c r="C1775" t="str">
        <f>VLOOKUP(Fato_Producao[[#This Row],[referencia]], Dim_Produtos!A:B,2,FALSE)</f>
        <v>sardinha pequena</v>
      </c>
      <c r="D1775">
        <v>2252</v>
      </c>
      <c r="E1775">
        <v>2044</v>
      </c>
      <c r="F1775" s="5">
        <v>9.2399999999999996E-2</v>
      </c>
      <c r="G1775" s="6">
        <v>62.4</v>
      </c>
      <c r="H1775">
        <v>12</v>
      </c>
      <c r="I1775">
        <v>191</v>
      </c>
      <c r="J1775">
        <v>5</v>
      </c>
      <c r="K1775">
        <f>Fato_Producao[[#This Row],[embalagens_danificadas]]+Fato_Producao[[#This Row],[peso_errado]]+Fato_Producao[[#This Row],[impressao]]</f>
        <v>208</v>
      </c>
      <c r="L1775" s="1" t="d">
        <v>2026-08-19</v>
      </c>
      <c r="M1775">
        <v>32</v>
      </c>
      <c r="N1775" s="7">
        <v>7.49</v>
      </c>
      <c r="O1775" s="4" t="str">
        <f t="shared" si="81"/>
        <v>setembro</v>
      </c>
      <c r="P1775" s="4">
        <f t="shared" si="82"/>
        <v>2026</v>
      </c>
      <c r="Q1775" s="4" t="str">
        <f t="shared" si="83"/>
        <v/>
      </c>
      <c r="R1775" t="s">
        <v>24</v>
      </c>
    </row>
    <row r="1776" spans="1:18" x14ac:dyDescent="0.3">
      <c r="A1776" s="1" t="d">
        <v>2026-09-21</v>
      </c>
      <c r="B1776">
        <v>45506</v>
      </c>
      <c r="C1776" t="str">
        <f>VLOOKUP(Fato_Producao[[#This Row],[referencia]], Dim_Produtos!A:B,2,FALSE)</f>
        <v>perca posta</v>
      </c>
      <c r="D1776">
        <v>2933</v>
      </c>
      <c r="E1776">
        <v>2715</v>
      </c>
      <c r="F1776" s="5">
        <v>7.4300000000000005E-2</v>
      </c>
      <c r="G1776" s="6">
        <v>76.3</v>
      </c>
      <c r="H1776">
        <v>12</v>
      </c>
      <c r="I1776">
        <v>204</v>
      </c>
      <c r="J1776">
        <v>2</v>
      </c>
      <c r="K1776">
        <f>Fato_Producao[[#This Row],[embalagens_danificadas]]+Fato_Producao[[#This Row],[peso_errado]]+Fato_Producao[[#This Row],[impressao]]</f>
        <v>218</v>
      </c>
      <c r="L1776" s="1" t="d">
        <v>2026-08-19</v>
      </c>
      <c r="M1776">
        <v>33</v>
      </c>
      <c r="N1776" s="7">
        <v>11.44</v>
      </c>
      <c r="O1776" s="4" t="str">
        <f t="shared" si="81"/>
        <v>setembro</v>
      </c>
      <c r="P1776" s="4">
        <f t="shared" si="82"/>
        <v>2026</v>
      </c>
      <c r="Q1776" s="4" t="str">
        <f t="shared" si="83"/>
        <v/>
      </c>
      <c r="R1776" t="s">
        <v>24</v>
      </c>
    </row>
    <row r="1777" spans="1:18" x14ac:dyDescent="0.3">
      <c r="A1777" s="1" t="d">
        <v>2026-09-21</v>
      </c>
      <c r="B1777">
        <v>45504</v>
      </c>
      <c r="C1777" t="str">
        <f>VLOOKUP(Fato_Producao[[#This Row],[referencia]], Dim_Produtos!A:B,2,FALSE)</f>
        <v>pescada posta fritar</v>
      </c>
      <c r="D1777">
        <v>3286</v>
      </c>
      <c r="E1777">
        <v>3010</v>
      </c>
      <c r="F1777" s="5">
        <v>8.4000000000000005E-2</v>
      </c>
      <c r="G1777" s="6">
        <v>88.32</v>
      </c>
      <c r="H1777">
        <v>6</v>
      </c>
      <c r="I1777">
        <v>263</v>
      </c>
      <c r="J1777">
        <v>7</v>
      </c>
      <c r="K1777">
        <f>Fato_Producao[[#This Row],[embalagens_danificadas]]+Fato_Producao[[#This Row],[peso_errado]]+Fato_Producao[[#This Row],[impressao]]</f>
        <v>276</v>
      </c>
      <c r="L1777" s="1" t="d">
        <v>2026-08-19</v>
      </c>
      <c r="M1777">
        <v>33</v>
      </c>
      <c r="N1777" s="7">
        <v>12.36</v>
      </c>
      <c r="O1777" s="4" t="str">
        <f t="shared" si="81"/>
        <v>setembro</v>
      </c>
      <c r="P1777" s="4">
        <f t="shared" si="82"/>
        <v>2026</v>
      </c>
      <c r="Q1777" s="4" t="str">
        <f t="shared" si="83"/>
        <v/>
      </c>
      <c r="R1777" t="s">
        <v>24</v>
      </c>
    </row>
    <row r="1778" spans="1:18" x14ac:dyDescent="0.3">
      <c r="A1778" s="1" t="d">
        <v>2026-09-22</v>
      </c>
      <c r="B1778">
        <v>45509</v>
      </c>
      <c r="C1778" t="str">
        <f>VLOOKUP(Fato_Producao[[#This Row],[referencia]], Dim_Produtos!A:B,2,FALSE)</f>
        <v>lascas bacalhau</v>
      </c>
      <c r="D1778">
        <v>3057</v>
      </c>
      <c r="E1778">
        <v>2861</v>
      </c>
      <c r="F1778" s="5">
        <v>6.4100000000000004E-2</v>
      </c>
      <c r="G1778" s="6">
        <v>54.88</v>
      </c>
      <c r="H1778">
        <v>12</v>
      </c>
      <c r="I1778">
        <v>181</v>
      </c>
      <c r="J1778">
        <v>3</v>
      </c>
      <c r="K1778">
        <f>Fato_Producao[[#This Row],[embalagens_danificadas]]+Fato_Producao[[#This Row],[peso_errado]]+Fato_Producao[[#This Row],[impressao]]</f>
        <v>196</v>
      </c>
      <c r="L1778" s="1" t="d">
        <v>2026-08-19</v>
      </c>
      <c r="M1778">
        <v>34</v>
      </c>
      <c r="N1778" s="7">
        <v>7.13</v>
      </c>
      <c r="O1778" s="4" t="str">
        <f t="shared" si="81"/>
        <v>setembro</v>
      </c>
      <c r="P1778" s="4">
        <f t="shared" si="82"/>
        <v>2026</v>
      </c>
      <c r="Q1778" s="4" t="str">
        <f t="shared" si="83"/>
        <v/>
      </c>
      <c r="R1778" t="s">
        <v>24</v>
      </c>
    </row>
    <row r="1779" spans="1:18" x14ac:dyDescent="0.3">
      <c r="A1779" s="1" t="d">
        <v>2026-09-22</v>
      </c>
      <c r="B1779">
        <v>45513</v>
      </c>
      <c r="C1779" t="str">
        <f>VLOOKUP(Fato_Producao[[#This Row],[referencia]], Dim_Produtos!A:B,2,FALSE)</f>
        <v>filete pescada</v>
      </c>
      <c r="D1779">
        <v>2714</v>
      </c>
      <c r="E1779">
        <v>2489</v>
      </c>
      <c r="F1779" s="5">
        <v>8.2900000000000001E-2</v>
      </c>
      <c r="G1779" s="6">
        <v>72</v>
      </c>
      <c r="H1779">
        <v>8</v>
      </c>
      <c r="I1779">
        <v>212</v>
      </c>
      <c r="J1779">
        <v>5</v>
      </c>
      <c r="K1779">
        <f>Fato_Producao[[#This Row],[embalagens_danificadas]]+Fato_Producao[[#This Row],[peso_errado]]+Fato_Producao[[#This Row],[impressao]]</f>
        <v>225</v>
      </c>
      <c r="L1779" s="1" t="d">
        <v>2026-08-19</v>
      </c>
      <c r="M1779">
        <v>34</v>
      </c>
      <c r="N1779" s="7">
        <v>9.36</v>
      </c>
      <c r="O1779" s="4" t="str">
        <f t="shared" si="81"/>
        <v>setembro</v>
      </c>
      <c r="P1779" s="4">
        <f t="shared" si="82"/>
        <v>2026</v>
      </c>
      <c r="Q1779" s="4" t="str">
        <f t="shared" si="83"/>
        <v/>
      </c>
      <c r="R1779" t="s">
        <v>24</v>
      </c>
    </row>
    <row r="1780" spans="1:18" x14ac:dyDescent="0.3">
      <c r="A1780" s="1" t="d">
        <v>2026-09-23</v>
      </c>
      <c r="B1780">
        <v>45507</v>
      </c>
      <c r="C1780" t="str">
        <f>VLOOKUP(Fato_Producao[[#This Row],[referencia]], Dim_Produtos!A:B,2,FALSE)</f>
        <v>salmao posta</v>
      </c>
      <c r="D1780">
        <v>3215</v>
      </c>
      <c r="E1780">
        <v>2979</v>
      </c>
      <c r="F1780" s="5">
        <v>7.3400000000000007E-2</v>
      </c>
      <c r="G1780" s="6">
        <v>82.6</v>
      </c>
      <c r="H1780">
        <v>7</v>
      </c>
      <c r="I1780">
        <v>223</v>
      </c>
      <c r="J1780">
        <v>6</v>
      </c>
      <c r="K1780">
        <f>Fato_Producao[[#This Row],[embalagens_danificadas]]+Fato_Producao[[#This Row],[peso_errado]]+Fato_Producao[[#This Row],[impressao]]</f>
        <v>236</v>
      </c>
      <c r="L1780" s="1" t="d">
        <v>2026-08-19</v>
      </c>
      <c r="M1780">
        <v>35</v>
      </c>
      <c r="N1780" s="7">
        <v>13.22</v>
      </c>
      <c r="O1780" s="4" t="str">
        <f t="shared" si="81"/>
        <v>setembro</v>
      </c>
      <c r="P1780" s="4">
        <f t="shared" si="82"/>
        <v>2026</v>
      </c>
      <c r="Q1780" s="4" t="str">
        <f t="shared" si="83"/>
        <v/>
      </c>
      <c r="R1780" t="s">
        <v>24</v>
      </c>
    </row>
    <row r="1781" spans="1:18" x14ac:dyDescent="0.3">
      <c r="A1781" s="1" t="d">
        <v>2026-09-24</v>
      </c>
      <c r="B1781">
        <v>45514</v>
      </c>
      <c r="C1781" t="str">
        <f>VLOOKUP(Fato_Producao[[#This Row],[referencia]], Dim_Produtos!A:B,2,FALSE)</f>
        <v>sardinha pequena</v>
      </c>
      <c r="D1781">
        <v>4151</v>
      </c>
      <c r="E1781">
        <v>3843</v>
      </c>
      <c r="F1781" s="5">
        <v>7.4200000000000002E-2</v>
      </c>
      <c r="G1781" s="6">
        <v>92.4</v>
      </c>
      <c r="H1781">
        <v>14</v>
      </c>
      <c r="I1781">
        <v>290</v>
      </c>
      <c r="J1781">
        <v>4</v>
      </c>
      <c r="K1781">
        <f>Fato_Producao[[#This Row],[embalagens_danificadas]]+Fato_Producao[[#This Row],[peso_errado]]+Fato_Producao[[#This Row],[impressao]]</f>
        <v>308</v>
      </c>
      <c r="L1781" s="1" t="d">
        <v>2026-08-19</v>
      </c>
      <c r="M1781">
        <v>36</v>
      </c>
      <c r="N1781" s="7">
        <v>11.09</v>
      </c>
      <c r="O1781" s="4" t="str">
        <f t="shared" si="81"/>
        <v>setembro</v>
      </c>
      <c r="P1781" s="4">
        <f t="shared" si="82"/>
        <v>2026</v>
      </c>
      <c r="Q1781" s="4" t="str">
        <f t="shared" si="83"/>
        <v/>
      </c>
      <c r="R1781" t="s">
        <v>24</v>
      </c>
    </row>
    <row r="1782" spans="1:18" x14ac:dyDescent="0.3">
      <c r="A1782" s="1" t="d">
        <v>2026-09-24</v>
      </c>
      <c r="B1782">
        <v>45514</v>
      </c>
      <c r="C1782" t="str">
        <f>VLOOKUP(Fato_Producao[[#This Row],[referencia]], Dim_Produtos!A:B,2,FALSE)</f>
        <v>sardinha pequena</v>
      </c>
      <c r="D1782">
        <v>3563</v>
      </c>
      <c r="E1782">
        <v>3213</v>
      </c>
      <c r="F1782" s="5">
        <v>9.8199999999999996E-2</v>
      </c>
      <c r="G1782" s="6">
        <v>105</v>
      </c>
      <c r="H1782">
        <v>15</v>
      </c>
      <c r="I1782">
        <v>327</v>
      </c>
      <c r="J1782">
        <v>8</v>
      </c>
      <c r="K1782">
        <f>Fato_Producao[[#This Row],[embalagens_danificadas]]+Fato_Producao[[#This Row],[peso_errado]]+Fato_Producao[[#This Row],[impressao]]</f>
        <v>350</v>
      </c>
      <c r="L1782" s="1" t="d">
        <v>2026-08-19</v>
      </c>
      <c r="M1782">
        <v>36</v>
      </c>
      <c r="N1782" s="7">
        <v>12.6</v>
      </c>
      <c r="O1782" s="4" t="str">
        <f t="shared" si="81"/>
        <v>setembro</v>
      </c>
      <c r="P1782" s="4">
        <f t="shared" si="82"/>
        <v>2026</v>
      </c>
      <c r="Q1782" s="4" t="str">
        <f t="shared" si="83"/>
        <v/>
      </c>
      <c r="R1782" t="s">
        <v>24</v>
      </c>
    </row>
    <row r="1783" spans="1:18" x14ac:dyDescent="0.3">
      <c r="A1783" s="1" t="d">
        <v>2026-09-25</v>
      </c>
      <c r="B1783">
        <v>45500</v>
      </c>
      <c r="C1783" t="str">
        <f>VLOOKUP(Fato_Producao[[#This Row],[referencia]], Dim_Produtos!A:B,2,FALSE)</f>
        <v>filete pescada</v>
      </c>
      <c r="D1783">
        <v>2909</v>
      </c>
      <c r="E1783">
        <v>2697</v>
      </c>
      <c r="F1783" s="5">
        <v>7.2900000000000006E-2</v>
      </c>
      <c r="G1783" s="6">
        <v>59.36</v>
      </c>
      <c r="H1783">
        <v>15</v>
      </c>
      <c r="I1783">
        <v>193</v>
      </c>
      <c r="J1783">
        <v>4</v>
      </c>
      <c r="K1783">
        <f>Fato_Producao[[#This Row],[embalagens_danificadas]]+Fato_Producao[[#This Row],[peso_errado]]+Fato_Producao[[#This Row],[impressao]]</f>
        <v>212</v>
      </c>
      <c r="L1783" s="1" t="d">
        <v>2026-08-19</v>
      </c>
      <c r="M1783">
        <v>37</v>
      </c>
      <c r="N1783" s="7">
        <v>7.12</v>
      </c>
      <c r="O1783" s="4" t="str">
        <f t="shared" si="81"/>
        <v>setembro</v>
      </c>
      <c r="P1783" s="4">
        <f t="shared" si="82"/>
        <v>2026</v>
      </c>
      <c r="Q1783" s="4" t="str">
        <f t="shared" si="83"/>
        <v/>
      </c>
      <c r="R1783" t="s">
        <v>24</v>
      </c>
    </row>
    <row r="1784" spans="1:18" x14ac:dyDescent="0.3">
      <c r="A1784" s="1" t="d">
        <v>2026-09-25</v>
      </c>
      <c r="B1784">
        <v>45507</v>
      </c>
      <c r="C1784" t="str">
        <f>VLOOKUP(Fato_Producao[[#This Row],[referencia]], Dim_Produtos!A:B,2,FALSE)</f>
        <v>salmao posta</v>
      </c>
      <c r="D1784">
        <v>2784</v>
      </c>
      <c r="E1784">
        <v>2596</v>
      </c>
      <c r="F1784" s="5">
        <v>6.7500000000000004E-2</v>
      </c>
      <c r="G1784" s="6">
        <v>65.8</v>
      </c>
      <c r="H1784">
        <v>13</v>
      </c>
      <c r="I1784">
        <v>172</v>
      </c>
      <c r="J1784">
        <v>3</v>
      </c>
      <c r="K1784">
        <f>Fato_Producao[[#This Row],[embalagens_danificadas]]+Fato_Producao[[#This Row],[peso_errado]]+Fato_Producao[[#This Row],[impressao]]</f>
        <v>188</v>
      </c>
      <c r="L1784" s="1" t="d">
        <v>2026-08-19</v>
      </c>
      <c r="M1784">
        <v>37</v>
      </c>
      <c r="N1784" s="7">
        <v>10.53</v>
      </c>
      <c r="O1784" s="4" t="str">
        <f t="shared" si="81"/>
        <v>setembro</v>
      </c>
      <c r="P1784" s="4">
        <f t="shared" si="82"/>
        <v>2026</v>
      </c>
      <c r="Q1784" s="4" t="str">
        <f t="shared" si="83"/>
        <v/>
      </c>
      <c r="R1784" t="s">
        <v>24</v>
      </c>
    </row>
    <row r="1785" spans="1:18" x14ac:dyDescent="0.3">
      <c r="A1785" s="1" t="d">
        <v>2026-09-26</v>
      </c>
      <c r="B1785">
        <v>45502</v>
      </c>
      <c r="C1785" t="str">
        <f>VLOOKUP(Fato_Producao[[#This Row],[referencia]], Dim_Produtos!A:B,2,FALSE)</f>
        <v>carapau pelim</v>
      </c>
      <c r="D1785">
        <v>3012</v>
      </c>
      <c r="E1785">
        <v>2732</v>
      </c>
      <c r="F1785" s="5">
        <v>9.2999999999999999E-2</v>
      </c>
      <c r="G1785" s="6">
        <v>84</v>
      </c>
      <c r="H1785">
        <v>81</v>
      </c>
      <c r="I1785">
        <v>189</v>
      </c>
      <c r="J1785">
        <v>10</v>
      </c>
      <c r="K1785">
        <f>Fato_Producao[[#This Row],[embalagens_danificadas]]+Fato_Producao[[#This Row],[peso_errado]]+Fato_Producao[[#This Row],[impressao]]</f>
        <v>280</v>
      </c>
      <c r="L1785" s="1" t="d">
        <v>2026-08-19</v>
      </c>
      <c r="M1785">
        <v>38</v>
      </c>
      <c r="N1785" s="7">
        <v>10.92</v>
      </c>
      <c r="O1785" s="4" t="str">
        <f t="shared" si="81"/>
        <v>setembro</v>
      </c>
      <c r="P1785" s="4">
        <f t="shared" si="82"/>
        <v>2026</v>
      </c>
      <c r="Q1785" s="4" t="str">
        <f t="shared" si="83"/>
        <v/>
      </c>
      <c r="R1785" t="s">
        <v>24</v>
      </c>
    </row>
    <row r="1786" spans="1:18" x14ac:dyDescent="0.3">
      <c r="A1786" s="1" t="d">
        <v>2026-09-26</v>
      </c>
      <c r="B1786">
        <v>45507</v>
      </c>
      <c r="C1786" t="str">
        <f>VLOOKUP(Fato_Producao[[#This Row],[referencia]], Dim_Produtos!A:B,2,FALSE)</f>
        <v>salmao posta</v>
      </c>
      <c r="D1786">
        <v>3265</v>
      </c>
      <c r="E1786">
        <v>3015</v>
      </c>
      <c r="F1786" s="5">
        <v>7.6600000000000001E-2</v>
      </c>
      <c r="G1786" s="6">
        <v>87.5</v>
      </c>
      <c r="H1786">
        <v>11</v>
      </c>
      <c r="I1786">
        <v>233</v>
      </c>
      <c r="J1786">
        <v>6</v>
      </c>
      <c r="K1786">
        <f>Fato_Producao[[#This Row],[embalagens_danificadas]]+Fato_Producao[[#This Row],[peso_errado]]+Fato_Producao[[#This Row],[impressao]]</f>
        <v>250</v>
      </c>
      <c r="L1786" s="1" t="d">
        <v>2026-08-19</v>
      </c>
      <c r="M1786">
        <v>38</v>
      </c>
      <c r="N1786" s="7">
        <v>14</v>
      </c>
      <c r="O1786" s="4" t="str">
        <f t="shared" si="81"/>
        <v>setembro</v>
      </c>
      <c r="P1786" s="4">
        <f t="shared" si="82"/>
        <v>2026</v>
      </c>
      <c r="Q1786" s="4" t="str">
        <f t="shared" si="83"/>
        <v/>
      </c>
      <c r="R1786" t="s">
        <v>24</v>
      </c>
    </row>
    <row r="1787" spans="1:18" x14ac:dyDescent="0.3">
      <c r="A1787" s="1" t="d">
        <v>2026-09-27</v>
      </c>
      <c r="B1787">
        <v>45506</v>
      </c>
      <c r="C1787" t="str">
        <f>VLOOKUP(Fato_Producao[[#This Row],[referencia]], Dim_Produtos!A:B,2,FALSE)</f>
        <v>perca posta</v>
      </c>
      <c r="D1787">
        <v>3364</v>
      </c>
      <c r="E1787">
        <v>3109</v>
      </c>
      <c r="F1787" s="5">
        <v>7.5800000000000006E-2</v>
      </c>
      <c r="G1787" s="6">
        <v>89.25</v>
      </c>
      <c r="H1787">
        <v>16</v>
      </c>
      <c r="I1787">
        <v>234</v>
      </c>
      <c r="J1787">
        <v>5</v>
      </c>
      <c r="K1787">
        <f>Fato_Producao[[#This Row],[embalagens_danificadas]]+Fato_Producao[[#This Row],[peso_errado]]+Fato_Producao[[#This Row],[impressao]]</f>
        <v>255</v>
      </c>
      <c r="L1787" s="1" t="d">
        <v>2026-08-19</v>
      </c>
      <c r="M1787">
        <v>39</v>
      </c>
      <c r="N1787" s="7">
        <v>13.39</v>
      </c>
      <c r="O1787" s="4" t="str">
        <f t="shared" si="81"/>
        <v>setembro</v>
      </c>
      <c r="P1787" s="4">
        <f t="shared" si="82"/>
        <v>2026</v>
      </c>
      <c r="Q1787" s="4" t="str">
        <f t="shared" si="83"/>
        <v/>
      </c>
      <c r="R1787" t="s">
        <v>24</v>
      </c>
    </row>
    <row r="1788" spans="1:18" x14ac:dyDescent="0.3">
      <c r="A1788" s="1" t="d">
        <v>2026-09-27</v>
      </c>
      <c r="B1788">
        <v>45514</v>
      </c>
      <c r="C1788" t="str">
        <f>VLOOKUP(Fato_Producao[[#This Row],[referencia]], Dim_Produtos!A:B,2,FALSE)</f>
        <v>sardinha pequena</v>
      </c>
      <c r="D1788">
        <v>2013</v>
      </c>
      <c r="E1788">
        <v>1862</v>
      </c>
      <c r="F1788" s="5">
        <v>7.4999999999999997E-2</v>
      </c>
      <c r="G1788" s="6">
        <v>45.3</v>
      </c>
      <c r="H1788">
        <v>5</v>
      </c>
      <c r="I1788">
        <v>144</v>
      </c>
      <c r="J1788">
        <v>2</v>
      </c>
      <c r="K1788">
        <f>Fato_Producao[[#This Row],[embalagens_danificadas]]+Fato_Producao[[#This Row],[peso_errado]]+Fato_Producao[[#This Row],[impressao]]</f>
        <v>151</v>
      </c>
      <c r="L1788" s="1" t="d">
        <v>2026-08-19</v>
      </c>
      <c r="M1788">
        <v>39</v>
      </c>
      <c r="N1788" s="7">
        <v>5.44</v>
      </c>
      <c r="O1788" s="4" t="str">
        <f t="shared" si="81"/>
        <v>setembro</v>
      </c>
      <c r="P1788" s="4">
        <f t="shared" si="82"/>
        <v>2026</v>
      </c>
      <c r="Q1788" s="4" t="str">
        <f t="shared" si="83"/>
        <v/>
      </c>
      <c r="R1788" t="s">
        <v>24</v>
      </c>
    </row>
    <row r="1789" spans="1:18" x14ac:dyDescent="0.3">
      <c r="A1789" s="1" t="d">
        <v>2026-09-28</v>
      </c>
      <c r="B1789">
        <v>45510</v>
      </c>
      <c r="C1789" t="str">
        <f>VLOOKUP(Fato_Producao[[#This Row],[referencia]], Dim_Produtos!A:B,2,FALSE)</f>
        <v>tiras pota</v>
      </c>
      <c r="D1789">
        <v>2052</v>
      </c>
      <c r="E1789">
        <v>1856</v>
      </c>
      <c r="F1789" s="5">
        <v>9.5500000000000002E-2</v>
      </c>
      <c r="G1789" s="6">
        <v>62.72</v>
      </c>
      <c r="H1789">
        <v>29</v>
      </c>
      <c r="I1789">
        <v>164</v>
      </c>
      <c r="J1789">
        <v>3</v>
      </c>
      <c r="K1789">
        <f>Fato_Producao[[#This Row],[embalagens_danificadas]]+Fato_Producao[[#This Row],[peso_errado]]+Fato_Producao[[#This Row],[impressao]]</f>
        <v>196</v>
      </c>
      <c r="L1789" s="1" t="d">
        <v>2026-08-19</v>
      </c>
      <c r="M1789">
        <v>40</v>
      </c>
      <c r="N1789" s="7">
        <v>8.7799999999999994</v>
      </c>
      <c r="O1789" s="4" t="str">
        <f t="shared" si="81"/>
        <v>setembro</v>
      </c>
      <c r="P1789" s="4">
        <f t="shared" si="82"/>
        <v>2026</v>
      </c>
      <c r="Q1789" s="4" t="str">
        <f t="shared" si="83"/>
        <v/>
      </c>
      <c r="R1789" t="s">
        <v>24</v>
      </c>
    </row>
    <row r="1790" spans="1:18" x14ac:dyDescent="0.3">
      <c r="A1790" s="1" t="d">
        <v>2026-09-28</v>
      </c>
      <c r="B1790">
        <v>45513</v>
      </c>
      <c r="C1790" t="str">
        <f>VLOOKUP(Fato_Producao[[#This Row],[referencia]], Dim_Produtos!A:B,2,FALSE)</f>
        <v>filete pescada</v>
      </c>
      <c r="D1790">
        <v>3277</v>
      </c>
      <c r="E1790">
        <v>3017</v>
      </c>
      <c r="F1790" s="5">
        <v>7.9299999999999995E-2</v>
      </c>
      <c r="G1790" s="6">
        <v>83.2</v>
      </c>
      <c r="H1790">
        <v>13</v>
      </c>
      <c r="I1790">
        <v>244</v>
      </c>
      <c r="J1790">
        <v>3</v>
      </c>
      <c r="K1790">
        <f>Fato_Producao[[#This Row],[embalagens_danificadas]]+Fato_Producao[[#This Row],[peso_errado]]+Fato_Producao[[#This Row],[impressao]]</f>
        <v>260</v>
      </c>
      <c r="L1790" s="1" t="d">
        <v>2026-08-19</v>
      </c>
      <c r="M1790">
        <v>40</v>
      </c>
      <c r="N1790" s="7">
        <v>10.82</v>
      </c>
      <c r="O1790" s="4" t="str">
        <f t="shared" si="81"/>
        <v>setembro</v>
      </c>
      <c r="P1790" s="4">
        <f t="shared" si="82"/>
        <v>2026</v>
      </c>
      <c r="Q1790" s="4" t="str">
        <f t="shared" si="83"/>
        <v/>
      </c>
      <c r="R1790" t="s">
        <v>24</v>
      </c>
    </row>
    <row r="1791" spans="1:18" x14ac:dyDescent="0.3">
      <c r="A1791" s="1" t="d">
        <v>2026-09-29</v>
      </c>
      <c r="B1791">
        <v>45504</v>
      </c>
      <c r="C1791" t="str">
        <f>VLOOKUP(Fato_Producao[[#This Row],[referencia]], Dim_Produtos!A:B,2,FALSE)</f>
        <v>pescada posta fritar</v>
      </c>
      <c r="D1791">
        <v>2824</v>
      </c>
      <c r="E1791">
        <v>2584</v>
      </c>
      <c r="F1791" s="5">
        <v>8.5000000000000006E-2</v>
      </c>
      <c r="G1791" s="6">
        <v>76.8</v>
      </c>
      <c r="H1791">
        <v>8</v>
      </c>
      <c r="I1791">
        <v>228</v>
      </c>
      <c r="J1791">
        <v>4</v>
      </c>
      <c r="K1791">
        <f>Fato_Producao[[#This Row],[embalagens_danificadas]]+Fato_Producao[[#This Row],[peso_errado]]+Fato_Producao[[#This Row],[impressao]]</f>
        <v>240</v>
      </c>
      <c r="L1791" s="1" t="d">
        <v>2026-08-19</v>
      </c>
      <c r="M1791">
        <v>41</v>
      </c>
      <c r="N1791" s="7">
        <v>10.75</v>
      </c>
      <c r="O1791" s="4" t="str">
        <f t="shared" si="81"/>
        <v>setembro</v>
      </c>
      <c r="P1791" s="4">
        <f t="shared" si="82"/>
        <v>2026</v>
      </c>
      <c r="Q1791" s="4" t="str">
        <f t="shared" si="83"/>
        <v/>
      </c>
      <c r="R1791" t="s">
        <v>24</v>
      </c>
    </row>
    <row r="1792" spans="1:18" x14ac:dyDescent="0.3">
      <c r="A1792" s="1" t="d">
        <v>2026-09-29</v>
      </c>
      <c r="B1792">
        <v>45513</v>
      </c>
      <c r="C1792" t="str">
        <f>VLOOKUP(Fato_Producao[[#This Row],[referencia]], Dim_Produtos!A:B,2,FALSE)</f>
        <v>filete pescada</v>
      </c>
      <c r="D1792">
        <v>3704</v>
      </c>
      <c r="E1792">
        <v>3496</v>
      </c>
      <c r="F1792" s="5">
        <v>5.62E-2</v>
      </c>
      <c r="G1792" s="6">
        <v>66.56</v>
      </c>
      <c r="H1792">
        <v>10</v>
      </c>
      <c r="I1792">
        <v>195</v>
      </c>
      <c r="J1792">
        <v>3</v>
      </c>
      <c r="K1792">
        <f>Fato_Producao[[#This Row],[embalagens_danificadas]]+Fato_Producao[[#This Row],[peso_errado]]+Fato_Producao[[#This Row],[impressao]]</f>
        <v>208</v>
      </c>
      <c r="L1792" s="1" t="d">
        <v>2026-08-19</v>
      </c>
      <c r="M1792">
        <v>41</v>
      </c>
      <c r="N1792" s="7">
        <v>8.65</v>
      </c>
      <c r="O1792" s="4" t="str">
        <f t="shared" si="81"/>
        <v>setembro</v>
      </c>
      <c r="P1792" s="4">
        <f t="shared" si="82"/>
        <v>2026</v>
      </c>
      <c r="Q1792" s="4" t="str">
        <f t="shared" si="83"/>
        <v/>
      </c>
      <c r="R1792" t="s">
        <v>24</v>
      </c>
    </row>
    <row r="1793" spans="1:18" x14ac:dyDescent="0.3">
      <c r="A1793" s="1" t="d">
        <v>2026-09-30</v>
      </c>
      <c r="B1793">
        <v>45504</v>
      </c>
      <c r="C1793" t="str">
        <f>VLOOKUP(Fato_Producao[[#This Row],[referencia]], Dim_Produtos!A:B,2,FALSE)</f>
        <v>pescada posta fritar</v>
      </c>
      <c r="D1793">
        <v>3255</v>
      </c>
      <c r="E1793">
        <v>2960</v>
      </c>
      <c r="F1793" s="5">
        <v>9.06E-2</v>
      </c>
      <c r="G1793" s="6">
        <v>94.4</v>
      </c>
      <c r="H1793">
        <v>21</v>
      </c>
      <c r="I1793">
        <v>271</v>
      </c>
      <c r="J1793">
        <v>3</v>
      </c>
      <c r="K1793">
        <f>Fato_Producao[[#This Row],[embalagens_danificadas]]+Fato_Producao[[#This Row],[peso_errado]]+Fato_Producao[[#This Row],[impressao]]</f>
        <v>295</v>
      </c>
      <c r="L1793" s="1" t="d">
        <v>2026-08-19</v>
      </c>
      <c r="M1793">
        <v>42</v>
      </c>
      <c r="N1793" s="7">
        <v>13.22</v>
      </c>
      <c r="O1793" s="4" t="str">
        <f t="shared" si="81"/>
        <v>setembro</v>
      </c>
      <c r="P1793" s="4">
        <f t="shared" si="82"/>
        <v>2026</v>
      </c>
      <c r="Q1793" s="4">
        <f t="shared" si="83"/>
        <v>42</v>
      </c>
      <c r="R1793" t="s">
        <v>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793"/>
  <sheetViews>
    <sheetView workbookViewId="0"/>
  </sheetViews>
  <sheetFormatPr defaultRowHeight="14.4" x14ac:dyDescent="0.3"/>
  <cols>
    <col min="7" max="7" width="18.5546875" customWidth="1"/>
  </cols>
  <sheetData>
    <row r="1" spans="1:7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16</v>
      </c>
    </row>
    <row r="2" spans="1:7" x14ac:dyDescent="0.3">
      <c r="A2">
        <v>45513</v>
      </c>
      <c r="B2" t="s">
        <v>19</v>
      </c>
      <c r="C2" t="s">
        <v>20</v>
      </c>
      <c r="D2" t="s">
        <v>21</v>
      </c>
      <c r="E2">
        <v>1000</v>
      </c>
      <c r="F2" t="s">
        <v>22</v>
      </c>
      <c r="G2" t="s">
        <v>23</v>
      </c>
    </row>
    <row r="3" spans="1:7" x14ac:dyDescent="0.3">
      <c r="A3">
        <v>45501</v>
      </c>
      <c r="B3" t="s">
        <v>25</v>
      </c>
      <c r="C3" t="s">
        <v>26</v>
      </c>
      <c r="D3" t="s">
        <v>27</v>
      </c>
      <c r="E3">
        <v>1000</v>
      </c>
      <c r="F3" t="s">
        <v>22</v>
      </c>
      <c r="G3" t="s">
        <v>28</v>
      </c>
    </row>
    <row r="4" spans="1:7" x14ac:dyDescent="0.3">
      <c r="A4">
        <v>45504</v>
      </c>
      <c r="B4" t="s">
        <v>29</v>
      </c>
      <c r="C4" t="s">
        <v>26</v>
      </c>
      <c r="D4" t="s">
        <v>27</v>
      </c>
      <c r="E4">
        <v>1000</v>
      </c>
      <c r="F4" t="s">
        <v>22</v>
      </c>
      <c r="G4" t="s">
        <v>28</v>
      </c>
    </row>
    <row r="5" spans="1:7" x14ac:dyDescent="0.3">
      <c r="A5">
        <v>45501</v>
      </c>
      <c r="B5" t="s">
        <v>25</v>
      </c>
      <c r="C5" t="s">
        <v>26</v>
      </c>
      <c r="D5" t="s">
        <v>27</v>
      </c>
      <c r="E5">
        <v>1000</v>
      </c>
      <c r="F5" t="s">
        <v>22</v>
      </c>
      <c r="G5" t="s">
        <v>28</v>
      </c>
    </row>
    <row r="6" spans="1:7" x14ac:dyDescent="0.3">
      <c r="A6">
        <v>45509</v>
      </c>
      <c r="B6" t="s">
        <v>30</v>
      </c>
      <c r="C6" t="s">
        <v>26</v>
      </c>
      <c r="D6" t="s">
        <v>31</v>
      </c>
      <c r="E6">
        <v>500</v>
      </c>
      <c r="F6" t="s">
        <v>32</v>
      </c>
      <c r="G6" t="s">
        <v>23</v>
      </c>
    </row>
    <row r="7" spans="1:7" x14ac:dyDescent="0.3">
      <c r="A7">
        <v>45507</v>
      </c>
      <c r="B7" t="s">
        <v>33</v>
      </c>
      <c r="C7" t="s">
        <v>26</v>
      </c>
      <c r="D7" t="s">
        <v>21</v>
      </c>
      <c r="E7">
        <v>1000</v>
      </c>
      <c r="F7" t="s">
        <v>34</v>
      </c>
      <c r="G7" t="s">
        <v>35</v>
      </c>
    </row>
    <row r="8" spans="1:7" x14ac:dyDescent="0.3">
      <c r="A8">
        <v>45512</v>
      </c>
      <c r="B8" t="s">
        <v>36</v>
      </c>
      <c r="C8" t="s">
        <v>26</v>
      </c>
      <c r="D8" t="s">
        <v>21</v>
      </c>
      <c r="E8">
        <v>1000</v>
      </c>
      <c r="F8" t="s">
        <v>37</v>
      </c>
      <c r="G8" t="s">
        <v>28</v>
      </c>
    </row>
    <row r="9" spans="1:7" x14ac:dyDescent="0.3">
      <c r="A9">
        <v>45506</v>
      </c>
      <c r="B9" t="s">
        <v>38</v>
      </c>
      <c r="C9" t="s">
        <v>26</v>
      </c>
      <c r="D9" t="s">
        <v>21</v>
      </c>
      <c r="E9">
        <v>1000</v>
      </c>
      <c r="F9" t="s">
        <v>34</v>
      </c>
      <c r="G9" t="s">
        <v>39</v>
      </c>
    </row>
    <row r="10" spans="1:7" x14ac:dyDescent="0.3">
      <c r="A10">
        <v>45506</v>
      </c>
      <c r="B10" t="s">
        <v>38</v>
      </c>
      <c r="C10" t="s">
        <v>26</v>
      </c>
      <c r="D10" t="s">
        <v>21</v>
      </c>
      <c r="E10">
        <v>1000</v>
      </c>
      <c r="F10" t="s">
        <v>34</v>
      </c>
      <c r="G10" t="s">
        <v>39</v>
      </c>
    </row>
    <row r="11" spans="1:7" x14ac:dyDescent="0.3">
      <c r="A11">
        <v>45502</v>
      </c>
      <c r="B11" t="s">
        <v>40</v>
      </c>
      <c r="C11" t="s">
        <v>20</v>
      </c>
      <c r="D11" t="s">
        <v>31</v>
      </c>
      <c r="E11">
        <v>800</v>
      </c>
      <c r="F11" t="s">
        <v>41</v>
      </c>
      <c r="G11" t="s">
        <v>23</v>
      </c>
    </row>
    <row r="12" spans="1:7" x14ac:dyDescent="0.3">
      <c r="A12">
        <v>45508</v>
      </c>
      <c r="B12" t="s">
        <v>42</v>
      </c>
      <c r="C12" t="s">
        <v>20</v>
      </c>
      <c r="D12" t="s">
        <v>31</v>
      </c>
      <c r="E12">
        <v>1000</v>
      </c>
      <c r="F12" t="s">
        <v>22</v>
      </c>
      <c r="G12" t="s">
        <v>28</v>
      </c>
    </row>
    <row r="13" spans="1:7" x14ac:dyDescent="0.3">
      <c r="A13">
        <v>45503</v>
      </c>
      <c r="B13" t="s">
        <v>43</v>
      </c>
      <c r="C13" t="s">
        <v>20</v>
      </c>
      <c r="D13" t="s">
        <v>31</v>
      </c>
      <c r="E13">
        <v>500</v>
      </c>
      <c r="F13" t="s">
        <v>44</v>
      </c>
      <c r="G13" t="s">
        <v>45</v>
      </c>
    </row>
    <row r="14" spans="1:7" x14ac:dyDescent="0.3">
      <c r="A14">
        <v>45512</v>
      </c>
      <c r="B14" t="s">
        <v>36</v>
      </c>
      <c r="C14" t="s">
        <v>26</v>
      </c>
      <c r="D14" t="s">
        <v>21</v>
      </c>
      <c r="E14">
        <v>1000</v>
      </c>
      <c r="F14" t="s">
        <v>37</v>
      </c>
      <c r="G14" t="s">
        <v>28</v>
      </c>
    </row>
    <row r="15" spans="1:7" x14ac:dyDescent="0.3">
      <c r="A15">
        <v>45511</v>
      </c>
      <c r="B15" t="s">
        <v>46</v>
      </c>
      <c r="C15" t="s">
        <v>20</v>
      </c>
      <c r="D15" t="s">
        <v>27</v>
      </c>
      <c r="E15">
        <v>1000</v>
      </c>
      <c r="F15" t="s">
        <v>22</v>
      </c>
      <c r="G15" t="s">
        <v>28</v>
      </c>
    </row>
    <row r="16" spans="1:7" x14ac:dyDescent="0.3">
      <c r="A16">
        <v>45506</v>
      </c>
      <c r="B16" t="s">
        <v>38</v>
      </c>
      <c r="C16" t="s">
        <v>26</v>
      </c>
      <c r="D16" t="s">
        <v>21</v>
      </c>
      <c r="E16">
        <v>1000</v>
      </c>
      <c r="F16" t="s">
        <v>34</v>
      </c>
      <c r="G16" t="s">
        <v>39</v>
      </c>
    </row>
    <row r="17" spans="1:7" x14ac:dyDescent="0.3">
      <c r="A17">
        <v>45506</v>
      </c>
      <c r="B17" t="s">
        <v>38</v>
      </c>
      <c r="C17" t="s">
        <v>26</v>
      </c>
      <c r="D17" t="s">
        <v>21</v>
      </c>
      <c r="E17">
        <v>1000</v>
      </c>
      <c r="F17" t="s">
        <v>34</v>
      </c>
      <c r="G17" t="s">
        <v>39</v>
      </c>
    </row>
    <row r="18" spans="1:7" x14ac:dyDescent="0.3">
      <c r="A18">
        <v>45502</v>
      </c>
      <c r="B18" t="s">
        <v>40</v>
      </c>
      <c r="C18" t="s">
        <v>20</v>
      </c>
      <c r="D18" t="s">
        <v>31</v>
      </c>
      <c r="E18">
        <v>800</v>
      </c>
      <c r="F18" t="s">
        <v>41</v>
      </c>
      <c r="G18" t="s">
        <v>23</v>
      </c>
    </row>
    <row r="19" spans="1:7" x14ac:dyDescent="0.3">
      <c r="A19">
        <v>45500</v>
      </c>
      <c r="B19" t="s">
        <v>19</v>
      </c>
      <c r="C19" t="s">
        <v>20</v>
      </c>
      <c r="D19" t="s">
        <v>21</v>
      </c>
      <c r="E19">
        <v>500</v>
      </c>
      <c r="F19" t="s">
        <v>32</v>
      </c>
      <c r="G19" t="s">
        <v>47</v>
      </c>
    </row>
    <row r="20" spans="1:7" x14ac:dyDescent="0.3">
      <c r="A20">
        <v>45507</v>
      </c>
      <c r="B20" t="s">
        <v>33</v>
      </c>
      <c r="C20" t="s">
        <v>26</v>
      </c>
      <c r="D20" t="s">
        <v>21</v>
      </c>
      <c r="E20">
        <v>1000</v>
      </c>
      <c r="F20" t="s">
        <v>34</v>
      </c>
      <c r="G20" t="s">
        <v>35</v>
      </c>
    </row>
    <row r="21" spans="1:7" x14ac:dyDescent="0.3">
      <c r="A21">
        <v>45501</v>
      </c>
      <c r="B21" t="s">
        <v>25</v>
      </c>
      <c r="C21" t="s">
        <v>26</v>
      </c>
      <c r="D21" t="s">
        <v>27</v>
      </c>
      <c r="E21">
        <v>1000</v>
      </c>
      <c r="F21" t="s">
        <v>22</v>
      </c>
      <c r="G21" t="s">
        <v>28</v>
      </c>
    </row>
    <row r="22" spans="1:7" x14ac:dyDescent="0.3">
      <c r="A22">
        <v>45510</v>
      </c>
      <c r="B22" t="s">
        <v>48</v>
      </c>
      <c r="C22" t="s">
        <v>20</v>
      </c>
      <c r="D22" t="s">
        <v>27</v>
      </c>
      <c r="E22">
        <v>1000</v>
      </c>
      <c r="F22" t="s">
        <v>22</v>
      </c>
      <c r="G22" t="s">
        <v>28</v>
      </c>
    </row>
    <row r="23" spans="1:7" x14ac:dyDescent="0.3">
      <c r="A23">
        <v>45514</v>
      </c>
      <c r="B23" t="s">
        <v>43</v>
      </c>
      <c r="C23" t="s">
        <v>20</v>
      </c>
      <c r="D23" t="s">
        <v>31</v>
      </c>
      <c r="E23">
        <v>1000</v>
      </c>
      <c r="F23" t="s">
        <v>41</v>
      </c>
      <c r="G23" t="s">
        <v>47</v>
      </c>
    </row>
    <row r="24" spans="1:7" x14ac:dyDescent="0.3">
      <c r="A24">
        <v>45503</v>
      </c>
      <c r="B24" t="s">
        <v>43</v>
      </c>
      <c r="C24" t="s">
        <v>20</v>
      </c>
      <c r="D24" t="s">
        <v>31</v>
      </c>
      <c r="E24">
        <v>500</v>
      </c>
      <c r="F24" t="s">
        <v>44</v>
      </c>
      <c r="G24" t="s">
        <v>45</v>
      </c>
    </row>
    <row r="25" spans="1:7" x14ac:dyDescent="0.3">
      <c r="A25">
        <v>45506</v>
      </c>
      <c r="B25" t="s">
        <v>38</v>
      </c>
      <c r="C25" t="s">
        <v>26</v>
      </c>
      <c r="D25" t="s">
        <v>21</v>
      </c>
      <c r="E25">
        <v>1000</v>
      </c>
      <c r="F25" t="s">
        <v>34</v>
      </c>
      <c r="G25" t="s">
        <v>39</v>
      </c>
    </row>
    <row r="26" spans="1:7" x14ac:dyDescent="0.3">
      <c r="A26">
        <v>45501</v>
      </c>
      <c r="B26" t="s">
        <v>25</v>
      </c>
      <c r="C26" t="s">
        <v>26</v>
      </c>
      <c r="D26" t="s">
        <v>27</v>
      </c>
      <c r="E26">
        <v>1000</v>
      </c>
      <c r="F26" t="s">
        <v>22</v>
      </c>
      <c r="G26" t="s">
        <v>28</v>
      </c>
    </row>
    <row r="27" spans="1:7" x14ac:dyDescent="0.3">
      <c r="A27">
        <v>45500</v>
      </c>
      <c r="B27" t="s">
        <v>19</v>
      </c>
      <c r="C27" t="s">
        <v>20</v>
      </c>
      <c r="D27" t="s">
        <v>21</v>
      </c>
      <c r="E27">
        <v>500</v>
      </c>
      <c r="F27" t="s">
        <v>32</v>
      </c>
      <c r="G27" t="s">
        <v>47</v>
      </c>
    </row>
    <row r="28" spans="1:7" x14ac:dyDescent="0.3">
      <c r="A28">
        <v>45510</v>
      </c>
      <c r="B28" t="s">
        <v>48</v>
      </c>
      <c r="C28" t="s">
        <v>20</v>
      </c>
      <c r="D28" t="s">
        <v>27</v>
      </c>
      <c r="E28">
        <v>1000</v>
      </c>
      <c r="F28" t="s">
        <v>22</v>
      </c>
      <c r="G28" t="s">
        <v>28</v>
      </c>
    </row>
    <row r="29" spans="1:7" x14ac:dyDescent="0.3">
      <c r="A29">
        <v>45503</v>
      </c>
      <c r="B29" t="s">
        <v>43</v>
      </c>
      <c r="C29" t="s">
        <v>20</v>
      </c>
      <c r="D29" t="s">
        <v>31</v>
      </c>
      <c r="E29">
        <v>500</v>
      </c>
      <c r="F29" t="s">
        <v>44</v>
      </c>
      <c r="G29" t="s">
        <v>45</v>
      </c>
    </row>
    <row r="30" spans="1:7" x14ac:dyDescent="0.3">
      <c r="A30">
        <v>45513</v>
      </c>
      <c r="B30" t="s">
        <v>19</v>
      </c>
      <c r="C30" t="s">
        <v>20</v>
      </c>
      <c r="D30" t="s">
        <v>21</v>
      </c>
      <c r="E30">
        <v>1000</v>
      </c>
      <c r="F30" t="s">
        <v>22</v>
      </c>
      <c r="G30" t="s">
        <v>23</v>
      </c>
    </row>
    <row r="31" spans="1:7" x14ac:dyDescent="0.3">
      <c r="A31">
        <v>45500</v>
      </c>
      <c r="B31" t="s">
        <v>19</v>
      </c>
      <c r="C31" t="s">
        <v>20</v>
      </c>
      <c r="D31" t="s">
        <v>21</v>
      </c>
      <c r="E31">
        <v>500</v>
      </c>
      <c r="F31" t="s">
        <v>32</v>
      </c>
      <c r="G31" t="s">
        <v>47</v>
      </c>
    </row>
    <row r="32" spans="1:7" x14ac:dyDescent="0.3">
      <c r="A32">
        <v>45506</v>
      </c>
      <c r="B32" t="s">
        <v>38</v>
      </c>
      <c r="C32" t="s">
        <v>26</v>
      </c>
      <c r="D32" t="s">
        <v>21</v>
      </c>
      <c r="E32">
        <v>1000</v>
      </c>
      <c r="F32" t="s">
        <v>34</v>
      </c>
      <c r="G32" t="s">
        <v>39</v>
      </c>
    </row>
    <row r="33" spans="1:7" x14ac:dyDescent="0.3">
      <c r="A33">
        <v>45505</v>
      </c>
      <c r="B33" t="s">
        <v>49</v>
      </c>
      <c r="C33" t="s">
        <v>20</v>
      </c>
      <c r="D33" t="s">
        <v>31</v>
      </c>
      <c r="E33">
        <v>800</v>
      </c>
      <c r="F33" t="s">
        <v>41</v>
      </c>
      <c r="G33" t="s">
        <v>39</v>
      </c>
    </row>
    <row r="34" spans="1:7" x14ac:dyDescent="0.3">
      <c r="A34">
        <v>45513</v>
      </c>
      <c r="B34" t="s">
        <v>19</v>
      </c>
      <c r="C34" t="s">
        <v>20</v>
      </c>
      <c r="D34" t="s">
        <v>21</v>
      </c>
      <c r="E34">
        <v>1000</v>
      </c>
      <c r="F34" t="s">
        <v>22</v>
      </c>
      <c r="G34" t="s">
        <v>23</v>
      </c>
    </row>
    <row r="35" spans="1:7" x14ac:dyDescent="0.3">
      <c r="A35">
        <v>45500</v>
      </c>
      <c r="B35" t="s">
        <v>19</v>
      </c>
      <c r="C35" t="s">
        <v>20</v>
      </c>
      <c r="D35" t="s">
        <v>21</v>
      </c>
      <c r="E35">
        <v>500</v>
      </c>
      <c r="F35" t="s">
        <v>32</v>
      </c>
      <c r="G35" t="s">
        <v>47</v>
      </c>
    </row>
    <row r="36" spans="1:7" x14ac:dyDescent="0.3">
      <c r="A36">
        <v>45511</v>
      </c>
      <c r="B36" t="s">
        <v>46</v>
      </c>
      <c r="C36" t="s">
        <v>20</v>
      </c>
      <c r="D36" t="s">
        <v>27</v>
      </c>
      <c r="E36">
        <v>1000</v>
      </c>
      <c r="F36" t="s">
        <v>22</v>
      </c>
      <c r="G36" t="s">
        <v>28</v>
      </c>
    </row>
    <row r="37" spans="1:7" x14ac:dyDescent="0.3">
      <c r="A37">
        <v>45503</v>
      </c>
      <c r="B37" t="s">
        <v>43</v>
      </c>
      <c r="C37" t="s">
        <v>20</v>
      </c>
      <c r="D37" t="s">
        <v>31</v>
      </c>
      <c r="E37">
        <v>500</v>
      </c>
      <c r="F37" t="s">
        <v>44</v>
      </c>
      <c r="G37" t="s">
        <v>45</v>
      </c>
    </row>
    <row r="38" spans="1:7" x14ac:dyDescent="0.3">
      <c r="A38">
        <v>45501</v>
      </c>
      <c r="B38" t="s">
        <v>25</v>
      </c>
      <c r="C38" t="s">
        <v>26</v>
      </c>
      <c r="D38" t="s">
        <v>27</v>
      </c>
      <c r="E38">
        <v>1000</v>
      </c>
      <c r="F38" t="s">
        <v>22</v>
      </c>
      <c r="G38" t="s">
        <v>28</v>
      </c>
    </row>
    <row r="39" spans="1:7" x14ac:dyDescent="0.3">
      <c r="A39">
        <v>45514</v>
      </c>
      <c r="B39" t="s">
        <v>43</v>
      </c>
      <c r="C39" t="s">
        <v>20</v>
      </c>
      <c r="D39" t="s">
        <v>31</v>
      </c>
      <c r="E39">
        <v>1000</v>
      </c>
      <c r="F39" t="s">
        <v>41</v>
      </c>
      <c r="G39" t="s">
        <v>47</v>
      </c>
    </row>
    <row r="40" spans="1:7" x14ac:dyDescent="0.3">
      <c r="A40">
        <v>45500</v>
      </c>
      <c r="B40" t="s">
        <v>19</v>
      </c>
      <c r="C40" t="s">
        <v>20</v>
      </c>
      <c r="D40" t="s">
        <v>21</v>
      </c>
      <c r="E40">
        <v>500</v>
      </c>
      <c r="F40" t="s">
        <v>32</v>
      </c>
      <c r="G40" t="s">
        <v>47</v>
      </c>
    </row>
    <row r="41" spans="1:7" x14ac:dyDescent="0.3">
      <c r="A41">
        <v>45512</v>
      </c>
      <c r="B41" t="s">
        <v>36</v>
      </c>
      <c r="C41" t="s">
        <v>26</v>
      </c>
      <c r="D41" t="s">
        <v>21</v>
      </c>
      <c r="E41">
        <v>1000</v>
      </c>
      <c r="F41" t="s">
        <v>37</v>
      </c>
      <c r="G41" t="s">
        <v>28</v>
      </c>
    </row>
    <row r="42" spans="1:7" x14ac:dyDescent="0.3">
      <c r="A42">
        <v>45513</v>
      </c>
      <c r="B42" t="s">
        <v>19</v>
      </c>
      <c r="C42" t="s">
        <v>20</v>
      </c>
      <c r="D42" t="s">
        <v>21</v>
      </c>
      <c r="E42">
        <v>1000</v>
      </c>
      <c r="F42" t="s">
        <v>22</v>
      </c>
      <c r="G42" t="s">
        <v>23</v>
      </c>
    </row>
    <row r="43" spans="1:7" x14ac:dyDescent="0.3">
      <c r="A43">
        <v>45513</v>
      </c>
      <c r="B43" t="s">
        <v>19</v>
      </c>
      <c r="C43" t="s">
        <v>20</v>
      </c>
      <c r="D43" t="s">
        <v>21</v>
      </c>
      <c r="E43">
        <v>1000</v>
      </c>
      <c r="F43" t="s">
        <v>22</v>
      </c>
      <c r="G43" t="s">
        <v>23</v>
      </c>
    </row>
    <row r="44" spans="1:7" x14ac:dyDescent="0.3">
      <c r="A44">
        <v>45514</v>
      </c>
      <c r="B44" t="s">
        <v>43</v>
      </c>
      <c r="C44" t="s">
        <v>20</v>
      </c>
      <c r="D44" t="s">
        <v>31</v>
      </c>
      <c r="E44">
        <v>1000</v>
      </c>
      <c r="F44" t="s">
        <v>41</v>
      </c>
      <c r="G44" t="s">
        <v>47</v>
      </c>
    </row>
    <row r="45" spans="1:7" x14ac:dyDescent="0.3">
      <c r="A45">
        <v>45505</v>
      </c>
      <c r="B45" t="s">
        <v>49</v>
      </c>
      <c r="C45" t="s">
        <v>20</v>
      </c>
      <c r="D45" t="s">
        <v>31</v>
      </c>
      <c r="E45">
        <v>800</v>
      </c>
      <c r="F45" t="s">
        <v>41</v>
      </c>
      <c r="G45" t="s">
        <v>39</v>
      </c>
    </row>
    <row r="46" spans="1:7" x14ac:dyDescent="0.3">
      <c r="A46">
        <v>45507</v>
      </c>
      <c r="B46" t="s">
        <v>33</v>
      </c>
      <c r="C46" t="s">
        <v>26</v>
      </c>
      <c r="D46" t="s">
        <v>21</v>
      </c>
      <c r="E46">
        <v>1000</v>
      </c>
      <c r="F46" t="s">
        <v>34</v>
      </c>
      <c r="G46" t="s">
        <v>35</v>
      </c>
    </row>
    <row r="47" spans="1:7" x14ac:dyDescent="0.3">
      <c r="A47">
        <v>45513</v>
      </c>
      <c r="B47" t="s">
        <v>19</v>
      </c>
      <c r="C47" t="s">
        <v>20</v>
      </c>
      <c r="D47" t="s">
        <v>21</v>
      </c>
      <c r="E47">
        <v>1000</v>
      </c>
      <c r="F47" t="s">
        <v>22</v>
      </c>
      <c r="G47" t="s">
        <v>23</v>
      </c>
    </row>
    <row r="48" spans="1:7" x14ac:dyDescent="0.3">
      <c r="A48">
        <v>45501</v>
      </c>
      <c r="B48" t="s">
        <v>25</v>
      </c>
      <c r="C48" t="s">
        <v>26</v>
      </c>
      <c r="D48" t="s">
        <v>27</v>
      </c>
      <c r="E48">
        <v>1000</v>
      </c>
      <c r="F48" t="s">
        <v>22</v>
      </c>
      <c r="G48" t="s">
        <v>28</v>
      </c>
    </row>
    <row r="49" spans="1:7" x14ac:dyDescent="0.3">
      <c r="A49">
        <v>45514</v>
      </c>
      <c r="B49" t="s">
        <v>43</v>
      </c>
      <c r="C49" t="s">
        <v>20</v>
      </c>
      <c r="D49" t="s">
        <v>31</v>
      </c>
      <c r="E49">
        <v>1000</v>
      </c>
      <c r="F49" t="s">
        <v>41</v>
      </c>
      <c r="G49" t="s">
        <v>47</v>
      </c>
    </row>
    <row r="50" spans="1:7" x14ac:dyDescent="0.3">
      <c r="A50">
        <v>45502</v>
      </c>
      <c r="B50" t="s">
        <v>40</v>
      </c>
      <c r="C50" t="s">
        <v>20</v>
      </c>
      <c r="D50" t="s">
        <v>31</v>
      </c>
      <c r="E50">
        <v>800</v>
      </c>
      <c r="F50" t="s">
        <v>41</v>
      </c>
      <c r="G50" t="s">
        <v>23</v>
      </c>
    </row>
    <row r="51" spans="1:7" x14ac:dyDescent="0.3">
      <c r="A51">
        <v>45504</v>
      </c>
      <c r="B51" t="s">
        <v>29</v>
      </c>
      <c r="C51" t="s">
        <v>26</v>
      </c>
      <c r="D51" t="s">
        <v>27</v>
      </c>
      <c r="E51">
        <v>1000</v>
      </c>
      <c r="F51" t="s">
        <v>22</v>
      </c>
      <c r="G51" t="s">
        <v>28</v>
      </c>
    </row>
    <row r="52" spans="1:7" x14ac:dyDescent="0.3">
      <c r="A52">
        <v>45503</v>
      </c>
      <c r="B52" t="s">
        <v>43</v>
      </c>
      <c r="C52" t="s">
        <v>20</v>
      </c>
      <c r="D52" t="s">
        <v>31</v>
      </c>
      <c r="E52">
        <v>500</v>
      </c>
      <c r="F52" t="s">
        <v>44</v>
      </c>
      <c r="G52" t="s">
        <v>45</v>
      </c>
    </row>
    <row r="53" spans="1:7" x14ac:dyDescent="0.3">
      <c r="A53">
        <v>45509</v>
      </c>
      <c r="B53" t="s">
        <v>30</v>
      </c>
      <c r="C53" t="s">
        <v>26</v>
      </c>
      <c r="D53" t="s">
        <v>31</v>
      </c>
      <c r="E53">
        <v>500</v>
      </c>
      <c r="F53" t="s">
        <v>32</v>
      </c>
      <c r="G53" t="s">
        <v>23</v>
      </c>
    </row>
    <row r="54" spans="1:7" x14ac:dyDescent="0.3">
      <c r="A54">
        <v>45506</v>
      </c>
      <c r="B54" t="s">
        <v>38</v>
      </c>
      <c r="C54" t="s">
        <v>26</v>
      </c>
      <c r="D54" t="s">
        <v>21</v>
      </c>
      <c r="E54">
        <v>1000</v>
      </c>
      <c r="F54" t="s">
        <v>34</v>
      </c>
      <c r="G54" t="s">
        <v>39</v>
      </c>
    </row>
    <row r="55" spans="1:7" x14ac:dyDescent="0.3">
      <c r="A55">
        <v>45500</v>
      </c>
      <c r="B55" t="s">
        <v>19</v>
      </c>
      <c r="C55" t="s">
        <v>20</v>
      </c>
      <c r="D55" t="s">
        <v>21</v>
      </c>
      <c r="E55">
        <v>500</v>
      </c>
      <c r="F55" t="s">
        <v>32</v>
      </c>
      <c r="G55" t="s">
        <v>47</v>
      </c>
    </row>
    <row r="56" spans="1:7" x14ac:dyDescent="0.3">
      <c r="A56">
        <v>45500</v>
      </c>
      <c r="B56" t="s">
        <v>19</v>
      </c>
      <c r="C56" t="s">
        <v>20</v>
      </c>
      <c r="D56" t="s">
        <v>21</v>
      </c>
      <c r="E56">
        <v>500</v>
      </c>
      <c r="F56" t="s">
        <v>32</v>
      </c>
      <c r="G56" t="s">
        <v>47</v>
      </c>
    </row>
    <row r="57" spans="1:7" x14ac:dyDescent="0.3">
      <c r="A57">
        <v>45508</v>
      </c>
      <c r="B57" t="s">
        <v>42</v>
      </c>
      <c r="C57" t="s">
        <v>20</v>
      </c>
      <c r="D57" t="s">
        <v>31</v>
      </c>
      <c r="E57">
        <v>1000</v>
      </c>
      <c r="F57" t="s">
        <v>22</v>
      </c>
      <c r="G57" t="s">
        <v>28</v>
      </c>
    </row>
    <row r="58" spans="1:7" x14ac:dyDescent="0.3">
      <c r="A58">
        <v>45503</v>
      </c>
      <c r="B58" t="s">
        <v>43</v>
      </c>
      <c r="C58" t="s">
        <v>20</v>
      </c>
      <c r="D58" t="s">
        <v>31</v>
      </c>
      <c r="E58">
        <v>500</v>
      </c>
      <c r="F58" t="s">
        <v>44</v>
      </c>
      <c r="G58" t="s">
        <v>45</v>
      </c>
    </row>
    <row r="59" spans="1:7" x14ac:dyDescent="0.3">
      <c r="A59">
        <v>45503</v>
      </c>
      <c r="B59" t="s">
        <v>43</v>
      </c>
      <c r="C59" t="s">
        <v>20</v>
      </c>
      <c r="D59" t="s">
        <v>31</v>
      </c>
      <c r="E59">
        <v>500</v>
      </c>
      <c r="F59" t="s">
        <v>44</v>
      </c>
      <c r="G59" t="s">
        <v>45</v>
      </c>
    </row>
    <row r="60" spans="1:7" x14ac:dyDescent="0.3">
      <c r="A60">
        <v>45504</v>
      </c>
      <c r="B60" t="s">
        <v>29</v>
      </c>
      <c r="C60" t="s">
        <v>26</v>
      </c>
      <c r="D60" t="s">
        <v>27</v>
      </c>
      <c r="E60">
        <v>1000</v>
      </c>
      <c r="F60" t="s">
        <v>22</v>
      </c>
      <c r="G60" t="s">
        <v>28</v>
      </c>
    </row>
    <row r="61" spans="1:7" x14ac:dyDescent="0.3">
      <c r="A61">
        <v>45512</v>
      </c>
      <c r="B61" t="s">
        <v>36</v>
      </c>
      <c r="C61" t="s">
        <v>26</v>
      </c>
      <c r="D61" t="s">
        <v>21</v>
      </c>
      <c r="E61">
        <v>1000</v>
      </c>
      <c r="F61" t="s">
        <v>37</v>
      </c>
      <c r="G61" t="s">
        <v>28</v>
      </c>
    </row>
    <row r="62" spans="1:7" x14ac:dyDescent="0.3">
      <c r="A62">
        <v>45508</v>
      </c>
      <c r="B62" t="s">
        <v>42</v>
      </c>
      <c r="C62" t="s">
        <v>20</v>
      </c>
      <c r="D62" t="s">
        <v>31</v>
      </c>
      <c r="E62">
        <v>1000</v>
      </c>
      <c r="F62" t="s">
        <v>22</v>
      </c>
      <c r="G62" t="s">
        <v>28</v>
      </c>
    </row>
    <row r="63" spans="1:7" x14ac:dyDescent="0.3">
      <c r="A63">
        <v>45510</v>
      </c>
      <c r="B63" t="s">
        <v>48</v>
      </c>
      <c r="C63" t="s">
        <v>20</v>
      </c>
      <c r="D63" t="s">
        <v>27</v>
      </c>
      <c r="E63">
        <v>1000</v>
      </c>
      <c r="F63" t="s">
        <v>22</v>
      </c>
      <c r="G63" t="s">
        <v>28</v>
      </c>
    </row>
    <row r="64" spans="1:7" x14ac:dyDescent="0.3">
      <c r="A64">
        <v>45509</v>
      </c>
      <c r="B64" t="s">
        <v>30</v>
      </c>
      <c r="C64" t="s">
        <v>26</v>
      </c>
      <c r="D64" t="s">
        <v>31</v>
      </c>
      <c r="E64">
        <v>500</v>
      </c>
      <c r="F64" t="s">
        <v>32</v>
      </c>
      <c r="G64" t="s">
        <v>23</v>
      </c>
    </row>
    <row r="65" spans="1:7" x14ac:dyDescent="0.3">
      <c r="A65">
        <v>45511</v>
      </c>
      <c r="B65" t="s">
        <v>46</v>
      </c>
      <c r="C65" t="s">
        <v>20</v>
      </c>
      <c r="D65" t="s">
        <v>27</v>
      </c>
      <c r="E65">
        <v>1000</v>
      </c>
      <c r="F65" t="s">
        <v>22</v>
      </c>
      <c r="G65" t="s">
        <v>28</v>
      </c>
    </row>
    <row r="66" spans="1:7" x14ac:dyDescent="0.3">
      <c r="A66">
        <v>45509</v>
      </c>
      <c r="B66" t="s">
        <v>30</v>
      </c>
      <c r="C66" t="s">
        <v>26</v>
      </c>
      <c r="D66" t="s">
        <v>31</v>
      </c>
      <c r="E66">
        <v>500</v>
      </c>
      <c r="F66" t="s">
        <v>32</v>
      </c>
      <c r="G66" t="s">
        <v>23</v>
      </c>
    </row>
    <row r="67" spans="1:7" x14ac:dyDescent="0.3">
      <c r="A67">
        <v>45512</v>
      </c>
      <c r="B67" t="s">
        <v>36</v>
      </c>
      <c r="C67" t="s">
        <v>26</v>
      </c>
      <c r="D67" t="s">
        <v>21</v>
      </c>
      <c r="E67">
        <v>1000</v>
      </c>
      <c r="F67" t="s">
        <v>37</v>
      </c>
      <c r="G67" t="s">
        <v>28</v>
      </c>
    </row>
    <row r="68" spans="1:7" x14ac:dyDescent="0.3">
      <c r="A68">
        <v>45503</v>
      </c>
      <c r="B68" t="s">
        <v>43</v>
      </c>
      <c r="C68" t="s">
        <v>20</v>
      </c>
      <c r="D68" t="s">
        <v>31</v>
      </c>
      <c r="E68">
        <v>500</v>
      </c>
      <c r="F68" t="s">
        <v>44</v>
      </c>
      <c r="G68" t="s">
        <v>45</v>
      </c>
    </row>
    <row r="69" spans="1:7" x14ac:dyDescent="0.3">
      <c r="A69">
        <v>45502</v>
      </c>
      <c r="B69" t="s">
        <v>40</v>
      </c>
      <c r="C69" t="s">
        <v>20</v>
      </c>
      <c r="D69" t="s">
        <v>31</v>
      </c>
      <c r="E69">
        <v>800</v>
      </c>
      <c r="F69" t="s">
        <v>41</v>
      </c>
      <c r="G69" t="s">
        <v>23</v>
      </c>
    </row>
    <row r="70" spans="1:7" x14ac:dyDescent="0.3">
      <c r="A70">
        <v>45512</v>
      </c>
      <c r="B70" t="s">
        <v>36</v>
      </c>
      <c r="C70" t="s">
        <v>26</v>
      </c>
      <c r="D70" t="s">
        <v>21</v>
      </c>
      <c r="E70">
        <v>1000</v>
      </c>
      <c r="F70" t="s">
        <v>37</v>
      </c>
      <c r="G70" t="s">
        <v>28</v>
      </c>
    </row>
    <row r="71" spans="1:7" x14ac:dyDescent="0.3">
      <c r="A71">
        <v>45507</v>
      </c>
      <c r="B71" t="s">
        <v>33</v>
      </c>
      <c r="C71" t="s">
        <v>26</v>
      </c>
      <c r="D71" t="s">
        <v>21</v>
      </c>
      <c r="E71">
        <v>1000</v>
      </c>
      <c r="F71" t="s">
        <v>34</v>
      </c>
      <c r="G71" t="s">
        <v>35</v>
      </c>
    </row>
    <row r="72" spans="1:7" x14ac:dyDescent="0.3">
      <c r="A72">
        <v>45512</v>
      </c>
      <c r="B72" t="s">
        <v>36</v>
      </c>
      <c r="C72" t="s">
        <v>26</v>
      </c>
      <c r="D72" t="s">
        <v>21</v>
      </c>
      <c r="E72">
        <v>1000</v>
      </c>
      <c r="F72" t="s">
        <v>37</v>
      </c>
      <c r="G72" t="s">
        <v>28</v>
      </c>
    </row>
    <row r="73" spans="1:7" x14ac:dyDescent="0.3">
      <c r="A73">
        <v>45503</v>
      </c>
      <c r="B73" t="s">
        <v>43</v>
      </c>
      <c r="C73" t="s">
        <v>20</v>
      </c>
      <c r="D73" t="s">
        <v>31</v>
      </c>
      <c r="E73">
        <v>500</v>
      </c>
      <c r="F73" t="s">
        <v>44</v>
      </c>
      <c r="G73" t="s">
        <v>45</v>
      </c>
    </row>
    <row r="74" spans="1:7" x14ac:dyDescent="0.3">
      <c r="A74">
        <v>45505</v>
      </c>
      <c r="B74" t="s">
        <v>49</v>
      </c>
      <c r="C74" t="s">
        <v>20</v>
      </c>
      <c r="D74" t="s">
        <v>31</v>
      </c>
      <c r="E74">
        <v>800</v>
      </c>
      <c r="F74" t="s">
        <v>41</v>
      </c>
      <c r="G74" t="s">
        <v>39</v>
      </c>
    </row>
    <row r="75" spans="1:7" x14ac:dyDescent="0.3">
      <c r="A75">
        <v>45509</v>
      </c>
      <c r="B75" t="s">
        <v>30</v>
      </c>
      <c r="C75" t="s">
        <v>26</v>
      </c>
      <c r="D75" t="s">
        <v>31</v>
      </c>
      <c r="E75">
        <v>500</v>
      </c>
      <c r="F75" t="s">
        <v>32</v>
      </c>
      <c r="G75" t="s">
        <v>23</v>
      </c>
    </row>
    <row r="76" spans="1:7" x14ac:dyDescent="0.3">
      <c r="A76">
        <v>45500</v>
      </c>
      <c r="B76" t="s">
        <v>19</v>
      </c>
      <c r="C76" t="s">
        <v>20</v>
      </c>
      <c r="D76" t="s">
        <v>21</v>
      </c>
      <c r="E76">
        <v>500</v>
      </c>
      <c r="F76" t="s">
        <v>32</v>
      </c>
      <c r="G76" t="s">
        <v>47</v>
      </c>
    </row>
    <row r="77" spans="1:7" x14ac:dyDescent="0.3">
      <c r="A77">
        <v>45512</v>
      </c>
      <c r="B77" t="s">
        <v>36</v>
      </c>
      <c r="C77" t="s">
        <v>26</v>
      </c>
      <c r="D77" t="s">
        <v>21</v>
      </c>
      <c r="E77">
        <v>1000</v>
      </c>
      <c r="F77" t="s">
        <v>37</v>
      </c>
      <c r="G77" t="s">
        <v>28</v>
      </c>
    </row>
    <row r="78" spans="1:7" x14ac:dyDescent="0.3">
      <c r="A78">
        <v>45507</v>
      </c>
      <c r="B78" t="s">
        <v>33</v>
      </c>
      <c r="C78" t="s">
        <v>26</v>
      </c>
      <c r="D78" t="s">
        <v>21</v>
      </c>
      <c r="E78">
        <v>1000</v>
      </c>
      <c r="F78" t="s">
        <v>34</v>
      </c>
      <c r="G78" t="s">
        <v>35</v>
      </c>
    </row>
    <row r="79" spans="1:7" x14ac:dyDescent="0.3">
      <c r="A79">
        <v>45504</v>
      </c>
      <c r="B79" t="s">
        <v>29</v>
      </c>
      <c r="C79" t="s">
        <v>26</v>
      </c>
      <c r="D79" t="s">
        <v>27</v>
      </c>
      <c r="E79">
        <v>1000</v>
      </c>
      <c r="F79" t="s">
        <v>22</v>
      </c>
      <c r="G79" t="s">
        <v>28</v>
      </c>
    </row>
    <row r="80" spans="1:7" x14ac:dyDescent="0.3">
      <c r="A80">
        <v>45508</v>
      </c>
      <c r="B80" t="s">
        <v>42</v>
      </c>
      <c r="C80" t="s">
        <v>20</v>
      </c>
      <c r="D80" t="s">
        <v>31</v>
      </c>
      <c r="E80">
        <v>1000</v>
      </c>
      <c r="F80" t="s">
        <v>22</v>
      </c>
      <c r="G80" t="s">
        <v>28</v>
      </c>
    </row>
    <row r="81" spans="1:7" x14ac:dyDescent="0.3">
      <c r="A81">
        <v>45504</v>
      </c>
      <c r="B81" t="s">
        <v>29</v>
      </c>
      <c r="C81" t="s">
        <v>26</v>
      </c>
      <c r="D81" t="s">
        <v>27</v>
      </c>
      <c r="E81">
        <v>1000</v>
      </c>
      <c r="F81" t="s">
        <v>22</v>
      </c>
      <c r="G81" t="s">
        <v>28</v>
      </c>
    </row>
    <row r="82" spans="1:7" x14ac:dyDescent="0.3">
      <c r="A82">
        <v>45513</v>
      </c>
      <c r="B82" t="s">
        <v>19</v>
      </c>
      <c r="C82" t="s">
        <v>20</v>
      </c>
      <c r="D82" t="s">
        <v>21</v>
      </c>
      <c r="E82">
        <v>1000</v>
      </c>
      <c r="F82" t="s">
        <v>22</v>
      </c>
      <c r="G82" t="s">
        <v>23</v>
      </c>
    </row>
    <row r="83" spans="1:7" x14ac:dyDescent="0.3">
      <c r="A83">
        <v>45507</v>
      </c>
      <c r="B83" t="s">
        <v>33</v>
      </c>
      <c r="C83" t="s">
        <v>26</v>
      </c>
      <c r="D83" t="s">
        <v>21</v>
      </c>
      <c r="E83">
        <v>1000</v>
      </c>
      <c r="F83" t="s">
        <v>34</v>
      </c>
      <c r="G83" t="s">
        <v>35</v>
      </c>
    </row>
    <row r="84" spans="1:7" x14ac:dyDescent="0.3">
      <c r="A84">
        <v>45511</v>
      </c>
      <c r="B84" t="s">
        <v>46</v>
      </c>
      <c r="C84" t="s">
        <v>20</v>
      </c>
      <c r="D84" t="s">
        <v>27</v>
      </c>
      <c r="E84">
        <v>1000</v>
      </c>
      <c r="F84" t="s">
        <v>22</v>
      </c>
      <c r="G84" t="s">
        <v>28</v>
      </c>
    </row>
    <row r="85" spans="1:7" x14ac:dyDescent="0.3">
      <c r="A85">
        <v>45514</v>
      </c>
      <c r="B85" t="s">
        <v>43</v>
      </c>
      <c r="C85" t="s">
        <v>20</v>
      </c>
      <c r="D85" t="s">
        <v>31</v>
      </c>
      <c r="E85">
        <v>1000</v>
      </c>
      <c r="F85" t="s">
        <v>41</v>
      </c>
      <c r="G85" t="s">
        <v>47</v>
      </c>
    </row>
    <row r="86" spans="1:7" x14ac:dyDescent="0.3">
      <c r="A86">
        <v>45511</v>
      </c>
      <c r="B86" t="s">
        <v>46</v>
      </c>
      <c r="C86" t="s">
        <v>20</v>
      </c>
      <c r="D86" t="s">
        <v>27</v>
      </c>
      <c r="E86">
        <v>1000</v>
      </c>
      <c r="F86" t="s">
        <v>22</v>
      </c>
      <c r="G86" t="s">
        <v>28</v>
      </c>
    </row>
    <row r="87" spans="1:7" x14ac:dyDescent="0.3">
      <c r="A87">
        <v>45507</v>
      </c>
      <c r="B87" t="s">
        <v>33</v>
      </c>
      <c r="C87" t="s">
        <v>26</v>
      </c>
      <c r="D87" t="s">
        <v>21</v>
      </c>
      <c r="E87">
        <v>1000</v>
      </c>
      <c r="F87" t="s">
        <v>34</v>
      </c>
      <c r="G87" t="s">
        <v>35</v>
      </c>
    </row>
    <row r="88" spans="1:7" x14ac:dyDescent="0.3">
      <c r="A88">
        <v>45504</v>
      </c>
      <c r="B88" t="s">
        <v>29</v>
      </c>
      <c r="C88" t="s">
        <v>26</v>
      </c>
      <c r="D88" t="s">
        <v>27</v>
      </c>
      <c r="E88">
        <v>1000</v>
      </c>
      <c r="F88" t="s">
        <v>22</v>
      </c>
      <c r="G88" t="s">
        <v>28</v>
      </c>
    </row>
    <row r="89" spans="1:7" x14ac:dyDescent="0.3">
      <c r="A89">
        <v>45510</v>
      </c>
      <c r="B89" t="s">
        <v>48</v>
      </c>
      <c r="C89" t="s">
        <v>20</v>
      </c>
      <c r="D89" t="s">
        <v>27</v>
      </c>
      <c r="E89">
        <v>1000</v>
      </c>
      <c r="F89" t="s">
        <v>22</v>
      </c>
      <c r="G89" t="s">
        <v>28</v>
      </c>
    </row>
    <row r="90" spans="1:7" x14ac:dyDescent="0.3">
      <c r="A90">
        <v>45514</v>
      </c>
      <c r="B90" t="s">
        <v>43</v>
      </c>
      <c r="C90" t="s">
        <v>20</v>
      </c>
      <c r="D90" t="s">
        <v>31</v>
      </c>
      <c r="E90">
        <v>1000</v>
      </c>
      <c r="F90" t="s">
        <v>41</v>
      </c>
      <c r="G90" t="s">
        <v>47</v>
      </c>
    </row>
    <row r="91" spans="1:7" x14ac:dyDescent="0.3">
      <c r="A91">
        <v>45512</v>
      </c>
      <c r="B91" t="s">
        <v>36</v>
      </c>
      <c r="C91" t="s">
        <v>26</v>
      </c>
      <c r="D91" t="s">
        <v>21</v>
      </c>
      <c r="E91">
        <v>1000</v>
      </c>
      <c r="F91" t="s">
        <v>37</v>
      </c>
      <c r="G91" t="s">
        <v>28</v>
      </c>
    </row>
    <row r="92" spans="1:7" x14ac:dyDescent="0.3">
      <c r="A92">
        <v>45504</v>
      </c>
      <c r="B92" t="s">
        <v>29</v>
      </c>
      <c r="C92" t="s">
        <v>26</v>
      </c>
      <c r="D92" t="s">
        <v>27</v>
      </c>
      <c r="E92">
        <v>1000</v>
      </c>
      <c r="F92" t="s">
        <v>22</v>
      </c>
      <c r="G92" t="s">
        <v>28</v>
      </c>
    </row>
    <row r="93" spans="1:7" x14ac:dyDescent="0.3">
      <c r="A93">
        <v>45501</v>
      </c>
      <c r="B93" t="s">
        <v>25</v>
      </c>
      <c r="C93" t="s">
        <v>26</v>
      </c>
      <c r="D93" t="s">
        <v>27</v>
      </c>
      <c r="E93">
        <v>1000</v>
      </c>
      <c r="F93" t="s">
        <v>22</v>
      </c>
      <c r="G93" t="s">
        <v>28</v>
      </c>
    </row>
    <row r="94" spans="1:7" x14ac:dyDescent="0.3">
      <c r="A94">
        <v>45508</v>
      </c>
      <c r="B94" t="s">
        <v>42</v>
      </c>
      <c r="C94" t="s">
        <v>20</v>
      </c>
      <c r="D94" t="s">
        <v>31</v>
      </c>
      <c r="E94">
        <v>1000</v>
      </c>
      <c r="F94" t="s">
        <v>22</v>
      </c>
      <c r="G94" t="s">
        <v>28</v>
      </c>
    </row>
    <row r="95" spans="1:7" x14ac:dyDescent="0.3">
      <c r="A95">
        <v>45514</v>
      </c>
      <c r="B95" t="s">
        <v>43</v>
      </c>
      <c r="C95" t="s">
        <v>20</v>
      </c>
      <c r="D95" t="s">
        <v>31</v>
      </c>
      <c r="E95">
        <v>1000</v>
      </c>
      <c r="F95" t="s">
        <v>41</v>
      </c>
      <c r="G95" t="s">
        <v>47</v>
      </c>
    </row>
    <row r="96" spans="1:7" x14ac:dyDescent="0.3">
      <c r="A96">
        <v>45512</v>
      </c>
      <c r="B96" t="s">
        <v>36</v>
      </c>
      <c r="C96" t="s">
        <v>26</v>
      </c>
      <c r="D96" t="s">
        <v>21</v>
      </c>
      <c r="E96">
        <v>1000</v>
      </c>
      <c r="F96" t="s">
        <v>37</v>
      </c>
      <c r="G96" t="s">
        <v>28</v>
      </c>
    </row>
    <row r="97" spans="1:7" x14ac:dyDescent="0.3">
      <c r="A97">
        <v>45505</v>
      </c>
      <c r="B97" t="s">
        <v>49</v>
      </c>
      <c r="C97" t="s">
        <v>20</v>
      </c>
      <c r="D97" t="s">
        <v>31</v>
      </c>
      <c r="E97">
        <v>800</v>
      </c>
      <c r="F97" t="s">
        <v>41</v>
      </c>
      <c r="G97" t="s">
        <v>39</v>
      </c>
    </row>
    <row r="98" spans="1:7" x14ac:dyDescent="0.3">
      <c r="A98">
        <v>45508</v>
      </c>
      <c r="B98" t="s">
        <v>42</v>
      </c>
      <c r="C98" t="s">
        <v>20</v>
      </c>
      <c r="D98" t="s">
        <v>31</v>
      </c>
      <c r="E98">
        <v>1000</v>
      </c>
      <c r="F98" t="s">
        <v>22</v>
      </c>
      <c r="G98" t="s">
        <v>28</v>
      </c>
    </row>
    <row r="99" spans="1:7" x14ac:dyDescent="0.3">
      <c r="A99">
        <v>45502</v>
      </c>
      <c r="B99" t="s">
        <v>40</v>
      </c>
      <c r="C99" t="s">
        <v>20</v>
      </c>
      <c r="D99" t="s">
        <v>31</v>
      </c>
      <c r="E99">
        <v>800</v>
      </c>
      <c r="F99" t="s">
        <v>41</v>
      </c>
      <c r="G99" t="s">
        <v>23</v>
      </c>
    </row>
    <row r="100" spans="1:7" x14ac:dyDescent="0.3">
      <c r="A100">
        <v>45501</v>
      </c>
      <c r="B100" t="s">
        <v>25</v>
      </c>
      <c r="C100" t="s">
        <v>26</v>
      </c>
      <c r="D100" t="s">
        <v>27</v>
      </c>
      <c r="E100">
        <v>1000</v>
      </c>
      <c r="F100" t="s">
        <v>22</v>
      </c>
      <c r="G100" t="s">
        <v>28</v>
      </c>
    </row>
    <row r="101" spans="1:7" x14ac:dyDescent="0.3">
      <c r="A101">
        <v>45501</v>
      </c>
      <c r="B101" t="s">
        <v>25</v>
      </c>
      <c r="C101" t="s">
        <v>26</v>
      </c>
      <c r="D101" t="s">
        <v>27</v>
      </c>
      <c r="E101">
        <v>1000</v>
      </c>
      <c r="F101" t="s">
        <v>22</v>
      </c>
      <c r="G101" t="s">
        <v>28</v>
      </c>
    </row>
    <row r="102" spans="1:7" x14ac:dyDescent="0.3">
      <c r="A102">
        <v>45504</v>
      </c>
      <c r="B102" t="s">
        <v>29</v>
      </c>
      <c r="C102" t="s">
        <v>26</v>
      </c>
      <c r="D102" t="s">
        <v>27</v>
      </c>
      <c r="E102">
        <v>1000</v>
      </c>
      <c r="F102" t="s">
        <v>22</v>
      </c>
      <c r="G102" t="s">
        <v>28</v>
      </c>
    </row>
    <row r="103" spans="1:7" x14ac:dyDescent="0.3">
      <c r="A103">
        <v>45506</v>
      </c>
      <c r="B103" t="s">
        <v>38</v>
      </c>
      <c r="C103" t="s">
        <v>26</v>
      </c>
      <c r="D103" t="s">
        <v>21</v>
      </c>
      <c r="E103">
        <v>1000</v>
      </c>
      <c r="F103" t="s">
        <v>34</v>
      </c>
      <c r="G103" t="s">
        <v>39</v>
      </c>
    </row>
    <row r="104" spans="1:7" x14ac:dyDescent="0.3">
      <c r="A104">
        <v>45514</v>
      </c>
      <c r="B104" t="s">
        <v>43</v>
      </c>
      <c r="C104" t="s">
        <v>20</v>
      </c>
      <c r="D104" t="s">
        <v>31</v>
      </c>
      <c r="E104">
        <v>1000</v>
      </c>
      <c r="F104" t="s">
        <v>41</v>
      </c>
      <c r="G104" t="s">
        <v>47</v>
      </c>
    </row>
    <row r="105" spans="1:7" x14ac:dyDescent="0.3">
      <c r="A105">
        <v>45507</v>
      </c>
      <c r="B105" t="s">
        <v>33</v>
      </c>
      <c r="C105" t="s">
        <v>26</v>
      </c>
      <c r="D105" t="s">
        <v>21</v>
      </c>
      <c r="E105">
        <v>1000</v>
      </c>
      <c r="F105" t="s">
        <v>34</v>
      </c>
      <c r="G105" t="s">
        <v>35</v>
      </c>
    </row>
    <row r="106" spans="1:7" x14ac:dyDescent="0.3">
      <c r="A106">
        <v>45502</v>
      </c>
      <c r="B106" t="s">
        <v>40</v>
      </c>
      <c r="C106" t="s">
        <v>20</v>
      </c>
      <c r="D106" t="s">
        <v>31</v>
      </c>
      <c r="E106">
        <v>800</v>
      </c>
      <c r="F106" t="s">
        <v>41</v>
      </c>
      <c r="G106" t="s">
        <v>23</v>
      </c>
    </row>
    <row r="107" spans="1:7" x14ac:dyDescent="0.3">
      <c r="A107">
        <v>45500</v>
      </c>
      <c r="B107" t="s">
        <v>19</v>
      </c>
      <c r="C107" t="s">
        <v>20</v>
      </c>
      <c r="D107" t="s">
        <v>21</v>
      </c>
      <c r="E107">
        <v>500</v>
      </c>
      <c r="F107" t="s">
        <v>32</v>
      </c>
      <c r="G107" t="s">
        <v>47</v>
      </c>
    </row>
    <row r="108" spans="1:7" x14ac:dyDescent="0.3">
      <c r="A108">
        <v>45510</v>
      </c>
      <c r="B108" t="s">
        <v>48</v>
      </c>
      <c r="C108" t="s">
        <v>20</v>
      </c>
      <c r="D108" t="s">
        <v>27</v>
      </c>
      <c r="E108">
        <v>1000</v>
      </c>
      <c r="F108" t="s">
        <v>22</v>
      </c>
      <c r="G108" t="s">
        <v>28</v>
      </c>
    </row>
    <row r="109" spans="1:7" x14ac:dyDescent="0.3">
      <c r="A109">
        <v>45501</v>
      </c>
      <c r="B109" t="s">
        <v>25</v>
      </c>
      <c r="C109" t="s">
        <v>26</v>
      </c>
      <c r="D109" t="s">
        <v>27</v>
      </c>
      <c r="E109">
        <v>1000</v>
      </c>
      <c r="F109" t="s">
        <v>22</v>
      </c>
      <c r="G109" t="s">
        <v>28</v>
      </c>
    </row>
    <row r="110" spans="1:7" x14ac:dyDescent="0.3">
      <c r="A110">
        <v>45508</v>
      </c>
      <c r="B110" t="s">
        <v>42</v>
      </c>
      <c r="C110" t="s">
        <v>20</v>
      </c>
      <c r="D110" t="s">
        <v>31</v>
      </c>
      <c r="E110">
        <v>1000</v>
      </c>
      <c r="F110" t="s">
        <v>22</v>
      </c>
      <c r="G110" t="s">
        <v>28</v>
      </c>
    </row>
    <row r="111" spans="1:7" x14ac:dyDescent="0.3">
      <c r="A111">
        <v>45501</v>
      </c>
      <c r="B111" t="s">
        <v>25</v>
      </c>
      <c r="C111" t="s">
        <v>26</v>
      </c>
      <c r="D111" t="s">
        <v>27</v>
      </c>
      <c r="E111">
        <v>1000</v>
      </c>
      <c r="F111" t="s">
        <v>22</v>
      </c>
      <c r="G111" t="s">
        <v>28</v>
      </c>
    </row>
    <row r="112" spans="1:7" x14ac:dyDescent="0.3">
      <c r="A112">
        <v>45502</v>
      </c>
      <c r="B112" t="s">
        <v>40</v>
      </c>
      <c r="C112" t="s">
        <v>20</v>
      </c>
      <c r="D112" t="s">
        <v>31</v>
      </c>
      <c r="E112">
        <v>800</v>
      </c>
      <c r="F112" t="s">
        <v>41</v>
      </c>
      <c r="G112" t="s">
        <v>23</v>
      </c>
    </row>
    <row r="113" spans="1:7" x14ac:dyDescent="0.3">
      <c r="A113">
        <v>45511</v>
      </c>
      <c r="B113" t="s">
        <v>46</v>
      </c>
      <c r="C113" t="s">
        <v>20</v>
      </c>
      <c r="D113" t="s">
        <v>27</v>
      </c>
      <c r="E113">
        <v>1000</v>
      </c>
      <c r="F113" t="s">
        <v>22</v>
      </c>
      <c r="G113" t="s">
        <v>28</v>
      </c>
    </row>
    <row r="114" spans="1:7" x14ac:dyDescent="0.3">
      <c r="A114">
        <v>45509</v>
      </c>
      <c r="B114" t="s">
        <v>30</v>
      </c>
      <c r="C114" t="s">
        <v>26</v>
      </c>
      <c r="D114" t="s">
        <v>31</v>
      </c>
      <c r="E114">
        <v>500</v>
      </c>
      <c r="F114" t="s">
        <v>32</v>
      </c>
      <c r="G114" t="s">
        <v>23</v>
      </c>
    </row>
    <row r="115" spans="1:7" x14ac:dyDescent="0.3">
      <c r="A115">
        <v>45512</v>
      </c>
      <c r="B115" t="s">
        <v>36</v>
      </c>
      <c r="C115" t="s">
        <v>26</v>
      </c>
      <c r="D115" t="s">
        <v>21</v>
      </c>
      <c r="E115">
        <v>1000</v>
      </c>
      <c r="F115" t="s">
        <v>37</v>
      </c>
      <c r="G115" t="s">
        <v>28</v>
      </c>
    </row>
    <row r="116" spans="1:7" x14ac:dyDescent="0.3">
      <c r="A116">
        <v>45500</v>
      </c>
      <c r="B116" t="s">
        <v>19</v>
      </c>
      <c r="C116" t="s">
        <v>20</v>
      </c>
      <c r="D116" t="s">
        <v>21</v>
      </c>
      <c r="E116">
        <v>500</v>
      </c>
      <c r="F116" t="s">
        <v>32</v>
      </c>
      <c r="G116" t="s">
        <v>47</v>
      </c>
    </row>
    <row r="117" spans="1:7" x14ac:dyDescent="0.3">
      <c r="A117">
        <v>45502</v>
      </c>
      <c r="B117" t="s">
        <v>40</v>
      </c>
      <c r="C117" t="s">
        <v>20</v>
      </c>
      <c r="D117" t="s">
        <v>31</v>
      </c>
      <c r="E117">
        <v>800</v>
      </c>
      <c r="F117" t="s">
        <v>41</v>
      </c>
      <c r="G117" t="s">
        <v>23</v>
      </c>
    </row>
    <row r="118" spans="1:7" x14ac:dyDescent="0.3">
      <c r="A118">
        <v>45510</v>
      </c>
      <c r="B118" t="s">
        <v>48</v>
      </c>
      <c r="C118" t="s">
        <v>20</v>
      </c>
      <c r="D118" t="s">
        <v>27</v>
      </c>
      <c r="E118">
        <v>1000</v>
      </c>
      <c r="F118" t="s">
        <v>22</v>
      </c>
      <c r="G118" t="s">
        <v>28</v>
      </c>
    </row>
    <row r="119" spans="1:7" x14ac:dyDescent="0.3">
      <c r="A119">
        <v>45504</v>
      </c>
      <c r="B119" t="s">
        <v>29</v>
      </c>
      <c r="C119" t="s">
        <v>26</v>
      </c>
      <c r="D119" t="s">
        <v>27</v>
      </c>
      <c r="E119">
        <v>1000</v>
      </c>
      <c r="F119" t="s">
        <v>22</v>
      </c>
      <c r="G119" t="s">
        <v>28</v>
      </c>
    </row>
    <row r="120" spans="1:7" x14ac:dyDescent="0.3">
      <c r="A120">
        <v>45512</v>
      </c>
      <c r="B120" t="s">
        <v>36</v>
      </c>
      <c r="C120" t="s">
        <v>26</v>
      </c>
      <c r="D120" t="s">
        <v>21</v>
      </c>
      <c r="E120">
        <v>1000</v>
      </c>
      <c r="F120" t="s">
        <v>37</v>
      </c>
      <c r="G120" t="s">
        <v>28</v>
      </c>
    </row>
    <row r="121" spans="1:7" x14ac:dyDescent="0.3">
      <c r="A121">
        <v>45510</v>
      </c>
      <c r="B121" t="s">
        <v>48</v>
      </c>
      <c r="C121" t="s">
        <v>20</v>
      </c>
      <c r="D121" t="s">
        <v>27</v>
      </c>
      <c r="E121">
        <v>1000</v>
      </c>
      <c r="F121" t="s">
        <v>22</v>
      </c>
      <c r="G121" t="s">
        <v>28</v>
      </c>
    </row>
    <row r="122" spans="1:7" x14ac:dyDescent="0.3">
      <c r="A122">
        <v>45510</v>
      </c>
      <c r="B122" t="s">
        <v>48</v>
      </c>
      <c r="C122" t="s">
        <v>20</v>
      </c>
      <c r="D122" t="s">
        <v>27</v>
      </c>
      <c r="E122">
        <v>1000</v>
      </c>
      <c r="F122" t="s">
        <v>22</v>
      </c>
      <c r="G122" t="s">
        <v>28</v>
      </c>
    </row>
    <row r="123" spans="1:7" x14ac:dyDescent="0.3">
      <c r="A123">
        <v>45507</v>
      </c>
      <c r="B123" t="s">
        <v>33</v>
      </c>
      <c r="C123" t="s">
        <v>26</v>
      </c>
      <c r="D123" t="s">
        <v>21</v>
      </c>
      <c r="E123">
        <v>1000</v>
      </c>
      <c r="F123" t="s">
        <v>34</v>
      </c>
      <c r="G123" t="s">
        <v>35</v>
      </c>
    </row>
    <row r="124" spans="1:7" x14ac:dyDescent="0.3">
      <c r="A124">
        <v>45511</v>
      </c>
      <c r="B124" t="s">
        <v>46</v>
      </c>
      <c r="C124" t="s">
        <v>20</v>
      </c>
      <c r="D124" t="s">
        <v>27</v>
      </c>
      <c r="E124">
        <v>1000</v>
      </c>
      <c r="F124" t="s">
        <v>22</v>
      </c>
      <c r="G124" t="s">
        <v>28</v>
      </c>
    </row>
    <row r="125" spans="1:7" x14ac:dyDescent="0.3">
      <c r="A125">
        <v>45510</v>
      </c>
      <c r="B125" t="s">
        <v>48</v>
      </c>
      <c r="C125" t="s">
        <v>20</v>
      </c>
      <c r="D125" t="s">
        <v>27</v>
      </c>
      <c r="E125">
        <v>1000</v>
      </c>
      <c r="F125" t="s">
        <v>22</v>
      </c>
      <c r="G125" t="s">
        <v>28</v>
      </c>
    </row>
    <row r="126" spans="1:7" x14ac:dyDescent="0.3">
      <c r="A126">
        <v>45503</v>
      </c>
      <c r="B126" t="s">
        <v>43</v>
      </c>
      <c r="C126" t="s">
        <v>20</v>
      </c>
      <c r="D126" t="s">
        <v>31</v>
      </c>
      <c r="E126">
        <v>500</v>
      </c>
      <c r="F126" t="s">
        <v>44</v>
      </c>
      <c r="G126" t="s">
        <v>45</v>
      </c>
    </row>
    <row r="127" spans="1:7" x14ac:dyDescent="0.3">
      <c r="A127">
        <v>45504</v>
      </c>
      <c r="B127" t="s">
        <v>29</v>
      </c>
      <c r="C127" t="s">
        <v>26</v>
      </c>
      <c r="D127" t="s">
        <v>27</v>
      </c>
      <c r="E127">
        <v>1000</v>
      </c>
      <c r="F127" t="s">
        <v>22</v>
      </c>
      <c r="G127" t="s">
        <v>28</v>
      </c>
    </row>
    <row r="128" spans="1:7" x14ac:dyDescent="0.3">
      <c r="A128">
        <v>45508</v>
      </c>
      <c r="B128" t="s">
        <v>42</v>
      </c>
      <c r="C128" t="s">
        <v>20</v>
      </c>
      <c r="D128" t="s">
        <v>31</v>
      </c>
      <c r="E128">
        <v>1000</v>
      </c>
      <c r="F128" t="s">
        <v>22</v>
      </c>
      <c r="G128" t="s">
        <v>28</v>
      </c>
    </row>
    <row r="129" spans="1:7" x14ac:dyDescent="0.3">
      <c r="A129">
        <v>45511</v>
      </c>
      <c r="B129" t="s">
        <v>46</v>
      </c>
      <c r="C129" t="s">
        <v>20</v>
      </c>
      <c r="D129" t="s">
        <v>27</v>
      </c>
      <c r="E129">
        <v>1000</v>
      </c>
      <c r="F129" t="s">
        <v>22</v>
      </c>
      <c r="G129" t="s">
        <v>28</v>
      </c>
    </row>
    <row r="130" spans="1:7" x14ac:dyDescent="0.3">
      <c r="A130">
        <v>45507</v>
      </c>
      <c r="B130" t="s">
        <v>33</v>
      </c>
      <c r="C130" t="s">
        <v>26</v>
      </c>
      <c r="D130" t="s">
        <v>21</v>
      </c>
      <c r="E130">
        <v>1000</v>
      </c>
      <c r="F130" t="s">
        <v>34</v>
      </c>
      <c r="G130" t="s">
        <v>35</v>
      </c>
    </row>
    <row r="131" spans="1:7" x14ac:dyDescent="0.3">
      <c r="A131">
        <v>45506</v>
      </c>
      <c r="B131" t="s">
        <v>38</v>
      </c>
      <c r="C131" t="s">
        <v>26</v>
      </c>
      <c r="D131" t="s">
        <v>21</v>
      </c>
      <c r="E131">
        <v>1000</v>
      </c>
      <c r="F131" t="s">
        <v>34</v>
      </c>
      <c r="G131" t="s">
        <v>39</v>
      </c>
    </row>
    <row r="132" spans="1:7" x14ac:dyDescent="0.3">
      <c r="A132">
        <v>45512</v>
      </c>
      <c r="B132" t="s">
        <v>36</v>
      </c>
      <c r="C132" t="s">
        <v>26</v>
      </c>
      <c r="D132" t="s">
        <v>21</v>
      </c>
      <c r="E132">
        <v>1000</v>
      </c>
      <c r="F132" t="s">
        <v>37</v>
      </c>
      <c r="G132" t="s">
        <v>28</v>
      </c>
    </row>
    <row r="133" spans="1:7" x14ac:dyDescent="0.3">
      <c r="A133">
        <v>45513</v>
      </c>
      <c r="B133" t="s">
        <v>19</v>
      </c>
      <c r="C133" t="s">
        <v>20</v>
      </c>
      <c r="D133" t="s">
        <v>21</v>
      </c>
      <c r="E133">
        <v>1000</v>
      </c>
      <c r="F133" t="s">
        <v>22</v>
      </c>
      <c r="G133" t="s">
        <v>23</v>
      </c>
    </row>
    <row r="134" spans="1:7" x14ac:dyDescent="0.3">
      <c r="A134">
        <v>45502</v>
      </c>
      <c r="B134" t="s">
        <v>40</v>
      </c>
      <c r="C134" t="s">
        <v>20</v>
      </c>
      <c r="D134" t="s">
        <v>31</v>
      </c>
      <c r="E134">
        <v>800</v>
      </c>
      <c r="F134" t="s">
        <v>41</v>
      </c>
      <c r="G134" t="s">
        <v>23</v>
      </c>
    </row>
    <row r="135" spans="1:7" x14ac:dyDescent="0.3">
      <c r="A135">
        <v>45502</v>
      </c>
      <c r="B135" t="s">
        <v>40</v>
      </c>
      <c r="C135" t="s">
        <v>20</v>
      </c>
      <c r="D135" t="s">
        <v>31</v>
      </c>
      <c r="E135">
        <v>800</v>
      </c>
      <c r="F135" t="s">
        <v>41</v>
      </c>
      <c r="G135" t="s">
        <v>23</v>
      </c>
    </row>
    <row r="136" spans="1:7" x14ac:dyDescent="0.3">
      <c r="A136">
        <v>45502</v>
      </c>
      <c r="B136" t="s">
        <v>40</v>
      </c>
      <c r="C136" t="s">
        <v>20</v>
      </c>
      <c r="D136" t="s">
        <v>31</v>
      </c>
      <c r="E136">
        <v>800</v>
      </c>
      <c r="F136" t="s">
        <v>41</v>
      </c>
      <c r="G136" t="s">
        <v>23</v>
      </c>
    </row>
    <row r="137" spans="1:7" x14ac:dyDescent="0.3">
      <c r="A137">
        <v>45506</v>
      </c>
      <c r="B137" t="s">
        <v>38</v>
      </c>
      <c r="C137" t="s">
        <v>26</v>
      </c>
      <c r="D137" t="s">
        <v>21</v>
      </c>
      <c r="E137">
        <v>1000</v>
      </c>
      <c r="F137" t="s">
        <v>34</v>
      </c>
      <c r="G137" t="s">
        <v>39</v>
      </c>
    </row>
    <row r="138" spans="1:7" x14ac:dyDescent="0.3">
      <c r="A138">
        <v>45514</v>
      </c>
      <c r="B138" t="s">
        <v>43</v>
      </c>
      <c r="C138" t="s">
        <v>20</v>
      </c>
      <c r="D138" t="s">
        <v>31</v>
      </c>
      <c r="E138">
        <v>1000</v>
      </c>
      <c r="F138" t="s">
        <v>41</v>
      </c>
      <c r="G138" t="s">
        <v>47</v>
      </c>
    </row>
    <row r="139" spans="1:7" x14ac:dyDescent="0.3">
      <c r="A139">
        <v>45507</v>
      </c>
      <c r="B139" t="s">
        <v>33</v>
      </c>
      <c r="C139" t="s">
        <v>26</v>
      </c>
      <c r="D139" t="s">
        <v>21</v>
      </c>
      <c r="E139">
        <v>1000</v>
      </c>
      <c r="F139" t="s">
        <v>34</v>
      </c>
      <c r="G139" t="s">
        <v>35</v>
      </c>
    </row>
    <row r="140" spans="1:7" x14ac:dyDescent="0.3">
      <c r="A140">
        <v>45504</v>
      </c>
      <c r="B140" t="s">
        <v>29</v>
      </c>
      <c r="C140" t="s">
        <v>26</v>
      </c>
      <c r="D140" t="s">
        <v>27</v>
      </c>
      <c r="E140">
        <v>1000</v>
      </c>
      <c r="F140" t="s">
        <v>22</v>
      </c>
      <c r="G140" t="s">
        <v>28</v>
      </c>
    </row>
    <row r="141" spans="1:7" x14ac:dyDescent="0.3">
      <c r="A141">
        <v>45502</v>
      </c>
      <c r="B141" t="s">
        <v>40</v>
      </c>
      <c r="C141" t="s">
        <v>20</v>
      </c>
      <c r="D141" t="s">
        <v>31</v>
      </c>
      <c r="E141">
        <v>800</v>
      </c>
      <c r="F141" t="s">
        <v>41</v>
      </c>
      <c r="G141" t="s">
        <v>23</v>
      </c>
    </row>
    <row r="142" spans="1:7" x14ac:dyDescent="0.3">
      <c r="A142">
        <v>45503</v>
      </c>
      <c r="B142" t="s">
        <v>43</v>
      </c>
      <c r="C142" t="s">
        <v>20</v>
      </c>
      <c r="D142" t="s">
        <v>31</v>
      </c>
      <c r="E142">
        <v>500</v>
      </c>
      <c r="F142" t="s">
        <v>44</v>
      </c>
      <c r="G142" t="s">
        <v>45</v>
      </c>
    </row>
    <row r="143" spans="1:7" x14ac:dyDescent="0.3">
      <c r="A143">
        <v>45513</v>
      </c>
      <c r="B143" t="s">
        <v>19</v>
      </c>
      <c r="C143" t="s">
        <v>20</v>
      </c>
      <c r="D143" t="s">
        <v>21</v>
      </c>
      <c r="E143">
        <v>1000</v>
      </c>
      <c r="F143" t="s">
        <v>22</v>
      </c>
      <c r="G143" t="s">
        <v>23</v>
      </c>
    </row>
    <row r="144" spans="1:7" x14ac:dyDescent="0.3">
      <c r="A144">
        <v>45507</v>
      </c>
      <c r="B144" t="s">
        <v>33</v>
      </c>
      <c r="C144" t="s">
        <v>26</v>
      </c>
      <c r="D144" t="s">
        <v>21</v>
      </c>
      <c r="E144">
        <v>1000</v>
      </c>
      <c r="F144" t="s">
        <v>34</v>
      </c>
      <c r="G144" t="s">
        <v>35</v>
      </c>
    </row>
    <row r="145" spans="1:7" x14ac:dyDescent="0.3">
      <c r="A145">
        <v>45502</v>
      </c>
      <c r="B145" t="s">
        <v>40</v>
      </c>
      <c r="C145" t="s">
        <v>20</v>
      </c>
      <c r="D145" t="s">
        <v>31</v>
      </c>
      <c r="E145">
        <v>800</v>
      </c>
      <c r="F145" t="s">
        <v>41</v>
      </c>
      <c r="G145" t="s">
        <v>23</v>
      </c>
    </row>
    <row r="146" spans="1:7" x14ac:dyDescent="0.3">
      <c r="A146">
        <v>45510</v>
      </c>
      <c r="B146" t="s">
        <v>48</v>
      </c>
      <c r="C146" t="s">
        <v>20</v>
      </c>
      <c r="D146" t="s">
        <v>27</v>
      </c>
      <c r="E146">
        <v>1000</v>
      </c>
      <c r="F146" t="s">
        <v>22</v>
      </c>
      <c r="G146" t="s">
        <v>28</v>
      </c>
    </row>
    <row r="147" spans="1:7" x14ac:dyDescent="0.3">
      <c r="A147">
        <v>45501</v>
      </c>
      <c r="B147" t="s">
        <v>25</v>
      </c>
      <c r="C147" t="s">
        <v>26</v>
      </c>
      <c r="D147" t="s">
        <v>27</v>
      </c>
      <c r="E147">
        <v>1000</v>
      </c>
      <c r="F147" t="s">
        <v>22</v>
      </c>
      <c r="G147" t="s">
        <v>28</v>
      </c>
    </row>
    <row r="148" spans="1:7" x14ac:dyDescent="0.3">
      <c r="A148">
        <v>45509</v>
      </c>
      <c r="B148" t="s">
        <v>30</v>
      </c>
      <c r="C148" t="s">
        <v>26</v>
      </c>
      <c r="D148" t="s">
        <v>31</v>
      </c>
      <c r="E148">
        <v>500</v>
      </c>
      <c r="F148" t="s">
        <v>32</v>
      </c>
      <c r="G148" t="s">
        <v>23</v>
      </c>
    </row>
    <row r="149" spans="1:7" x14ac:dyDescent="0.3">
      <c r="A149">
        <v>45509</v>
      </c>
      <c r="B149" t="s">
        <v>30</v>
      </c>
      <c r="C149" t="s">
        <v>26</v>
      </c>
      <c r="D149" t="s">
        <v>31</v>
      </c>
      <c r="E149">
        <v>500</v>
      </c>
      <c r="F149" t="s">
        <v>32</v>
      </c>
      <c r="G149" t="s">
        <v>23</v>
      </c>
    </row>
    <row r="150" spans="1:7" x14ac:dyDescent="0.3">
      <c r="A150">
        <v>45510</v>
      </c>
      <c r="B150" t="s">
        <v>48</v>
      </c>
      <c r="C150" t="s">
        <v>20</v>
      </c>
      <c r="D150" t="s">
        <v>27</v>
      </c>
      <c r="E150">
        <v>1000</v>
      </c>
      <c r="F150" t="s">
        <v>22</v>
      </c>
      <c r="G150" t="s">
        <v>28</v>
      </c>
    </row>
    <row r="151" spans="1:7" x14ac:dyDescent="0.3">
      <c r="A151">
        <v>45506</v>
      </c>
      <c r="B151" t="s">
        <v>38</v>
      </c>
      <c r="C151" t="s">
        <v>26</v>
      </c>
      <c r="D151" t="s">
        <v>21</v>
      </c>
      <c r="E151">
        <v>1000</v>
      </c>
      <c r="F151" t="s">
        <v>34</v>
      </c>
      <c r="G151" t="s">
        <v>39</v>
      </c>
    </row>
    <row r="152" spans="1:7" x14ac:dyDescent="0.3">
      <c r="A152">
        <v>45505</v>
      </c>
      <c r="B152" t="s">
        <v>49</v>
      </c>
      <c r="C152" t="s">
        <v>20</v>
      </c>
      <c r="D152" t="s">
        <v>31</v>
      </c>
      <c r="E152">
        <v>800</v>
      </c>
      <c r="F152" t="s">
        <v>41</v>
      </c>
      <c r="G152" t="s">
        <v>39</v>
      </c>
    </row>
    <row r="153" spans="1:7" x14ac:dyDescent="0.3">
      <c r="A153">
        <v>45510</v>
      </c>
      <c r="B153" t="s">
        <v>48</v>
      </c>
      <c r="C153" t="s">
        <v>20</v>
      </c>
      <c r="D153" t="s">
        <v>27</v>
      </c>
      <c r="E153">
        <v>1000</v>
      </c>
      <c r="F153" t="s">
        <v>22</v>
      </c>
      <c r="G153" t="s">
        <v>28</v>
      </c>
    </row>
    <row r="154" spans="1:7" x14ac:dyDescent="0.3">
      <c r="A154">
        <v>45508</v>
      </c>
      <c r="B154" t="s">
        <v>42</v>
      </c>
      <c r="C154" t="s">
        <v>20</v>
      </c>
      <c r="D154" t="s">
        <v>31</v>
      </c>
      <c r="E154">
        <v>1000</v>
      </c>
      <c r="F154" t="s">
        <v>22</v>
      </c>
      <c r="G154" t="s">
        <v>28</v>
      </c>
    </row>
    <row r="155" spans="1:7" x14ac:dyDescent="0.3">
      <c r="A155">
        <v>45504</v>
      </c>
      <c r="B155" t="s">
        <v>29</v>
      </c>
      <c r="C155" t="s">
        <v>26</v>
      </c>
      <c r="D155" t="s">
        <v>27</v>
      </c>
      <c r="E155">
        <v>1000</v>
      </c>
      <c r="F155" t="s">
        <v>22</v>
      </c>
      <c r="G155" t="s">
        <v>28</v>
      </c>
    </row>
    <row r="156" spans="1:7" x14ac:dyDescent="0.3">
      <c r="A156">
        <v>45502</v>
      </c>
      <c r="B156" t="s">
        <v>40</v>
      </c>
      <c r="C156" t="s">
        <v>20</v>
      </c>
      <c r="D156" t="s">
        <v>31</v>
      </c>
      <c r="E156">
        <v>800</v>
      </c>
      <c r="F156" t="s">
        <v>41</v>
      </c>
      <c r="G156" t="s">
        <v>23</v>
      </c>
    </row>
    <row r="157" spans="1:7" x14ac:dyDescent="0.3">
      <c r="A157">
        <v>45506</v>
      </c>
      <c r="B157" t="s">
        <v>38</v>
      </c>
      <c r="C157" t="s">
        <v>26</v>
      </c>
      <c r="D157" t="s">
        <v>21</v>
      </c>
      <c r="E157">
        <v>1000</v>
      </c>
      <c r="F157" t="s">
        <v>34</v>
      </c>
      <c r="G157" t="s">
        <v>39</v>
      </c>
    </row>
    <row r="158" spans="1:7" x14ac:dyDescent="0.3">
      <c r="A158">
        <v>45508</v>
      </c>
      <c r="B158" t="s">
        <v>42</v>
      </c>
      <c r="C158" t="s">
        <v>20</v>
      </c>
      <c r="D158" t="s">
        <v>31</v>
      </c>
      <c r="E158">
        <v>1000</v>
      </c>
      <c r="F158" t="s">
        <v>22</v>
      </c>
      <c r="G158" t="s">
        <v>28</v>
      </c>
    </row>
    <row r="159" spans="1:7" x14ac:dyDescent="0.3">
      <c r="A159">
        <v>45504</v>
      </c>
      <c r="B159" t="s">
        <v>29</v>
      </c>
      <c r="C159" t="s">
        <v>26</v>
      </c>
      <c r="D159" t="s">
        <v>27</v>
      </c>
      <c r="E159">
        <v>1000</v>
      </c>
      <c r="F159" t="s">
        <v>22</v>
      </c>
      <c r="G159" t="s">
        <v>28</v>
      </c>
    </row>
    <row r="160" spans="1:7" x14ac:dyDescent="0.3">
      <c r="A160">
        <v>45514</v>
      </c>
      <c r="B160" t="s">
        <v>43</v>
      </c>
      <c r="C160" t="s">
        <v>20</v>
      </c>
      <c r="D160" t="s">
        <v>31</v>
      </c>
      <c r="E160">
        <v>1000</v>
      </c>
      <c r="F160" t="s">
        <v>41</v>
      </c>
      <c r="G160" t="s">
        <v>47</v>
      </c>
    </row>
    <row r="161" spans="1:7" x14ac:dyDescent="0.3">
      <c r="A161">
        <v>45507</v>
      </c>
      <c r="B161" t="s">
        <v>33</v>
      </c>
      <c r="C161" t="s">
        <v>26</v>
      </c>
      <c r="D161" t="s">
        <v>21</v>
      </c>
      <c r="E161">
        <v>1000</v>
      </c>
      <c r="F161" t="s">
        <v>34</v>
      </c>
      <c r="G161" t="s">
        <v>35</v>
      </c>
    </row>
    <row r="162" spans="1:7" x14ac:dyDescent="0.3">
      <c r="A162">
        <v>45506</v>
      </c>
      <c r="B162" t="s">
        <v>38</v>
      </c>
      <c r="C162" t="s">
        <v>26</v>
      </c>
      <c r="D162" t="s">
        <v>21</v>
      </c>
      <c r="E162">
        <v>1000</v>
      </c>
      <c r="F162" t="s">
        <v>34</v>
      </c>
      <c r="G162" t="s">
        <v>39</v>
      </c>
    </row>
    <row r="163" spans="1:7" x14ac:dyDescent="0.3">
      <c r="A163">
        <v>45500</v>
      </c>
      <c r="B163" t="s">
        <v>19</v>
      </c>
      <c r="C163" t="s">
        <v>20</v>
      </c>
      <c r="D163" t="s">
        <v>21</v>
      </c>
      <c r="E163">
        <v>500</v>
      </c>
      <c r="F163" t="s">
        <v>32</v>
      </c>
      <c r="G163" t="s">
        <v>47</v>
      </c>
    </row>
    <row r="164" spans="1:7" x14ac:dyDescent="0.3">
      <c r="A164">
        <v>45501</v>
      </c>
      <c r="B164" t="s">
        <v>25</v>
      </c>
      <c r="C164" t="s">
        <v>26</v>
      </c>
      <c r="D164" t="s">
        <v>27</v>
      </c>
      <c r="E164">
        <v>1000</v>
      </c>
      <c r="F164" t="s">
        <v>22</v>
      </c>
      <c r="G164" t="s">
        <v>28</v>
      </c>
    </row>
    <row r="165" spans="1:7" x14ac:dyDescent="0.3">
      <c r="A165">
        <v>45503</v>
      </c>
      <c r="B165" t="s">
        <v>43</v>
      </c>
      <c r="C165" t="s">
        <v>20</v>
      </c>
      <c r="D165" t="s">
        <v>31</v>
      </c>
      <c r="E165">
        <v>500</v>
      </c>
      <c r="F165" t="s">
        <v>44</v>
      </c>
      <c r="G165" t="s">
        <v>45</v>
      </c>
    </row>
    <row r="166" spans="1:7" x14ac:dyDescent="0.3">
      <c r="A166">
        <v>45507</v>
      </c>
      <c r="B166" t="s">
        <v>33</v>
      </c>
      <c r="C166" t="s">
        <v>26</v>
      </c>
      <c r="D166" t="s">
        <v>21</v>
      </c>
      <c r="E166">
        <v>1000</v>
      </c>
      <c r="F166" t="s">
        <v>34</v>
      </c>
      <c r="G166" t="s">
        <v>35</v>
      </c>
    </row>
    <row r="167" spans="1:7" x14ac:dyDescent="0.3">
      <c r="A167">
        <v>45513</v>
      </c>
      <c r="B167" t="s">
        <v>19</v>
      </c>
      <c r="C167" t="s">
        <v>20</v>
      </c>
      <c r="D167" t="s">
        <v>21</v>
      </c>
      <c r="E167">
        <v>1000</v>
      </c>
      <c r="F167" t="s">
        <v>22</v>
      </c>
      <c r="G167" t="s">
        <v>23</v>
      </c>
    </row>
    <row r="168" spans="1:7" x14ac:dyDescent="0.3">
      <c r="A168">
        <v>45500</v>
      </c>
      <c r="B168" t="s">
        <v>19</v>
      </c>
      <c r="C168" t="s">
        <v>20</v>
      </c>
      <c r="D168" t="s">
        <v>21</v>
      </c>
      <c r="E168">
        <v>500</v>
      </c>
      <c r="F168" t="s">
        <v>32</v>
      </c>
      <c r="G168" t="s">
        <v>47</v>
      </c>
    </row>
    <row r="169" spans="1:7" x14ac:dyDescent="0.3">
      <c r="A169">
        <v>45510</v>
      </c>
      <c r="B169" t="s">
        <v>48</v>
      </c>
      <c r="C169" t="s">
        <v>20</v>
      </c>
      <c r="D169" t="s">
        <v>27</v>
      </c>
      <c r="E169">
        <v>1000</v>
      </c>
      <c r="F169" t="s">
        <v>22</v>
      </c>
      <c r="G169" t="s">
        <v>28</v>
      </c>
    </row>
    <row r="170" spans="1:7" x14ac:dyDescent="0.3">
      <c r="A170">
        <v>45513</v>
      </c>
      <c r="B170" t="s">
        <v>19</v>
      </c>
      <c r="C170" t="s">
        <v>20</v>
      </c>
      <c r="D170" t="s">
        <v>21</v>
      </c>
      <c r="E170">
        <v>1000</v>
      </c>
      <c r="F170" t="s">
        <v>22</v>
      </c>
      <c r="G170" t="s">
        <v>23</v>
      </c>
    </row>
    <row r="171" spans="1:7" x14ac:dyDescent="0.3">
      <c r="A171">
        <v>45510</v>
      </c>
      <c r="B171" t="s">
        <v>48</v>
      </c>
      <c r="C171" t="s">
        <v>20</v>
      </c>
      <c r="D171" t="s">
        <v>27</v>
      </c>
      <c r="E171">
        <v>1000</v>
      </c>
      <c r="F171" t="s">
        <v>22</v>
      </c>
      <c r="G171" t="s">
        <v>28</v>
      </c>
    </row>
    <row r="172" spans="1:7" x14ac:dyDescent="0.3">
      <c r="A172">
        <v>45504</v>
      </c>
      <c r="B172" t="s">
        <v>29</v>
      </c>
      <c r="C172" t="s">
        <v>26</v>
      </c>
      <c r="D172" t="s">
        <v>27</v>
      </c>
      <c r="E172">
        <v>1000</v>
      </c>
      <c r="F172" t="s">
        <v>22</v>
      </c>
      <c r="G172" t="s">
        <v>28</v>
      </c>
    </row>
    <row r="173" spans="1:7" x14ac:dyDescent="0.3">
      <c r="A173">
        <v>45510</v>
      </c>
      <c r="B173" t="s">
        <v>48</v>
      </c>
      <c r="C173" t="s">
        <v>20</v>
      </c>
      <c r="D173" t="s">
        <v>27</v>
      </c>
      <c r="E173">
        <v>1000</v>
      </c>
      <c r="F173" t="s">
        <v>22</v>
      </c>
      <c r="G173" t="s">
        <v>28</v>
      </c>
    </row>
    <row r="174" spans="1:7" x14ac:dyDescent="0.3">
      <c r="A174">
        <v>45507</v>
      </c>
      <c r="B174" t="s">
        <v>33</v>
      </c>
      <c r="C174" t="s">
        <v>26</v>
      </c>
      <c r="D174" t="s">
        <v>21</v>
      </c>
      <c r="E174">
        <v>1000</v>
      </c>
      <c r="F174" t="s">
        <v>34</v>
      </c>
      <c r="G174" t="s">
        <v>35</v>
      </c>
    </row>
    <row r="175" spans="1:7" x14ac:dyDescent="0.3">
      <c r="A175">
        <v>45511</v>
      </c>
      <c r="B175" t="s">
        <v>46</v>
      </c>
      <c r="C175" t="s">
        <v>20</v>
      </c>
      <c r="D175" t="s">
        <v>27</v>
      </c>
      <c r="E175">
        <v>1000</v>
      </c>
      <c r="F175" t="s">
        <v>22</v>
      </c>
      <c r="G175" t="s">
        <v>28</v>
      </c>
    </row>
    <row r="176" spans="1:7" x14ac:dyDescent="0.3">
      <c r="A176">
        <v>45504</v>
      </c>
      <c r="B176" t="s">
        <v>29</v>
      </c>
      <c r="C176" t="s">
        <v>26</v>
      </c>
      <c r="D176" t="s">
        <v>27</v>
      </c>
      <c r="E176">
        <v>1000</v>
      </c>
      <c r="F176" t="s">
        <v>22</v>
      </c>
      <c r="G176" t="s">
        <v>28</v>
      </c>
    </row>
    <row r="177" spans="1:7" x14ac:dyDescent="0.3">
      <c r="A177">
        <v>45509</v>
      </c>
      <c r="B177" t="s">
        <v>30</v>
      </c>
      <c r="C177" t="s">
        <v>26</v>
      </c>
      <c r="D177" t="s">
        <v>31</v>
      </c>
      <c r="E177">
        <v>500</v>
      </c>
      <c r="F177" t="s">
        <v>32</v>
      </c>
      <c r="G177" t="s">
        <v>23</v>
      </c>
    </row>
    <row r="178" spans="1:7" x14ac:dyDescent="0.3">
      <c r="A178">
        <v>45500</v>
      </c>
      <c r="B178" t="s">
        <v>19</v>
      </c>
      <c r="C178" t="s">
        <v>20</v>
      </c>
      <c r="D178" t="s">
        <v>21</v>
      </c>
      <c r="E178">
        <v>500</v>
      </c>
      <c r="F178" t="s">
        <v>32</v>
      </c>
      <c r="G178" t="s">
        <v>47</v>
      </c>
    </row>
    <row r="179" spans="1:7" x14ac:dyDescent="0.3">
      <c r="A179">
        <v>45510</v>
      </c>
      <c r="B179" t="s">
        <v>48</v>
      </c>
      <c r="C179" t="s">
        <v>20</v>
      </c>
      <c r="D179" t="s">
        <v>27</v>
      </c>
      <c r="E179">
        <v>1000</v>
      </c>
      <c r="F179" t="s">
        <v>22</v>
      </c>
      <c r="G179" t="s">
        <v>28</v>
      </c>
    </row>
    <row r="180" spans="1:7" x14ac:dyDescent="0.3">
      <c r="A180">
        <v>45507</v>
      </c>
      <c r="B180" t="s">
        <v>33</v>
      </c>
      <c r="C180" t="s">
        <v>26</v>
      </c>
      <c r="D180" t="s">
        <v>21</v>
      </c>
      <c r="E180">
        <v>1000</v>
      </c>
      <c r="F180" t="s">
        <v>34</v>
      </c>
      <c r="G180" t="s">
        <v>35</v>
      </c>
    </row>
    <row r="181" spans="1:7" x14ac:dyDescent="0.3">
      <c r="A181">
        <v>45506</v>
      </c>
      <c r="B181" t="s">
        <v>38</v>
      </c>
      <c r="C181" t="s">
        <v>26</v>
      </c>
      <c r="D181" t="s">
        <v>21</v>
      </c>
      <c r="E181">
        <v>1000</v>
      </c>
      <c r="F181" t="s">
        <v>34</v>
      </c>
      <c r="G181" t="s">
        <v>39</v>
      </c>
    </row>
    <row r="182" spans="1:7" x14ac:dyDescent="0.3">
      <c r="A182">
        <v>45506</v>
      </c>
      <c r="B182" t="s">
        <v>38</v>
      </c>
      <c r="C182" t="s">
        <v>26</v>
      </c>
      <c r="D182" t="s">
        <v>21</v>
      </c>
      <c r="E182">
        <v>1000</v>
      </c>
      <c r="F182" t="s">
        <v>34</v>
      </c>
      <c r="G182" t="s">
        <v>39</v>
      </c>
    </row>
    <row r="183" spans="1:7" x14ac:dyDescent="0.3">
      <c r="A183">
        <v>45512</v>
      </c>
      <c r="B183" t="s">
        <v>36</v>
      </c>
      <c r="C183" t="s">
        <v>26</v>
      </c>
      <c r="D183" t="s">
        <v>21</v>
      </c>
      <c r="E183">
        <v>1000</v>
      </c>
      <c r="F183" t="s">
        <v>37</v>
      </c>
      <c r="G183" t="s">
        <v>28</v>
      </c>
    </row>
    <row r="184" spans="1:7" x14ac:dyDescent="0.3">
      <c r="A184">
        <v>45500</v>
      </c>
      <c r="B184" t="s">
        <v>19</v>
      </c>
      <c r="C184" t="s">
        <v>20</v>
      </c>
      <c r="D184" t="s">
        <v>21</v>
      </c>
      <c r="E184">
        <v>500</v>
      </c>
      <c r="F184" t="s">
        <v>32</v>
      </c>
      <c r="G184" t="s">
        <v>47</v>
      </c>
    </row>
    <row r="185" spans="1:7" x14ac:dyDescent="0.3">
      <c r="A185">
        <v>45513</v>
      </c>
      <c r="B185" t="s">
        <v>19</v>
      </c>
      <c r="C185" t="s">
        <v>20</v>
      </c>
      <c r="D185" t="s">
        <v>21</v>
      </c>
      <c r="E185">
        <v>1000</v>
      </c>
      <c r="F185" t="s">
        <v>22</v>
      </c>
      <c r="G185" t="s">
        <v>23</v>
      </c>
    </row>
    <row r="186" spans="1:7" x14ac:dyDescent="0.3">
      <c r="A186">
        <v>45504</v>
      </c>
      <c r="B186" t="s">
        <v>29</v>
      </c>
      <c r="C186" t="s">
        <v>26</v>
      </c>
      <c r="D186" t="s">
        <v>27</v>
      </c>
      <c r="E186">
        <v>1000</v>
      </c>
      <c r="F186" t="s">
        <v>22</v>
      </c>
      <c r="G186" t="s">
        <v>28</v>
      </c>
    </row>
    <row r="187" spans="1:7" x14ac:dyDescent="0.3">
      <c r="A187">
        <v>45500</v>
      </c>
      <c r="B187" t="s">
        <v>19</v>
      </c>
      <c r="C187" t="s">
        <v>20</v>
      </c>
      <c r="D187" t="s">
        <v>21</v>
      </c>
      <c r="E187">
        <v>500</v>
      </c>
      <c r="F187" t="s">
        <v>32</v>
      </c>
      <c r="G187" t="s">
        <v>47</v>
      </c>
    </row>
    <row r="188" spans="1:7" x14ac:dyDescent="0.3">
      <c r="A188">
        <v>45501</v>
      </c>
      <c r="B188" t="s">
        <v>25</v>
      </c>
      <c r="C188" t="s">
        <v>26</v>
      </c>
      <c r="D188" t="s">
        <v>27</v>
      </c>
      <c r="E188">
        <v>1000</v>
      </c>
      <c r="F188" t="s">
        <v>22</v>
      </c>
      <c r="G188" t="s">
        <v>28</v>
      </c>
    </row>
    <row r="189" spans="1:7" x14ac:dyDescent="0.3">
      <c r="A189">
        <v>45500</v>
      </c>
      <c r="B189" t="s">
        <v>19</v>
      </c>
      <c r="C189" t="s">
        <v>20</v>
      </c>
      <c r="D189" t="s">
        <v>21</v>
      </c>
      <c r="E189">
        <v>500</v>
      </c>
      <c r="F189" t="s">
        <v>32</v>
      </c>
      <c r="G189" t="s">
        <v>47</v>
      </c>
    </row>
    <row r="190" spans="1:7" x14ac:dyDescent="0.3">
      <c r="A190">
        <v>45501</v>
      </c>
      <c r="B190" t="s">
        <v>25</v>
      </c>
      <c r="C190" t="s">
        <v>26</v>
      </c>
      <c r="D190" t="s">
        <v>27</v>
      </c>
      <c r="E190">
        <v>1000</v>
      </c>
      <c r="F190" t="s">
        <v>22</v>
      </c>
      <c r="G190" t="s">
        <v>28</v>
      </c>
    </row>
    <row r="191" spans="1:7" x14ac:dyDescent="0.3">
      <c r="A191">
        <v>45501</v>
      </c>
      <c r="B191" t="s">
        <v>25</v>
      </c>
      <c r="C191" t="s">
        <v>26</v>
      </c>
      <c r="D191" t="s">
        <v>27</v>
      </c>
      <c r="E191">
        <v>1000</v>
      </c>
      <c r="F191" t="s">
        <v>22</v>
      </c>
      <c r="G191" t="s">
        <v>28</v>
      </c>
    </row>
    <row r="192" spans="1:7" x14ac:dyDescent="0.3">
      <c r="A192">
        <v>45511</v>
      </c>
      <c r="B192" t="s">
        <v>46</v>
      </c>
      <c r="C192" t="s">
        <v>20</v>
      </c>
      <c r="D192" t="s">
        <v>27</v>
      </c>
      <c r="E192">
        <v>1000</v>
      </c>
      <c r="F192" t="s">
        <v>22</v>
      </c>
      <c r="G192" t="s">
        <v>28</v>
      </c>
    </row>
    <row r="193" spans="1:7" x14ac:dyDescent="0.3">
      <c r="A193">
        <v>45502</v>
      </c>
      <c r="B193" t="s">
        <v>40</v>
      </c>
      <c r="C193" t="s">
        <v>20</v>
      </c>
      <c r="D193" t="s">
        <v>31</v>
      </c>
      <c r="E193">
        <v>800</v>
      </c>
      <c r="F193" t="s">
        <v>41</v>
      </c>
      <c r="G193" t="s">
        <v>23</v>
      </c>
    </row>
    <row r="194" spans="1:7" x14ac:dyDescent="0.3">
      <c r="A194">
        <v>45500</v>
      </c>
      <c r="B194" t="s">
        <v>19</v>
      </c>
      <c r="C194" t="s">
        <v>20</v>
      </c>
      <c r="D194" t="s">
        <v>21</v>
      </c>
      <c r="E194">
        <v>500</v>
      </c>
      <c r="F194" t="s">
        <v>32</v>
      </c>
      <c r="G194" t="s">
        <v>47</v>
      </c>
    </row>
    <row r="195" spans="1:7" x14ac:dyDescent="0.3">
      <c r="A195">
        <v>45512</v>
      </c>
      <c r="B195" t="s">
        <v>36</v>
      </c>
      <c r="C195" t="s">
        <v>26</v>
      </c>
      <c r="D195" t="s">
        <v>21</v>
      </c>
      <c r="E195">
        <v>1000</v>
      </c>
      <c r="F195" t="s">
        <v>37</v>
      </c>
      <c r="G195" t="s">
        <v>28</v>
      </c>
    </row>
    <row r="196" spans="1:7" x14ac:dyDescent="0.3">
      <c r="A196">
        <v>45511</v>
      </c>
      <c r="B196" t="s">
        <v>46</v>
      </c>
      <c r="C196" t="s">
        <v>20</v>
      </c>
      <c r="D196" t="s">
        <v>27</v>
      </c>
      <c r="E196">
        <v>1000</v>
      </c>
      <c r="F196" t="s">
        <v>22</v>
      </c>
      <c r="G196" t="s">
        <v>28</v>
      </c>
    </row>
    <row r="197" spans="1:7" x14ac:dyDescent="0.3">
      <c r="A197">
        <v>45503</v>
      </c>
      <c r="B197" t="s">
        <v>43</v>
      </c>
      <c r="C197" t="s">
        <v>20</v>
      </c>
      <c r="D197" t="s">
        <v>31</v>
      </c>
      <c r="E197">
        <v>500</v>
      </c>
      <c r="F197" t="s">
        <v>44</v>
      </c>
      <c r="G197" t="s">
        <v>45</v>
      </c>
    </row>
    <row r="198" spans="1:7" x14ac:dyDescent="0.3">
      <c r="A198">
        <v>45504</v>
      </c>
      <c r="B198" t="s">
        <v>29</v>
      </c>
      <c r="C198" t="s">
        <v>26</v>
      </c>
      <c r="D198" t="s">
        <v>27</v>
      </c>
      <c r="E198">
        <v>1000</v>
      </c>
      <c r="F198" t="s">
        <v>22</v>
      </c>
      <c r="G198" t="s">
        <v>28</v>
      </c>
    </row>
    <row r="199" spans="1:7" x14ac:dyDescent="0.3">
      <c r="A199">
        <v>45513</v>
      </c>
      <c r="B199" t="s">
        <v>19</v>
      </c>
      <c r="C199" t="s">
        <v>20</v>
      </c>
      <c r="D199" t="s">
        <v>21</v>
      </c>
      <c r="E199">
        <v>1000</v>
      </c>
      <c r="F199" t="s">
        <v>22</v>
      </c>
      <c r="G199" t="s">
        <v>23</v>
      </c>
    </row>
    <row r="200" spans="1:7" x14ac:dyDescent="0.3">
      <c r="A200">
        <v>45508</v>
      </c>
      <c r="B200" t="s">
        <v>42</v>
      </c>
      <c r="C200" t="s">
        <v>20</v>
      </c>
      <c r="D200" t="s">
        <v>31</v>
      </c>
      <c r="E200">
        <v>1000</v>
      </c>
      <c r="F200" t="s">
        <v>22</v>
      </c>
      <c r="G200" t="s">
        <v>28</v>
      </c>
    </row>
    <row r="201" spans="1:7" x14ac:dyDescent="0.3">
      <c r="A201">
        <v>45505</v>
      </c>
      <c r="B201" t="s">
        <v>49</v>
      </c>
      <c r="C201" t="s">
        <v>20</v>
      </c>
      <c r="D201" t="s">
        <v>31</v>
      </c>
      <c r="E201">
        <v>800</v>
      </c>
      <c r="F201" t="s">
        <v>41</v>
      </c>
      <c r="G201" t="s">
        <v>39</v>
      </c>
    </row>
    <row r="202" spans="1:7" x14ac:dyDescent="0.3">
      <c r="A202">
        <v>45500</v>
      </c>
      <c r="B202" t="s">
        <v>19</v>
      </c>
      <c r="C202" t="s">
        <v>20</v>
      </c>
      <c r="D202" t="s">
        <v>21</v>
      </c>
      <c r="E202">
        <v>500</v>
      </c>
      <c r="F202" t="s">
        <v>32</v>
      </c>
      <c r="G202" t="s">
        <v>47</v>
      </c>
    </row>
    <row r="203" spans="1:7" x14ac:dyDescent="0.3">
      <c r="A203">
        <v>45506</v>
      </c>
      <c r="B203" t="s">
        <v>38</v>
      </c>
      <c r="C203" t="s">
        <v>26</v>
      </c>
      <c r="D203" t="s">
        <v>21</v>
      </c>
      <c r="E203">
        <v>1000</v>
      </c>
      <c r="F203" t="s">
        <v>34</v>
      </c>
      <c r="G203" t="s">
        <v>39</v>
      </c>
    </row>
    <row r="204" spans="1:7" x14ac:dyDescent="0.3">
      <c r="A204">
        <v>45509</v>
      </c>
      <c r="B204" t="s">
        <v>30</v>
      </c>
      <c r="C204" t="s">
        <v>26</v>
      </c>
      <c r="D204" t="s">
        <v>31</v>
      </c>
      <c r="E204">
        <v>500</v>
      </c>
      <c r="F204" t="s">
        <v>32</v>
      </c>
      <c r="G204" t="s">
        <v>23</v>
      </c>
    </row>
    <row r="205" spans="1:7" x14ac:dyDescent="0.3">
      <c r="A205">
        <v>45508</v>
      </c>
      <c r="B205" t="s">
        <v>42</v>
      </c>
      <c r="C205" t="s">
        <v>20</v>
      </c>
      <c r="D205" t="s">
        <v>31</v>
      </c>
      <c r="E205">
        <v>1000</v>
      </c>
      <c r="F205" t="s">
        <v>22</v>
      </c>
      <c r="G205" t="s">
        <v>28</v>
      </c>
    </row>
    <row r="206" spans="1:7" x14ac:dyDescent="0.3">
      <c r="A206">
        <v>45513</v>
      </c>
      <c r="B206" t="s">
        <v>19</v>
      </c>
      <c r="C206" t="s">
        <v>20</v>
      </c>
      <c r="D206" t="s">
        <v>21</v>
      </c>
      <c r="E206">
        <v>1000</v>
      </c>
      <c r="F206" t="s">
        <v>22</v>
      </c>
      <c r="G206" t="s">
        <v>23</v>
      </c>
    </row>
    <row r="207" spans="1:7" x14ac:dyDescent="0.3">
      <c r="A207">
        <v>45509</v>
      </c>
      <c r="B207" t="s">
        <v>30</v>
      </c>
      <c r="C207" t="s">
        <v>26</v>
      </c>
      <c r="D207" t="s">
        <v>31</v>
      </c>
      <c r="E207">
        <v>500</v>
      </c>
      <c r="F207" t="s">
        <v>32</v>
      </c>
      <c r="G207" t="s">
        <v>23</v>
      </c>
    </row>
    <row r="208" spans="1:7" x14ac:dyDescent="0.3">
      <c r="A208">
        <v>45510</v>
      </c>
      <c r="B208" t="s">
        <v>48</v>
      </c>
      <c r="C208" t="s">
        <v>20</v>
      </c>
      <c r="D208" t="s">
        <v>27</v>
      </c>
      <c r="E208">
        <v>1000</v>
      </c>
      <c r="F208" t="s">
        <v>22</v>
      </c>
      <c r="G208" t="s">
        <v>28</v>
      </c>
    </row>
    <row r="209" spans="1:7" x14ac:dyDescent="0.3">
      <c r="A209">
        <v>45512</v>
      </c>
      <c r="B209" t="s">
        <v>36</v>
      </c>
      <c r="C209" t="s">
        <v>26</v>
      </c>
      <c r="D209" t="s">
        <v>21</v>
      </c>
      <c r="E209">
        <v>1000</v>
      </c>
      <c r="F209" t="s">
        <v>37</v>
      </c>
      <c r="G209" t="s">
        <v>28</v>
      </c>
    </row>
    <row r="210" spans="1:7" x14ac:dyDescent="0.3">
      <c r="A210">
        <v>45505</v>
      </c>
      <c r="B210" t="s">
        <v>49</v>
      </c>
      <c r="C210" t="s">
        <v>20</v>
      </c>
      <c r="D210" t="s">
        <v>31</v>
      </c>
      <c r="E210">
        <v>800</v>
      </c>
      <c r="F210" t="s">
        <v>41</v>
      </c>
      <c r="G210" t="s">
        <v>39</v>
      </c>
    </row>
    <row r="211" spans="1:7" x14ac:dyDescent="0.3">
      <c r="A211">
        <v>45505</v>
      </c>
      <c r="B211" t="s">
        <v>49</v>
      </c>
      <c r="C211" t="s">
        <v>20</v>
      </c>
      <c r="D211" t="s">
        <v>31</v>
      </c>
      <c r="E211">
        <v>800</v>
      </c>
      <c r="F211" t="s">
        <v>41</v>
      </c>
      <c r="G211" t="s">
        <v>39</v>
      </c>
    </row>
    <row r="212" spans="1:7" x14ac:dyDescent="0.3">
      <c r="A212">
        <v>45509</v>
      </c>
      <c r="B212" t="s">
        <v>30</v>
      </c>
      <c r="C212" t="s">
        <v>26</v>
      </c>
      <c r="D212" t="s">
        <v>31</v>
      </c>
      <c r="E212">
        <v>500</v>
      </c>
      <c r="F212" t="s">
        <v>32</v>
      </c>
      <c r="G212" t="s">
        <v>23</v>
      </c>
    </row>
    <row r="213" spans="1:7" x14ac:dyDescent="0.3">
      <c r="A213">
        <v>45501</v>
      </c>
      <c r="B213" t="s">
        <v>25</v>
      </c>
      <c r="C213" t="s">
        <v>26</v>
      </c>
      <c r="D213" t="s">
        <v>27</v>
      </c>
      <c r="E213">
        <v>1000</v>
      </c>
      <c r="F213" t="s">
        <v>22</v>
      </c>
      <c r="G213" t="s">
        <v>28</v>
      </c>
    </row>
    <row r="214" spans="1:7" x14ac:dyDescent="0.3">
      <c r="A214">
        <v>45503</v>
      </c>
      <c r="B214" t="s">
        <v>43</v>
      </c>
      <c r="C214" t="s">
        <v>20</v>
      </c>
      <c r="D214" t="s">
        <v>31</v>
      </c>
      <c r="E214">
        <v>500</v>
      </c>
      <c r="F214" t="s">
        <v>44</v>
      </c>
      <c r="G214" t="s">
        <v>45</v>
      </c>
    </row>
    <row r="215" spans="1:7" x14ac:dyDescent="0.3">
      <c r="A215">
        <v>45512</v>
      </c>
      <c r="B215" t="s">
        <v>36</v>
      </c>
      <c r="C215" t="s">
        <v>26</v>
      </c>
      <c r="D215" t="s">
        <v>21</v>
      </c>
      <c r="E215">
        <v>1000</v>
      </c>
      <c r="F215" t="s">
        <v>37</v>
      </c>
      <c r="G215" t="s">
        <v>28</v>
      </c>
    </row>
    <row r="216" spans="1:7" x14ac:dyDescent="0.3">
      <c r="A216">
        <v>45513</v>
      </c>
      <c r="B216" t="s">
        <v>19</v>
      </c>
      <c r="C216" t="s">
        <v>20</v>
      </c>
      <c r="D216" t="s">
        <v>21</v>
      </c>
      <c r="E216">
        <v>1000</v>
      </c>
      <c r="F216" t="s">
        <v>22</v>
      </c>
      <c r="G216" t="s">
        <v>23</v>
      </c>
    </row>
    <row r="217" spans="1:7" x14ac:dyDescent="0.3">
      <c r="A217">
        <v>45508</v>
      </c>
      <c r="B217" t="s">
        <v>42</v>
      </c>
      <c r="C217" t="s">
        <v>20</v>
      </c>
      <c r="D217" t="s">
        <v>31</v>
      </c>
      <c r="E217">
        <v>1000</v>
      </c>
      <c r="F217" t="s">
        <v>22</v>
      </c>
      <c r="G217" t="s">
        <v>28</v>
      </c>
    </row>
    <row r="218" spans="1:7" x14ac:dyDescent="0.3">
      <c r="A218">
        <v>45503</v>
      </c>
      <c r="B218" t="s">
        <v>43</v>
      </c>
      <c r="C218" t="s">
        <v>20</v>
      </c>
      <c r="D218" t="s">
        <v>31</v>
      </c>
      <c r="E218">
        <v>500</v>
      </c>
      <c r="F218" t="s">
        <v>44</v>
      </c>
      <c r="G218" t="s">
        <v>45</v>
      </c>
    </row>
    <row r="219" spans="1:7" x14ac:dyDescent="0.3">
      <c r="A219">
        <v>45504</v>
      </c>
      <c r="B219" t="s">
        <v>29</v>
      </c>
      <c r="C219" t="s">
        <v>26</v>
      </c>
      <c r="D219" t="s">
        <v>27</v>
      </c>
      <c r="E219">
        <v>1000</v>
      </c>
      <c r="F219" t="s">
        <v>22</v>
      </c>
      <c r="G219" t="s">
        <v>28</v>
      </c>
    </row>
    <row r="220" spans="1:7" x14ac:dyDescent="0.3">
      <c r="A220">
        <v>45514</v>
      </c>
      <c r="B220" t="s">
        <v>43</v>
      </c>
      <c r="C220" t="s">
        <v>20</v>
      </c>
      <c r="D220" t="s">
        <v>31</v>
      </c>
      <c r="E220">
        <v>1000</v>
      </c>
      <c r="F220" t="s">
        <v>41</v>
      </c>
      <c r="G220" t="s">
        <v>47</v>
      </c>
    </row>
    <row r="221" spans="1:7" x14ac:dyDescent="0.3">
      <c r="A221">
        <v>45510</v>
      </c>
      <c r="B221" t="s">
        <v>48</v>
      </c>
      <c r="C221" t="s">
        <v>20</v>
      </c>
      <c r="D221" t="s">
        <v>27</v>
      </c>
      <c r="E221">
        <v>1000</v>
      </c>
      <c r="F221" t="s">
        <v>22</v>
      </c>
      <c r="G221" t="s">
        <v>28</v>
      </c>
    </row>
    <row r="222" spans="1:7" x14ac:dyDescent="0.3">
      <c r="A222">
        <v>45504</v>
      </c>
      <c r="B222" t="s">
        <v>29</v>
      </c>
      <c r="C222" t="s">
        <v>26</v>
      </c>
      <c r="D222" t="s">
        <v>27</v>
      </c>
      <c r="E222">
        <v>1000</v>
      </c>
      <c r="F222" t="s">
        <v>22</v>
      </c>
      <c r="G222" t="s">
        <v>28</v>
      </c>
    </row>
    <row r="223" spans="1:7" x14ac:dyDescent="0.3">
      <c r="A223">
        <v>45510</v>
      </c>
      <c r="B223" t="s">
        <v>48</v>
      </c>
      <c r="C223" t="s">
        <v>20</v>
      </c>
      <c r="D223" t="s">
        <v>27</v>
      </c>
      <c r="E223">
        <v>1000</v>
      </c>
      <c r="F223" t="s">
        <v>22</v>
      </c>
      <c r="G223" t="s">
        <v>28</v>
      </c>
    </row>
    <row r="224" spans="1:7" x14ac:dyDescent="0.3">
      <c r="A224">
        <v>45509</v>
      </c>
      <c r="B224" t="s">
        <v>30</v>
      </c>
      <c r="C224" t="s">
        <v>26</v>
      </c>
      <c r="D224" t="s">
        <v>31</v>
      </c>
      <c r="E224">
        <v>500</v>
      </c>
      <c r="F224" t="s">
        <v>32</v>
      </c>
      <c r="G224" t="s">
        <v>23</v>
      </c>
    </row>
    <row r="225" spans="1:7" x14ac:dyDescent="0.3">
      <c r="A225">
        <v>45503</v>
      </c>
      <c r="B225" t="s">
        <v>43</v>
      </c>
      <c r="C225" t="s">
        <v>20</v>
      </c>
      <c r="D225" t="s">
        <v>31</v>
      </c>
      <c r="E225">
        <v>500</v>
      </c>
      <c r="F225" t="s">
        <v>44</v>
      </c>
      <c r="G225" t="s">
        <v>45</v>
      </c>
    </row>
    <row r="226" spans="1:7" x14ac:dyDescent="0.3">
      <c r="A226">
        <v>45501</v>
      </c>
      <c r="B226" t="s">
        <v>25</v>
      </c>
      <c r="C226" t="s">
        <v>26</v>
      </c>
      <c r="D226" t="s">
        <v>27</v>
      </c>
      <c r="E226">
        <v>1000</v>
      </c>
      <c r="F226" t="s">
        <v>22</v>
      </c>
      <c r="G226" t="s">
        <v>28</v>
      </c>
    </row>
    <row r="227" spans="1:7" x14ac:dyDescent="0.3">
      <c r="A227">
        <v>45513</v>
      </c>
      <c r="B227" t="s">
        <v>19</v>
      </c>
      <c r="C227" t="s">
        <v>20</v>
      </c>
      <c r="D227" t="s">
        <v>21</v>
      </c>
      <c r="E227">
        <v>1000</v>
      </c>
      <c r="F227" t="s">
        <v>22</v>
      </c>
      <c r="G227" t="s">
        <v>23</v>
      </c>
    </row>
    <row r="228" spans="1:7" x14ac:dyDescent="0.3">
      <c r="A228">
        <v>45500</v>
      </c>
      <c r="B228" t="s">
        <v>19</v>
      </c>
      <c r="C228" t="s">
        <v>20</v>
      </c>
      <c r="D228" t="s">
        <v>21</v>
      </c>
      <c r="E228">
        <v>500</v>
      </c>
      <c r="F228" t="s">
        <v>32</v>
      </c>
      <c r="G228" t="s">
        <v>47</v>
      </c>
    </row>
    <row r="229" spans="1:7" x14ac:dyDescent="0.3">
      <c r="A229">
        <v>45506</v>
      </c>
      <c r="B229" t="s">
        <v>38</v>
      </c>
      <c r="C229" t="s">
        <v>26</v>
      </c>
      <c r="D229" t="s">
        <v>21</v>
      </c>
      <c r="E229">
        <v>1000</v>
      </c>
      <c r="F229" t="s">
        <v>34</v>
      </c>
      <c r="G229" t="s">
        <v>39</v>
      </c>
    </row>
    <row r="230" spans="1:7" x14ac:dyDescent="0.3">
      <c r="A230">
        <v>45507</v>
      </c>
      <c r="B230" t="s">
        <v>33</v>
      </c>
      <c r="C230" t="s">
        <v>26</v>
      </c>
      <c r="D230" t="s">
        <v>21</v>
      </c>
      <c r="E230">
        <v>1000</v>
      </c>
      <c r="F230" t="s">
        <v>34</v>
      </c>
      <c r="G230" t="s">
        <v>35</v>
      </c>
    </row>
    <row r="231" spans="1:7" x14ac:dyDescent="0.3">
      <c r="A231">
        <v>45502</v>
      </c>
      <c r="B231" t="s">
        <v>40</v>
      </c>
      <c r="C231" t="s">
        <v>20</v>
      </c>
      <c r="D231" t="s">
        <v>31</v>
      </c>
      <c r="E231">
        <v>800</v>
      </c>
      <c r="F231" t="s">
        <v>41</v>
      </c>
      <c r="G231" t="s">
        <v>23</v>
      </c>
    </row>
    <row r="232" spans="1:7" x14ac:dyDescent="0.3">
      <c r="A232">
        <v>45511</v>
      </c>
      <c r="B232" t="s">
        <v>46</v>
      </c>
      <c r="C232" t="s">
        <v>20</v>
      </c>
      <c r="D232" t="s">
        <v>27</v>
      </c>
      <c r="E232">
        <v>1000</v>
      </c>
      <c r="F232" t="s">
        <v>22</v>
      </c>
      <c r="G232" t="s">
        <v>28</v>
      </c>
    </row>
    <row r="233" spans="1:7" x14ac:dyDescent="0.3">
      <c r="A233">
        <v>45514</v>
      </c>
      <c r="B233" t="s">
        <v>43</v>
      </c>
      <c r="C233" t="s">
        <v>20</v>
      </c>
      <c r="D233" t="s">
        <v>31</v>
      </c>
      <c r="E233">
        <v>1000</v>
      </c>
      <c r="F233" t="s">
        <v>41</v>
      </c>
      <c r="G233" t="s">
        <v>47</v>
      </c>
    </row>
    <row r="234" spans="1:7" x14ac:dyDescent="0.3">
      <c r="A234">
        <v>45502</v>
      </c>
      <c r="B234" t="s">
        <v>40</v>
      </c>
      <c r="C234" t="s">
        <v>20</v>
      </c>
      <c r="D234" t="s">
        <v>31</v>
      </c>
      <c r="E234">
        <v>800</v>
      </c>
      <c r="F234" t="s">
        <v>41</v>
      </c>
      <c r="G234" t="s">
        <v>23</v>
      </c>
    </row>
    <row r="235" spans="1:7" x14ac:dyDescent="0.3">
      <c r="A235">
        <v>45504</v>
      </c>
      <c r="B235" t="s">
        <v>29</v>
      </c>
      <c r="C235" t="s">
        <v>26</v>
      </c>
      <c r="D235" t="s">
        <v>27</v>
      </c>
      <c r="E235">
        <v>1000</v>
      </c>
      <c r="F235" t="s">
        <v>22</v>
      </c>
      <c r="G235" t="s">
        <v>28</v>
      </c>
    </row>
    <row r="236" spans="1:7" x14ac:dyDescent="0.3">
      <c r="A236">
        <v>45500</v>
      </c>
      <c r="B236" t="s">
        <v>19</v>
      </c>
      <c r="C236" t="s">
        <v>20</v>
      </c>
      <c r="D236" t="s">
        <v>21</v>
      </c>
      <c r="E236">
        <v>500</v>
      </c>
      <c r="F236" t="s">
        <v>32</v>
      </c>
      <c r="G236" t="s">
        <v>47</v>
      </c>
    </row>
    <row r="237" spans="1:7" x14ac:dyDescent="0.3">
      <c r="A237">
        <v>45509</v>
      </c>
      <c r="B237" t="s">
        <v>30</v>
      </c>
      <c r="C237" t="s">
        <v>26</v>
      </c>
      <c r="D237" t="s">
        <v>31</v>
      </c>
      <c r="E237">
        <v>500</v>
      </c>
      <c r="F237" t="s">
        <v>32</v>
      </c>
      <c r="G237" t="s">
        <v>23</v>
      </c>
    </row>
    <row r="238" spans="1:7" x14ac:dyDescent="0.3">
      <c r="A238">
        <v>45511</v>
      </c>
      <c r="B238" t="s">
        <v>46</v>
      </c>
      <c r="C238" t="s">
        <v>20</v>
      </c>
      <c r="D238" t="s">
        <v>27</v>
      </c>
      <c r="E238">
        <v>1000</v>
      </c>
      <c r="F238" t="s">
        <v>22</v>
      </c>
      <c r="G238" t="s">
        <v>28</v>
      </c>
    </row>
    <row r="239" spans="1:7" x14ac:dyDescent="0.3">
      <c r="A239">
        <v>45501</v>
      </c>
      <c r="B239" t="s">
        <v>25</v>
      </c>
      <c r="C239" t="s">
        <v>26</v>
      </c>
      <c r="D239" t="s">
        <v>27</v>
      </c>
      <c r="E239">
        <v>1000</v>
      </c>
      <c r="F239" t="s">
        <v>22</v>
      </c>
      <c r="G239" t="s">
        <v>28</v>
      </c>
    </row>
    <row r="240" spans="1:7" x14ac:dyDescent="0.3">
      <c r="A240">
        <v>45514</v>
      </c>
      <c r="B240" t="s">
        <v>43</v>
      </c>
      <c r="C240" t="s">
        <v>20</v>
      </c>
      <c r="D240" t="s">
        <v>31</v>
      </c>
      <c r="E240">
        <v>1000</v>
      </c>
      <c r="F240" t="s">
        <v>41</v>
      </c>
      <c r="G240" t="s">
        <v>47</v>
      </c>
    </row>
    <row r="241" spans="1:7" x14ac:dyDescent="0.3">
      <c r="A241">
        <v>45513</v>
      </c>
      <c r="B241" t="s">
        <v>19</v>
      </c>
      <c r="C241" t="s">
        <v>20</v>
      </c>
      <c r="D241" t="s">
        <v>21</v>
      </c>
      <c r="E241">
        <v>1000</v>
      </c>
      <c r="F241" t="s">
        <v>22</v>
      </c>
      <c r="G241" t="s">
        <v>23</v>
      </c>
    </row>
    <row r="242" spans="1:7" x14ac:dyDescent="0.3">
      <c r="A242">
        <v>45511</v>
      </c>
      <c r="B242" t="s">
        <v>46</v>
      </c>
      <c r="C242" t="s">
        <v>20</v>
      </c>
      <c r="D242" t="s">
        <v>27</v>
      </c>
      <c r="E242">
        <v>1000</v>
      </c>
      <c r="F242" t="s">
        <v>22</v>
      </c>
      <c r="G242" t="s">
        <v>28</v>
      </c>
    </row>
    <row r="243" spans="1:7" x14ac:dyDescent="0.3">
      <c r="A243">
        <v>45509</v>
      </c>
      <c r="B243" t="s">
        <v>30</v>
      </c>
      <c r="C243" t="s">
        <v>26</v>
      </c>
      <c r="D243" t="s">
        <v>31</v>
      </c>
      <c r="E243">
        <v>500</v>
      </c>
      <c r="F243" t="s">
        <v>32</v>
      </c>
      <c r="G243" t="s">
        <v>23</v>
      </c>
    </row>
    <row r="244" spans="1:7" x14ac:dyDescent="0.3">
      <c r="A244">
        <v>45506</v>
      </c>
      <c r="B244" t="s">
        <v>38</v>
      </c>
      <c r="C244" t="s">
        <v>26</v>
      </c>
      <c r="D244" t="s">
        <v>21</v>
      </c>
      <c r="E244">
        <v>1000</v>
      </c>
      <c r="F244" t="s">
        <v>34</v>
      </c>
      <c r="G244" t="s">
        <v>39</v>
      </c>
    </row>
    <row r="245" spans="1:7" x14ac:dyDescent="0.3">
      <c r="A245">
        <v>45505</v>
      </c>
      <c r="B245" t="s">
        <v>49</v>
      </c>
      <c r="C245" t="s">
        <v>20</v>
      </c>
      <c r="D245" t="s">
        <v>31</v>
      </c>
      <c r="E245">
        <v>800</v>
      </c>
      <c r="F245" t="s">
        <v>41</v>
      </c>
      <c r="G245" t="s">
        <v>39</v>
      </c>
    </row>
    <row r="246" spans="1:7" x14ac:dyDescent="0.3">
      <c r="A246">
        <v>45505</v>
      </c>
      <c r="B246" t="s">
        <v>49</v>
      </c>
      <c r="C246" t="s">
        <v>20</v>
      </c>
      <c r="D246" t="s">
        <v>31</v>
      </c>
      <c r="E246">
        <v>800</v>
      </c>
      <c r="F246" t="s">
        <v>41</v>
      </c>
      <c r="G246" t="s">
        <v>39</v>
      </c>
    </row>
    <row r="247" spans="1:7" x14ac:dyDescent="0.3">
      <c r="A247">
        <v>45507</v>
      </c>
      <c r="B247" t="s">
        <v>33</v>
      </c>
      <c r="C247" t="s">
        <v>26</v>
      </c>
      <c r="D247" t="s">
        <v>21</v>
      </c>
      <c r="E247">
        <v>1000</v>
      </c>
      <c r="F247" t="s">
        <v>34</v>
      </c>
      <c r="G247" t="s">
        <v>35</v>
      </c>
    </row>
    <row r="248" spans="1:7" x14ac:dyDescent="0.3">
      <c r="A248">
        <v>45501</v>
      </c>
      <c r="B248" t="s">
        <v>25</v>
      </c>
      <c r="C248" t="s">
        <v>26</v>
      </c>
      <c r="D248" t="s">
        <v>27</v>
      </c>
      <c r="E248">
        <v>1000</v>
      </c>
      <c r="F248" t="s">
        <v>22</v>
      </c>
      <c r="G248" t="s">
        <v>28</v>
      </c>
    </row>
    <row r="249" spans="1:7" x14ac:dyDescent="0.3">
      <c r="A249">
        <v>45500</v>
      </c>
      <c r="B249" t="s">
        <v>19</v>
      </c>
      <c r="C249" t="s">
        <v>20</v>
      </c>
      <c r="D249" t="s">
        <v>21</v>
      </c>
      <c r="E249">
        <v>500</v>
      </c>
      <c r="F249" t="s">
        <v>32</v>
      </c>
      <c r="G249" t="s">
        <v>47</v>
      </c>
    </row>
    <row r="250" spans="1:7" x14ac:dyDescent="0.3">
      <c r="A250">
        <v>45502</v>
      </c>
      <c r="B250" t="s">
        <v>40</v>
      </c>
      <c r="C250" t="s">
        <v>20</v>
      </c>
      <c r="D250" t="s">
        <v>31</v>
      </c>
      <c r="E250">
        <v>800</v>
      </c>
      <c r="F250" t="s">
        <v>41</v>
      </c>
      <c r="G250" t="s">
        <v>23</v>
      </c>
    </row>
    <row r="251" spans="1:7" x14ac:dyDescent="0.3">
      <c r="A251">
        <v>45502</v>
      </c>
      <c r="B251" t="s">
        <v>40</v>
      </c>
      <c r="C251" t="s">
        <v>20</v>
      </c>
      <c r="D251" t="s">
        <v>31</v>
      </c>
      <c r="E251">
        <v>800</v>
      </c>
      <c r="F251" t="s">
        <v>41</v>
      </c>
      <c r="G251" t="s">
        <v>23</v>
      </c>
    </row>
    <row r="252" spans="1:7" x14ac:dyDescent="0.3">
      <c r="A252">
        <v>45500</v>
      </c>
      <c r="B252" t="s">
        <v>19</v>
      </c>
      <c r="C252" t="s">
        <v>20</v>
      </c>
      <c r="D252" t="s">
        <v>21</v>
      </c>
      <c r="E252">
        <v>500</v>
      </c>
      <c r="F252" t="s">
        <v>32</v>
      </c>
      <c r="G252" t="s">
        <v>47</v>
      </c>
    </row>
    <row r="253" spans="1:7" x14ac:dyDescent="0.3">
      <c r="A253">
        <v>45512</v>
      </c>
      <c r="B253" t="s">
        <v>36</v>
      </c>
      <c r="C253" t="s">
        <v>26</v>
      </c>
      <c r="D253" t="s">
        <v>21</v>
      </c>
      <c r="E253">
        <v>1000</v>
      </c>
      <c r="F253" t="s">
        <v>37</v>
      </c>
      <c r="G253" t="s">
        <v>28</v>
      </c>
    </row>
    <row r="254" spans="1:7" x14ac:dyDescent="0.3">
      <c r="A254">
        <v>45500</v>
      </c>
      <c r="B254" t="s">
        <v>19</v>
      </c>
      <c r="C254" t="s">
        <v>20</v>
      </c>
      <c r="D254" t="s">
        <v>21</v>
      </c>
      <c r="E254">
        <v>500</v>
      </c>
      <c r="F254" t="s">
        <v>32</v>
      </c>
      <c r="G254" t="s">
        <v>47</v>
      </c>
    </row>
    <row r="255" spans="1:7" x14ac:dyDescent="0.3">
      <c r="A255">
        <v>45511</v>
      </c>
      <c r="B255" t="s">
        <v>46</v>
      </c>
      <c r="C255" t="s">
        <v>20</v>
      </c>
      <c r="D255" t="s">
        <v>27</v>
      </c>
      <c r="E255">
        <v>1000</v>
      </c>
      <c r="F255" t="s">
        <v>22</v>
      </c>
      <c r="G255" t="s">
        <v>28</v>
      </c>
    </row>
    <row r="256" spans="1:7" x14ac:dyDescent="0.3">
      <c r="A256">
        <v>45512</v>
      </c>
      <c r="B256" t="s">
        <v>36</v>
      </c>
      <c r="C256" t="s">
        <v>26</v>
      </c>
      <c r="D256" t="s">
        <v>21</v>
      </c>
      <c r="E256">
        <v>1000</v>
      </c>
      <c r="F256" t="s">
        <v>37</v>
      </c>
      <c r="G256" t="s">
        <v>28</v>
      </c>
    </row>
    <row r="257" spans="1:7" x14ac:dyDescent="0.3">
      <c r="A257">
        <v>45501</v>
      </c>
      <c r="B257" t="s">
        <v>25</v>
      </c>
      <c r="C257" t="s">
        <v>26</v>
      </c>
      <c r="D257" t="s">
        <v>27</v>
      </c>
      <c r="E257">
        <v>1000</v>
      </c>
      <c r="F257" t="s">
        <v>22</v>
      </c>
      <c r="G257" t="s">
        <v>28</v>
      </c>
    </row>
    <row r="258" spans="1:7" x14ac:dyDescent="0.3">
      <c r="A258">
        <v>45512</v>
      </c>
      <c r="B258" t="s">
        <v>36</v>
      </c>
      <c r="C258" t="s">
        <v>26</v>
      </c>
      <c r="D258" t="s">
        <v>21</v>
      </c>
      <c r="E258">
        <v>1000</v>
      </c>
      <c r="F258" t="s">
        <v>37</v>
      </c>
      <c r="G258" t="s">
        <v>28</v>
      </c>
    </row>
    <row r="259" spans="1:7" x14ac:dyDescent="0.3">
      <c r="A259">
        <v>45511</v>
      </c>
      <c r="B259" t="s">
        <v>46</v>
      </c>
      <c r="C259" t="s">
        <v>20</v>
      </c>
      <c r="D259" t="s">
        <v>27</v>
      </c>
      <c r="E259">
        <v>1000</v>
      </c>
      <c r="F259" t="s">
        <v>22</v>
      </c>
      <c r="G259" t="s">
        <v>28</v>
      </c>
    </row>
    <row r="260" spans="1:7" x14ac:dyDescent="0.3">
      <c r="A260">
        <v>45506</v>
      </c>
      <c r="B260" t="s">
        <v>38</v>
      </c>
      <c r="C260" t="s">
        <v>26</v>
      </c>
      <c r="D260" t="s">
        <v>21</v>
      </c>
      <c r="E260">
        <v>1000</v>
      </c>
      <c r="F260" t="s">
        <v>34</v>
      </c>
      <c r="G260" t="s">
        <v>39</v>
      </c>
    </row>
    <row r="261" spans="1:7" x14ac:dyDescent="0.3">
      <c r="A261">
        <v>45507</v>
      </c>
      <c r="B261" t="s">
        <v>33</v>
      </c>
      <c r="C261" t="s">
        <v>26</v>
      </c>
      <c r="D261" t="s">
        <v>21</v>
      </c>
      <c r="E261">
        <v>1000</v>
      </c>
      <c r="F261" t="s">
        <v>34</v>
      </c>
      <c r="G261" t="s">
        <v>35</v>
      </c>
    </row>
    <row r="262" spans="1:7" x14ac:dyDescent="0.3">
      <c r="A262">
        <v>45512</v>
      </c>
      <c r="B262" t="s">
        <v>36</v>
      </c>
      <c r="C262" t="s">
        <v>26</v>
      </c>
      <c r="D262" t="s">
        <v>21</v>
      </c>
      <c r="E262">
        <v>1000</v>
      </c>
      <c r="F262" t="s">
        <v>37</v>
      </c>
      <c r="G262" t="s">
        <v>28</v>
      </c>
    </row>
    <row r="263" spans="1:7" x14ac:dyDescent="0.3">
      <c r="A263">
        <v>45502</v>
      </c>
      <c r="B263" t="s">
        <v>40</v>
      </c>
      <c r="C263" t="s">
        <v>20</v>
      </c>
      <c r="D263" t="s">
        <v>31</v>
      </c>
      <c r="E263">
        <v>800</v>
      </c>
      <c r="F263" t="s">
        <v>41</v>
      </c>
      <c r="G263" t="s">
        <v>23</v>
      </c>
    </row>
    <row r="264" spans="1:7" x14ac:dyDescent="0.3">
      <c r="A264">
        <v>45505</v>
      </c>
      <c r="B264" t="s">
        <v>49</v>
      </c>
      <c r="C264" t="s">
        <v>20</v>
      </c>
      <c r="D264" t="s">
        <v>31</v>
      </c>
      <c r="E264">
        <v>800</v>
      </c>
      <c r="F264" t="s">
        <v>41</v>
      </c>
      <c r="G264" t="s">
        <v>39</v>
      </c>
    </row>
    <row r="265" spans="1:7" x14ac:dyDescent="0.3">
      <c r="A265">
        <v>45505</v>
      </c>
      <c r="B265" t="s">
        <v>49</v>
      </c>
      <c r="C265" t="s">
        <v>20</v>
      </c>
      <c r="D265" t="s">
        <v>31</v>
      </c>
      <c r="E265">
        <v>800</v>
      </c>
      <c r="F265" t="s">
        <v>41</v>
      </c>
      <c r="G265" t="s">
        <v>39</v>
      </c>
    </row>
    <row r="266" spans="1:7" x14ac:dyDescent="0.3">
      <c r="A266">
        <v>45502</v>
      </c>
      <c r="B266" t="s">
        <v>40</v>
      </c>
      <c r="C266" t="s">
        <v>20</v>
      </c>
      <c r="D266" t="s">
        <v>31</v>
      </c>
      <c r="E266">
        <v>800</v>
      </c>
      <c r="F266" t="s">
        <v>41</v>
      </c>
      <c r="G266" t="s">
        <v>23</v>
      </c>
    </row>
    <row r="267" spans="1:7" x14ac:dyDescent="0.3">
      <c r="A267">
        <v>45513</v>
      </c>
      <c r="B267" t="s">
        <v>19</v>
      </c>
      <c r="C267" t="s">
        <v>20</v>
      </c>
      <c r="D267" t="s">
        <v>21</v>
      </c>
      <c r="E267">
        <v>1000</v>
      </c>
      <c r="F267" t="s">
        <v>22</v>
      </c>
      <c r="G267" t="s">
        <v>23</v>
      </c>
    </row>
    <row r="268" spans="1:7" x14ac:dyDescent="0.3">
      <c r="A268">
        <v>45500</v>
      </c>
      <c r="B268" t="s">
        <v>19</v>
      </c>
      <c r="C268" t="s">
        <v>20</v>
      </c>
      <c r="D268" t="s">
        <v>21</v>
      </c>
      <c r="E268">
        <v>500</v>
      </c>
      <c r="F268" t="s">
        <v>32</v>
      </c>
      <c r="G268" t="s">
        <v>47</v>
      </c>
    </row>
    <row r="269" spans="1:7" x14ac:dyDescent="0.3">
      <c r="A269">
        <v>45502</v>
      </c>
      <c r="B269" t="s">
        <v>40</v>
      </c>
      <c r="C269" t="s">
        <v>20</v>
      </c>
      <c r="D269" t="s">
        <v>31</v>
      </c>
      <c r="E269">
        <v>800</v>
      </c>
      <c r="F269" t="s">
        <v>41</v>
      </c>
      <c r="G269" t="s">
        <v>23</v>
      </c>
    </row>
    <row r="270" spans="1:7" x14ac:dyDescent="0.3">
      <c r="A270">
        <v>45503</v>
      </c>
      <c r="B270" t="s">
        <v>43</v>
      </c>
      <c r="C270" t="s">
        <v>20</v>
      </c>
      <c r="D270" t="s">
        <v>31</v>
      </c>
      <c r="E270">
        <v>500</v>
      </c>
      <c r="F270" t="s">
        <v>44</v>
      </c>
      <c r="G270" t="s">
        <v>45</v>
      </c>
    </row>
    <row r="271" spans="1:7" x14ac:dyDescent="0.3">
      <c r="A271">
        <v>45514</v>
      </c>
      <c r="B271" t="s">
        <v>43</v>
      </c>
      <c r="C271" t="s">
        <v>20</v>
      </c>
      <c r="D271" t="s">
        <v>31</v>
      </c>
      <c r="E271">
        <v>1000</v>
      </c>
      <c r="F271" t="s">
        <v>41</v>
      </c>
      <c r="G271" t="s">
        <v>47</v>
      </c>
    </row>
    <row r="272" spans="1:7" x14ac:dyDescent="0.3">
      <c r="A272">
        <v>45510</v>
      </c>
      <c r="B272" t="s">
        <v>48</v>
      </c>
      <c r="C272" t="s">
        <v>20</v>
      </c>
      <c r="D272" t="s">
        <v>27</v>
      </c>
      <c r="E272">
        <v>1000</v>
      </c>
      <c r="F272" t="s">
        <v>22</v>
      </c>
      <c r="G272" t="s">
        <v>28</v>
      </c>
    </row>
    <row r="273" spans="1:7" x14ac:dyDescent="0.3">
      <c r="A273">
        <v>45513</v>
      </c>
      <c r="B273" t="s">
        <v>19</v>
      </c>
      <c r="C273" t="s">
        <v>20</v>
      </c>
      <c r="D273" t="s">
        <v>21</v>
      </c>
      <c r="E273">
        <v>1000</v>
      </c>
      <c r="F273" t="s">
        <v>22</v>
      </c>
      <c r="G273" t="s">
        <v>23</v>
      </c>
    </row>
    <row r="274" spans="1:7" x14ac:dyDescent="0.3">
      <c r="A274">
        <v>45502</v>
      </c>
      <c r="B274" t="s">
        <v>40</v>
      </c>
      <c r="C274" t="s">
        <v>20</v>
      </c>
      <c r="D274" t="s">
        <v>31</v>
      </c>
      <c r="E274">
        <v>800</v>
      </c>
      <c r="F274" t="s">
        <v>41</v>
      </c>
      <c r="G274" t="s">
        <v>23</v>
      </c>
    </row>
    <row r="275" spans="1:7" x14ac:dyDescent="0.3">
      <c r="A275">
        <v>45506</v>
      </c>
      <c r="B275" t="s">
        <v>38</v>
      </c>
      <c r="C275" t="s">
        <v>26</v>
      </c>
      <c r="D275" t="s">
        <v>21</v>
      </c>
      <c r="E275">
        <v>1000</v>
      </c>
      <c r="F275" t="s">
        <v>34</v>
      </c>
      <c r="G275" t="s">
        <v>39</v>
      </c>
    </row>
    <row r="276" spans="1:7" x14ac:dyDescent="0.3">
      <c r="A276">
        <v>45503</v>
      </c>
      <c r="B276" t="s">
        <v>43</v>
      </c>
      <c r="C276" t="s">
        <v>20</v>
      </c>
      <c r="D276" t="s">
        <v>31</v>
      </c>
      <c r="E276">
        <v>500</v>
      </c>
      <c r="F276" t="s">
        <v>44</v>
      </c>
      <c r="G276" t="s">
        <v>45</v>
      </c>
    </row>
    <row r="277" spans="1:7" x14ac:dyDescent="0.3">
      <c r="A277">
        <v>45506</v>
      </c>
      <c r="B277" t="s">
        <v>38</v>
      </c>
      <c r="C277" t="s">
        <v>26</v>
      </c>
      <c r="D277" t="s">
        <v>21</v>
      </c>
      <c r="E277">
        <v>1000</v>
      </c>
      <c r="F277" t="s">
        <v>34</v>
      </c>
      <c r="G277" t="s">
        <v>39</v>
      </c>
    </row>
    <row r="278" spans="1:7" x14ac:dyDescent="0.3">
      <c r="A278">
        <v>45513</v>
      </c>
      <c r="B278" t="s">
        <v>19</v>
      </c>
      <c r="C278" t="s">
        <v>20</v>
      </c>
      <c r="D278" t="s">
        <v>21</v>
      </c>
      <c r="E278">
        <v>1000</v>
      </c>
      <c r="F278" t="s">
        <v>22</v>
      </c>
      <c r="G278" t="s">
        <v>23</v>
      </c>
    </row>
    <row r="279" spans="1:7" x14ac:dyDescent="0.3">
      <c r="A279">
        <v>45509</v>
      </c>
      <c r="B279" t="s">
        <v>30</v>
      </c>
      <c r="C279" t="s">
        <v>26</v>
      </c>
      <c r="D279" t="s">
        <v>31</v>
      </c>
      <c r="E279">
        <v>500</v>
      </c>
      <c r="F279" t="s">
        <v>32</v>
      </c>
      <c r="G279" t="s">
        <v>23</v>
      </c>
    </row>
    <row r="280" spans="1:7" x14ac:dyDescent="0.3">
      <c r="A280">
        <v>45504</v>
      </c>
      <c r="B280" t="s">
        <v>29</v>
      </c>
      <c r="C280" t="s">
        <v>26</v>
      </c>
      <c r="D280" t="s">
        <v>27</v>
      </c>
      <c r="E280">
        <v>1000</v>
      </c>
      <c r="F280" t="s">
        <v>22</v>
      </c>
      <c r="G280" t="s">
        <v>28</v>
      </c>
    </row>
    <row r="281" spans="1:7" x14ac:dyDescent="0.3">
      <c r="A281">
        <v>45513</v>
      </c>
      <c r="B281" t="s">
        <v>19</v>
      </c>
      <c r="C281" t="s">
        <v>20</v>
      </c>
      <c r="D281" t="s">
        <v>21</v>
      </c>
      <c r="E281">
        <v>1000</v>
      </c>
      <c r="F281" t="s">
        <v>22</v>
      </c>
      <c r="G281" t="s">
        <v>23</v>
      </c>
    </row>
    <row r="282" spans="1:7" x14ac:dyDescent="0.3">
      <c r="A282">
        <v>45512</v>
      </c>
      <c r="B282" t="s">
        <v>36</v>
      </c>
      <c r="C282" t="s">
        <v>26</v>
      </c>
      <c r="D282" t="s">
        <v>21</v>
      </c>
      <c r="E282">
        <v>1000</v>
      </c>
      <c r="F282" t="s">
        <v>37</v>
      </c>
      <c r="G282" t="s">
        <v>28</v>
      </c>
    </row>
    <row r="283" spans="1:7" x14ac:dyDescent="0.3">
      <c r="A283">
        <v>45507</v>
      </c>
      <c r="B283" t="s">
        <v>33</v>
      </c>
      <c r="C283" t="s">
        <v>26</v>
      </c>
      <c r="D283" t="s">
        <v>21</v>
      </c>
      <c r="E283">
        <v>1000</v>
      </c>
      <c r="F283" t="s">
        <v>34</v>
      </c>
      <c r="G283" t="s">
        <v>35</v>
      </c>
    </row>
    <row r="284" spans="1:7" x14ac:dyDescent="0.3">
      <c r="A284">
        <v>45501</v>
      </c>
      <c r="B284" t="s">
        <v>25</v>
      </c>
      <c r="C284" t="s">
        <v>26</v>
      </c>
      <c r="D284" t="s">
        <v>27</v>
      </c>
      <c r="E284">
        <v>1000</v>
      </c>
      <c r="F284" t="s">
        <v>22</v>
      </c>
      <c r="G284" t="s">
        <v>28</v>
      </c>
    </row>
    <row r="285" spans="1:7" x14ac:dyDescent="0.3">
      <c r="A285">
        <v>45511</v>
      </c>
      <c r="B285" t="s">
        <v>46</v>
      </c>
      <c r="C285" t="s">
        <v>20</v>
      </c>
      <c r="D285" t="s">
        <v>27</v>
      </c>
      <c r="E285">
        <v>1000</v>
      </c>
      <c r="F285" t="s">
        <v>22</v>
      </c>
      <c r="G285" t="s">
        <v>28</v>
      </c>
    </row>
    <row r="286" spans="1:7" x14ac:dyDescent="0.3">
      <c r="A286">
        <v>45506</v>
      </c>
      <c r="B286" t="s">
        <v>38</v>
      </c>
      <c r="C286" t="s">
        <v>26</v>
      </c>
      <c r="D286" t="s">
        <v>21</v>
      </c>
      <c r="E286">
        <v>1000</v>
      </c>
      <c r="F286" t="s">
        <v>34</v>
      </c>
      <c r="G286" t="s">
        <v>39</v>
      </c>
    </row>
    <row r="287" spans="1:7" x14ac:dyDescent="0.3">
      <c r="A287">
        <v>45507</v>
      </c>
      <c r="B287" t="s">
        <v>33</v>
      </c>
      <c r="C287" t="s">
        <v>26</v>
      </c>
      <c r="D287" t="s">
        <v>21</v>
      </c>
      <c r="E287">
        <v>1000</v>
      </c>
      <c r="F287" t="s">
        <v>34</v>
      </c>
      <c r="G287" t="s">
        <v>35</v>
      </c>
    </row>
    <row r="288" spans="1:7" x14ac:dyDescent="0.3">
      <c r="A288">
        <v>45506</v>
      </c>
      <c r="B288" t="s">
        <v>38</v>
      </c>
      <c r="C288" t="s">
        <v>26</v>
      </c>
      <c r="D288" t="s">
        <v>21</v>
      </c>
      <c r="E288">
        <v>1000</v>
      </c>
      <c r="F288" t="s">
        <v>34</v>
      </c>
      <c r="G288" t="s">
        <v>39</v>
      </c>
    </row>
    <row r="289" spans="1:7" x14ac:dyDescent="0.3">
      <c r="A289">
        <v>45514</v>
      </c>
      <c r="B289" t="s">
        <v>43</v>
      </c>
      <c r="C289" t="s">
        <v>20</v>
      </c>
      <c r="D289" t="s">
        <v>31</v>
      </c>
      <c r="E289">
        <v>1000</v>
      </c>
      <c r="F289" t="s">
        <v>41</v>
      </c>
      <c r="G289" t="s">
        <v>47</v>
      </c>
    </row>
    <row r="290" spans="1:7" x14ac:dyDescent="0.3">
      <c r="A290">
        <v>45500</v>
      </c>
      <c r="B290" t="s">
        <v>19</v>
      </c>
      <c r="C290" t="s">
        <v>20</v>
      </c>
      <c r="D290" t="s">
        <v>21</v>
      </c>
      <c r="E290">
        <v>500</v>
      </c>
      <c r="F290" t="s">
        <v>32</v>
      </c>
      <c r="G290" t="s">
        <v>47</v>
      </c>
    </row>
    <row r="291" spans="1:7" x14ac:dyDescent="0.3">
      <c r="A291">
        <v>45504</v>
      </c>
      <c r="B291" t="s">
        <v>29</v>
      </c>
      <c r="C291" t="s">
        <v>26</v>
      </c>
      <c r="D291" t="s">
        <v>27</v>
      </c>
      <c r="E291">
        <v>1000</v>
      </c>
      <c r="F291" t="s">
        <v>22</v>
      </c>
      <c r="G291" t="s">
        <v>28</v>
      </c>
    </row>
    <row r="292" spans="1:7" x14ac:dyDescent="0.3">
      <c r="A292">
        <v>45514</v>
      </c>
      <c r="B292" t="s">
        <v>43</v>
      </c>
      <c r="C292" t="s">
        <v>20</v>
      </c>
      <c r="D292" t="s">
        <v>31</v>
      </c>
      <c r="E292">
        <v>1000</v>
      </c>
      <c r="F292" t="s">
        <v>41</v>
      </c>
      <c r="G292" t="s">
        <v>47</v>
      </c>
    </row>
    <row r="293" spans="1:7" x14ac:dyDescent="0.3">
      <c r="A293">
        <v>45507</v>
      </c>
      <c r="B293" t="s">
        <v>33</v>
      </c>
      <c r="C293" t="s">
        <v>26</v>
      </c>
      <c r="D293" t="s">
        <v>21</v>
      </c>
      <c r="E293">
        <v>1000</v>
      </c>
      <c r="F293" t="s">
        <v>34</v>
      </c>
      <c r="G293" t="s">
        <v>35</v>
      </c>
    </row>
    <row r="294" spans="1:7" x14ac:dyDescent="0.3">
      <c r="A294">
        <v>45503</v>
      </c>
      <c r="B294" t="s">
        <v>43</v>
      </c>
      <c r="C294" t="s">
        <v>20</v>
      </c>
      <c r="D294" t="s">
        <v>31</v>
      </c>
      <c r="E294">
        <v>500</v>
      </c>
      <c r="F294" t="s">
        <v>44</v>
      </c>
      <c r="G294" t="s">
        <v>45</v>
      </c>
    </row>
    <row r="295" spans="1:7" x14ac:dyDescent="0.3">
      <c r="A295">
        <v>45506</v>
      </c>
      <c r="B295" t="s">
        <v>38</v>
      </c>
      <c r="C295" t="s">
        <v>26</v>
      </c>
      <c r="D295" t="s">
        <v>21</v>
      </c>
      <c r="E295">
        <v>1000</v>
      </c>
      <c r="F295" t="s">
        <v>34</v>
      </c>
      <c r="G295" t="s">
        <v>39</v>
      </c>
    </row>
    <row r="296" spans="1:7" x14ac:dyDescent="0.3">
      <c r="A296">
        <v>45507</v>
      </c>
      <c r="B296" t="s">
        <v>33</v>
      </c>
      <c r="C296" t="s">
        <v>26</v>
      </c>
      <c r="D296" t="s">
        <v>21</v>
      </c>
      <c r="E296">
        <v>1000</v>
      </c>
      <c r="F296" t="s">
        <v>34</v>
      </c>
      <c r="G296" t="s">
        <v>35</v>
      </c>
    </row>
    <row r="297" spans="1:7" x14ac:dyDescent="0.3">
      <c r="A297">
        <v>45510</v>
      </c>
      <c r="B297" t="s">
        <v>48</v>
      </c>
      <c r="C297" t="s">
        <v>20</v>
      </c>
      <c r="D297" t="s">
        <v>27</v>
      </c>
      <c r="E297">
        <v>1000</v>
      </c>
      <c r="F297" t="s">
        <v>22</v>
      </c>
      <c r="G297" t="s">
        <v>28</v>
      </c>
    </row>
    <row r="298" spans="1:7" x14ac:dyDescent="0.3">
      <c r="A298">
        <v>45514</v>
      </c>
      <c r="B298" t="s">
        <v>43</v>
      </c>
      <c r="C298" t="s">
        <v>20</v>
      </c>
      <c r="D298" t="s">
        <v>31</v>
      </c>
      <c r="E298">
        <v>1000</v>
      </c>
      <c r="F298" t="s">
        <v>41</v>
      </c>
      <c r="G298" t="s">
        <v>47</v>
      </c>
    </row>
    <row r="299" spans="1:7" x14ac:dyDescent="0.3">
      <c r="A299">
        <v>45500</v>
      </c>
      <c r="B299" t="s">
        <v>19</v>
      </c>
      <c r="C299" t="s">
        <v>20</v>
      </c>
      <c r="D299" t="s">
        <v>21</v>
      </c>
      <c r="E299">
        <v>500</v>
      </c>
      <c r="F299" t="s">
        <v>32</v>
      </c>
      <c r="G299" t="s">
        <v>47</v>
      </c>
    </row>
    <row r="300" spans="1:7" x14ac:dyDescent="0.3">
      <c r="A300">
        <v>45506</v>
      </c>
      <c r="B300" t="s">
        <v>38</v>
      </c>
      <c r="C300" t="s">
        <v>26</v>
      </c>
      <c r="D300" t="s">
        <v>21</v>
      </c>
      <c r="E300">
        <v>1000</v>
      </c>
      <c r="F300" t="s">
        <v>34</v>
      </c>
      <c r="G300" t="s">
        <v>39</v>
      </c>
    </row>
    <row r="301" spans="1:7" x14ac:dyDescent="0.3">
      <c r="A301">
        <v>45504</v>
      </c>
      <c r="B301" t="s">
        <v>29</v>
      </c>
      <c r="C301" t="s">
        <v>26</v>
      </c>
      <c r="D301" t="s">
        <v>27</v>
      </c>
      <c r="E301">
        <v>1000</v>
      </c>
      <c r="F301" t="s">
        <v>22</v>
      </c>
      <c r="G301" t="s">
        <v>28</v>
      </c>
    </row>
    <row r="302" spans="1:7" x14ac:dyDescent="0.3">
      <c r="A302">
        <v>45510</v>
      </c>
      <c r="B302" t="s">
        <v>48</v>
      </c>
      <c r="C302" t="s">
        <v>20</v>
      </c>
      <c r="D302" t="s">
        <v>27</v>
      </c>
      <c r="E302">
        <v>1000</v>
      </c>
      <c r="F302" t="s">
        <v>22</v>
      </c>
      <c r="G302" t="s">
        <v>28</v>
      </c>
    </row>
    <row r="303" spans="1:7" x14ac:dyDescent="0.3">
      <c r="A303">
        <v>45503</v>
      </c>
      <c r="B303" t="s">
        <v>43</v>
      </c>
      <c r="C303" t="s">
        <v>20</v>
      </c>
      <c r="D303" t="s">
        <v>31</v>
      </c>
      <c r="E303">
        <v>500</v>
      </c>
      <c r="F303" t="s">
        <v>44</v>
      </c>
      <c r="G303" t="s">
        <v>45</v>
      </c>
    </row>
    <row r="304" spans="1:7" x14ac:dyDescent="0.3">
      <c r="A304">
        <v>45501</v>
      </c>
      <c r="B304" t="s">
        <v>25</v>
      </c>
      <c r="C304" t="s">
        <v>26</v>
      </c>
      <c r="D304" t="s">
        <v>27</v>
      </c>
      <c r="E304">
        <v>1000</v>
      </c>
      <c r="F304" t="s">
        <v>22</v>
      </c>
      <c r="G304" t="s">
        <v>28</v>
      </c>
    </row>
    <row r="305" spans="1:7" x14ac:dyDescent="0.3">
      <c r="A305">
        <v>45509</v>
      </c>
      <c r="B305" t="s">
        <v>30</v>
      </c>
      <c r="C305" t="s">
        <v>26</v>
      </c>
      <c r="D305" t="s">
        <v>31</v>
      </c>
      <c r="E305">
        <v>500</v>
      </c>
      <c r="F305" t="s">
        <v>32</v>
      </c>
      <c r="G305" t="s">
        <v>23</v>
      </c>
    </row>
    <row r="306" spans="1:7" x14ac:dyDescent="0.3">
      <c r="A306">
        <v>45507</v>
      </c>
      <c r="B306" t="s">
        <v>33</v>
      </c>
      <c r="C306" t="s">
        <v>26</v>
      </c>
      <c r="D306" t="s">
        <v>21</v>
      </c>
      <c r="E306">
        <v>1000</v>
      </c>
      <c r="F306" t="s">
        <v>34</v>
      </c>
      <c r="G306" t="s">
        <v>35</v>
      </c>
    </row>
    <row r="307" spans="1:7" x14ac:dyDescent="0.3">
      <c r="A307">
        <v>45507</v>
      </c>
      <c r="B307" t="s">
        <v>33</v>
      </c>
      <c r="C307" t="s">
        <v>26</v>
      </c>
      <c r="D307" t="s">
        <v>21</v>
      </c>
      <c r="E307">
        <v>1000</v>
      </c>
      <c r="F307" t="s">
        <v>34</v>
      </c>
      <c r="G307" t="s">
        <v>35</v>
      </c>
    </row>
    <row r="308" spans="1:7" x14ac:dyDescent="0.3">
      <c r="A308">
        <v>45507</v>
      </c>
      <c r="B308" t="s">
        <v>33</v>
      </c>
      <c r="C308" t="s">
        <v>26</v>
      </c>
      <c r="D308" t="s">
        <v>21</v>
      </c>
      <c r="E308">
        <v>1000</v>
      </c>
      <c r="F308" t="s">
        <v>34</v>
      </c>
      <c r="G308" t="s">
        <v>35</v>
      </c>
    </row>
    <row r="309" spans="1:7" x14ac:dyDescent="0.3">
      <c r="A309">
        <v>45507</v>
      </c>
      <c r="B309" t="s">
        <v>33</v>
      </c>
      <c r="C309" t="s">
        <v>26</v>
      </c>
      <c r="D309" t="s">
        <v>21</v>
      </c>
      <c r="E309">
        <v>1000</v>
      </c>
      <c r="F309" t="s">
        <v>34</v>
      </c>
      <c r="G309" t="s">
        <v>35</v>
      </c>
    </row>
    <row r="310" spans="1:7" x14ac:dyDescent="0.3">
      <c r="A310">
        <v>45502</v>
      </c>
      <c r="B310" t="s">
        <v>40</v>
      </c>
      <c r="C310" t="s">
        <v>20</v>
      </c>
      <c r="D310" t="s">
        <v>31</v>
      </c>
      <c r="E310">
        <v>800</v>
      </c>
      <c r="F310" t="s">
        <v>41</v>
      </c>
      <c r="G310" t="s">
        <v>23</v>
      </c>
    </row>
    <row r="311" spans="1:7" x14ac:dyDescent="0.3">
      <c r="A311">
        <v>45500</v>
      </c>
      <c r="B311" t="s">
        <v>19</v>
      </c>
      <c r="C311" t="s">
        <v>20</v>
      </c>
      <c r="D311" t="s">
        <v>21</v>
      </c>
      <c r="E311">
        <v>500</v>
      </c>
      <c r="F311" t="s">
        <v>32</v>
      </c>
      <c r="G311" t="s">
        <v>47</v>
      </c>
    </row>
    <row r="312" spans="1:7" x14ac:dyDescent="0.3">
      <c r="A312">
        <v>45500</v>
      </c>
      <c r="B312" t="s">
        <v>19</v>
      </c>
      <c r="C312" t="s">
        <v>20</v>
      </c>
      <c r="D312" t="s">
        <v>21</v>
      </c>
      <c r="E312">
        <v>500</v>
      </c>
      <c r="F312" t="s">
        <v>32</v>
      </c>
      <c r="G312" t="s">
        <v>47</v>
      </c>
    </row>
    <row r="313" spans="1:7" x14ac:dyDescent="0.3">
      <c r="A313">
        <v>45510</v>
      </c>
      <c r="B313" t="s">
        <v>48</v>
      </c>
      <c r="C313" t="s">
        <v>20</v>
      </c>
      <c r="D313" t="s">
        <v>27</v>
      </c>
      <c r="E313">
        <v>1000</v>
      </c>
      <c r="F313" t="s">
        <v>22</v>
      </c>
      <c r="G313" t="s">
        <v>28</v>
      </c>
    </row>
    <row r="314" spans="1:7" x14ac:dyDescent="0.3">
      <c r="A314">
        <v>45502</v>
      </c>
      <c r="B314" t="s">
        <v>40</v>
      </c>
      <c r="C314" t="s">
        <v>20</v>
      </c>
      <c r="D314" t="s">
        <v>31</v>
      </c>
      <c r="E314">
        <v>800</v>
      </c>
      <c r="F314" t="s">
        <v>41</v>
      </c>
      <c r="G314" t="s">
        <v>23</v>
      </c>
    </row>
    <row r="315" spans="1:7" x14ac:dyDescent="0.3">
      <c r="A315">
        <v>45502</v>
      </c>
      <c r="B315" t="s">
        <v>40</v>
      </c>
      <c r="C315" t="s">
        <v>20</v>
      </c>
      <c r="D315" t="s">
        <v>31</v>
      </c>
      <c r="E315">
        <v>800</v>
      </c>
      <c r="F315" t="s">
        <v>41</v>
      </c>
      <c r="G315" t="s">
        <v>23</v>
      </c>
    </row>
    <row r="316" spans="1:7" x14ac:dyDescent="0.3">
      <c r="A316">
        <v>45503</v>
      </c>
      <c r="B316" t="s">
        <v>43</v>
      </c>
      <c r="C316" t="s">
        <v>20</v>
      </c>
      <c r="D316" t="s">
        <v>31</v>
      </c>
      <c r="E316">
        <v>500</v>
      </c>
      <c r="F316" t="s">
        <v>44</v>
      </c>
      <c r="G316" t="s">
        <v>45</v>
      </c>
    </row>
    <row r="317" spans="1:7" x14ac:dyDescent="0.3">
      <c r="A317">
        <v>45506</v>
      </c>
      <c r="B317" t="s">
        <v>38</v>
      </c>
      <c r="C317" t="s">
        <v>26</v>
      </c>
      <c r="D317" t="s">
        <v>21</v>
      </c>
      <c r="E317">
        <v>1000</v>
      </c>
      <c r="F317" t="s">
        <v>34</v>
      </c>
      <c r="G317" t="s">
        <v>39</v>
      </c>
    </row>
    <row r="318" spans="1:7" x14ac:dyDescent="0.3">
      <c r="A318">
        <v>45513</v>
      </c>
      <c r="B318" t="s">
        <v>19</v>
      </c>
      <c r="C318" t="s">
        <v>20</v>
      </c>
      <c r="D318" t="s">
        <v>21</v>
      </c>
      <c r="E318">
        <v>1000</v>
      </c>
      <c r="F318" t="s">
        <v>22</v>
      </c>
      <c r="G318" t="s">
        <v>23</v>
      </c>
    </row>
    <row r="319" spans="1:7" x14ac:dyDescent="0.3">
      <c r="A319">
        <v>45509</v>
      </c>
      <c r="B319" t="s">
        <v>30</v>
      </c>
      <c r="C319" t="s">
        <v>26</v>
      </c>
      <c r="D319" t="s">
        <v>31</v>
      </c>
      <c r="E319">
        <v>500</v>
      </c>
      <c r="F319" t="s">
        <v>32</v>
      </c>
      <c r="G319" t="s">
        <v>23</v>
      </c>
    </row>
    <row r="320" spans="1:7" x14ac:dyDescent="0.3">
      <c r="A320">
        <v>45505</v>
      </c>
      <c r="B320" t="s">
        <v>49</v>
      </c>
      <c r="C320" t="s">
        <v>20</v>
      </c>
      <c r="D320" t="s">
        <v>31</v>
      </c>
      <c r="E320">
        <v>800</v>
      </c>
      <c r="F320" t="s">
        <v>41</v>
      </c>
      <c r="G320" t="s">
        <v>39</v>
      </c>
    </row>
    <row r="321" spans="1:7" x14ac:dyDescent="0.3">
      <c r="A321">
        <v>45509</v>
      </c>
      <c r="B321" t="s">
        <v>30</v>
      </c>
      <c r="C321" t="s">
        <v>26</v>
      </c>
      <c r="D321" t="s">
        <v>31</v>
      </c>
      <c r="E321">
        <v>500</v>
      </c>
      <c r="F321" t="s">
        <v>32</v>
      </c>
      <c r="G321" t="s">
        <v>23</v>
      </c>
    </row>
    <row r="322" spans="1:7" x14ac:dyDescent="0.3">
      <c r="A322">
        <v>45514</v>
      </c>
      <c r="B322" t="s">
        <v>43</v>
      </c>
      <c r="C322" t="s">
        <v>20</v>
      </c>
      <c r="D322" t="s">
        <v>31</v>
      </c>
      <c r="E322">
        <v>1000</v>
      </c>
      <c r="F322" t="s">
        <v>41</v>
      </c>
      <c r="G322" t="s">
        <v>47</v>
      </c>
    </row>
    <row r="323" spans="1:7" x14ac:dyDescent="0.3">
      <c r="A323">
        <v>45508</v>
      </c>
      <c r="B323" t="s">
        <v>42</v>
      </c>
      <c r="C323" t="s">
        <v>20</v>
      </c>
      <c r="D323" t="s">
        <v>31</v>
      </c>
      <c r="E323">
        <v>1000</v>
      </c>
      <c r="F323" t="s">
        <v>22</v>
      </c>
      <c r="G323" t="s">
        <v>28</v>
      </c>
    </row>
    <row r="324" spans="1:7" x14ac:dyDescent="0.3">
      <c r="A324">
        <v>45507</v>
      </c>
      <c r="B324" t="s">
        <v>33</v>
      </c>
      <c r="C324" t="s">
        <v>26</v>
      </c>
      <c r="D324" t="s">
        <v>21</v>
      </c>
      <c r="E324">
        <v>1000</v>
      </c>
      <c r="F324" t="s">
        <v>34</v>
      </c>
      <c r="G324" t="s">
        <v>35</v>
      </c>
    </row>
    <row r="325" spans="1:7" x14ac:dyDescent="0.3">
      <c r="A325">
        <v>45503</v>
      </c>
      <c r="B325" t="s">
        <v>43</v>
      </c>
      <c r="C325" t="s">
        <v>20</v>
      </c>
      <c r="D325" t="s">
        <v>31</v>
      </c>
      <c r="E325">
        <v>500</v>
      </c>
      <c r="F325" t="s">
        <v>44</v>
      </c>
      <c r="G325" t="s">
        <v>45</v>
      </c>
    </row>
    <row r="326" spans="1:7" x14ac:dyDescent="0.3">
      <c r="A326">
        <v>45512</v>
      </c>
      <c r="B326" t="s">
        <v>36</v>
      </c>
      <c r="C326" t="s">
        <v>26</v>
      </c>
      <c r="D326" t="s">
        <v>21</v>
      </c>
      <c r="E326">
        <v>1000</v>
      </c>
      <c r="F326" t="s">
        <v>37</v>
      </c>
      <c r="G326" t="s">
        <v>28</v>
      </c>
    </row>
    <row r="327" spans="1:7" x14ac:dyDescent="0.3">
      <c r="A327">
        <v>45505</v>
      </c>
      <c r="B327" t="s">
        <v>49</v>
      </c>
      <c r="C327" t="s">
        <v>20</v>
      </c>
      <c r="D327" t="s">
        <v>31</v>
      </c>
      <c r="E327">
        <v>800</v>
      </c>
      <c r="F327" t="s">
        <v>41</v>
      </c>
      <c r="G327" t="s">
        <v>39</v>
      </c>
    </row>
    <row r="328" spans="1:7" x14ac:dyDescent="0.3">
      <c r="A328">
        <v>45508</v>
      </c>
      <c r="B328" t="s">
        <v>42</v>
      </c>
      <c r="C328" t="s">
        <v>20</v>
      </c>
      <c r="D328" t="s">
        <v>31</v>
      </c>
      <c r="E328">
        <v>1000</v>
      </c>
      <c r="F328" t="s">
        <v>22</v>
      </c>
      <c r="G328" t="s">
        <v>28</v>
      </c>
    </row>
    <row r="329" spans="1:7" x14ac:dyDescent="0.3">
      <c r="A329">
        <v>45505</v>
      </c>
      <c r="B329" t="s">
        <v>49</v>
      </c>
      <c r="C329" t="s">
        <v>20</v>
      </c>
      <c r="D329" t="s">
        <v>31</v>
      </c>
      <c r="E329">
        <v>800</v>
      </c>
      <c r="F329" t="s">
        <v>41</v>
      </c>
      <c r="G329" t="s">
        <v>39</v>
      </c>
    </row>
    <row r="330" spans="1:7" x14ac:dyDescent="0.3">
      <c r="A330">
        <v>45506</v>
      </c>
      <c r="B330" t="s">
        <v>38</v>
      </c>
      <c r="C330" t="s">
        <v>26</v>
      </c>
      <c r="D330" t="s">
        <v>21</v>
      </c>
      <c r="E330">
        <v>1000</v>
      </c>
      <c r="F330" t="s">
        <v>34</v>
      </c>
      <c r="G330" t="s">
        <v>39</v>
      </c>
    </row>
    <row r="331" spans="1:7" x14ac:dyDescent="0.3">
      <c r="A331">
        <v>45504</v>
      </c>
      <c r="B331" t="s">
        <v>29</v>
      </c>
      <c r="C331" t="s">
        <v>26</v>
      </c>
      <c r="D331" t="s">
        <v>27</v>
      </c>
      <c r="E331">
        <v>1000</v>
      </c>
      <c r="F331" t="s">
        <v>22</v>
      </c>
      <c r="G331" t="s">
        <v>28</v>
      </c>
    </row>
    <row r="332" spans="1:7" x14ac:dyDescent="0.3">
      <c r="A332">
        <v>45509</v>
      </c>
      <c r="B332" t="s">
        <v>30</v>
      </c>
      <c r="C332" t="s">
        <v>26</v>
      </c>
      <c r="D332" t="s">
        <v>31</v>
      </c>
      <c r="E332">
        <v>500</v>
      </c>
      <c r="F332" t="s">
        <v>32</v>
      </c>
      <c r="G332" t="s">
        <v>23</v>
      </c>
    </row>
    <row r="333" spans="1:7" x14ac:dyDescent="0.3">
      <c r="A333">
        <v>45503</v>
      </c>
      <c r="B333" t="s">
        <v>43</v>
      </c>
      <c r="C333" t="s">
        <v>20</v>
      </c>
      <c r="D333" t="s">
        <v>31</v>
      </c>
      <c r="E333">
        <v>500</v>
      </c>
      <c r="F333" t="s">
        <v>44</v>
      </c>
      <c r="G333" t="s">
        <v>45</v>
      </c>
    </row>
    <row r="334" spans="1:7" x14ac:dyDescent="0.3">
      <c r="A334">
        <v>45507</v>
      </c>
      <c r="B334" t="s">
        <v>33</v>
      </c>
      <c r="C334" t="s">
        <v>26</v>
      </c>
      <c r="D334" t="s">
        <v>21</v>
      </c>
      <c r="E334">
        <v>1000</v>
      </c>
      <c r="F334" t="s">
        <v>34</v>
      </c>
      <c r="G334" t="s">
        <v>35</v>
      </c>
    </row>
    <row r="335" spans="1:7" x14ac:dyDescent="0.3">
      <c r="A335">
        <v>45506</v>
      </c>
      <c r="B335" t="s">
        <v>38</v>
      </c>
      <c r="C335" t="s">
        <v>26</v>
      </c>
      <c r="D335" t="s">
        <v>21</v>
      </c>
      <c r="E335">
        <v>1000</v>
      </c>
      <c r="F335" t="s">
        <v>34</v>
      </c>
      <c r="G335" t="s">
        <v>39</v>
      </c>
    </row>
    <row r="336" spans="1:7" x14ac:dyDescent="0.3">
      <c r="A336">
        <v>45503</v>
      </c>
      <c r="B336" t="s">
        <v>43</v>
      </c>
      <c r="C336" t="s">
        <v>20</v>
      </c>
      <c r="D336" t="s">
        <v>31</v>
      </c>
      <c r="E336">
        <v>500</v>
      </c>
      <c r="F336" t="s">
        <v>44</v>
      </c>
      <c r="G336" t="s">
        <v>45</v>
      </c>
    </row>
    <row r="337" spans="1:7" x14ac:dyDescent="0.3">
      <c r="A337">
        <v>45503</v>
      </c>
      <c r="B337" t="s">
        <v>43</v>
      </c>
      <c r="C337" t="s">
        <v>20</v>
      </c>
      <c r="D337" t="s">
        <v>31</v>
      </c>
      <c r="E337">
        <v>500</v>
      </c>
      <c r="F337" t="s">
        <v>44</v>
      </c>
      <c r="G337" t="s">
        <v>45</v>
      </c>
    </row>
    <row r="338" spans="1:7" x14ac:dyDescent="0.3">
      <c r="A338">
        <v>45500</v>
      </c>
      <c r="B338" t="s">
        <v>19</v>
      </c>
      <c r="C338" t="s">
        <v>20</v>
      </c>
      <c r="D338" t="s">
        <v>21</v>
      </c>
      <c r="E338">
        <v>500</v>
      </c>
      <c r="F338" t="s">
        <v>32</v>
      </c>
      <c r="G338" t="s">
        <v>47</v>
      </c>
    </row>
    <row r="339" spans="1:7" x14ac:dyDescent="0.3">
      <c r="A339">
        <v>45510</v>
      </c>
      <c r="B339" t="s">
        <v>48</v>
      </c>
      <c r="C339" t="s">
        <v>20</v>
      </c>
      <c r="D339" t="s">
        <v>27</v>
      </c>
      <c r="E339">
        <v>1000</v>
      </c>
      <c r="F339" t="s">
        <v>22</v>
      </c>
      <c r="G339" t="s">
        <v>28</v>
      </c>
    </row>
    <row r="340" spans="1:7" x14ac:dyDescent="0.3">
      <c r="A340">
        <v>45503</v>
      </c>
      <c r="B340" t="s">
        <v>43</v>
      </c>
      <c r="C340" t="s">
        <v>20</v>
      </c>
      <c r="D340" t="s">
        <v>31</v>
      </c>
      <c r="E340">
        <v>500</v>
      </c>
      <c r="F340" t="s">
        <v>44</v>
      </c>
      <c r="G340" t="s">
        <v>45</v>
      </c>
    </row>
    <row r="341" spans="1:7" x14ac:dyDescent="0.3">
      <c r="A341">
        <v>45511</v>
      </c>
      <c r="B341" t="s">
        <v>46</v>
      </c>
      <c r="C341" t="s">
        <v>20</v>
      </c>
      <c r="D341" t="s">
        <v>27</v>
      </c>
      <c r="E341">
        <v>1000</v>
      </c>
      <c r="F341" t="s">
        <v>22</v>
      </c>
      <c r="G341" t="s">
        <v>28</v>
      </c>
    </row>
    <row r="342" spans="1:7" x14ac:dyDescent="0.3">
      <c r="A342">
        <v>45507</v>
      </c>
      <c r="B342" t="s">
        <v>33</v>
      </c>
      <c r="C342" t="s">
        <v>26</v>
      </c>
      <c r="D342" t="s">
        <v>21</v>
      </c>
      <c r="E342">
        <v>1000</v>
      </c>
      <c r="F342" t="s">
        <v>34</v>
      </c>
      <c r="G342" t="s">
        <v>35</v>
      </c>
    </row>
    <row r="343" spans="1:7" x14ac:dyDescent="0.3">
      <c r="A343">
        <v>45500</v>
      </c>
      <c r="B343" t="s">
        <v>19</v>
      </c>
      <c r="C343" t="s">
        <v>20</v>
      </c>
      <c r="D343" t="s">
        <v>21</v>
      </c>
      <c r="E343">
        <v>500</v>
      </c>
      <c r="F343" t="s">
        <v>32</v>
      </c>
      <c r="G343" t="s">
        <v>47</v>
      </c>
    </row>
    <row r="344" spans="1:7" x14ac:dyDescent="0.3">
      <c r="A344">
        <v>45510</v>
      </c>
      <c r="B344" t="s">
        <v>48</v>
      </c>
      <c r="C344" t="s">
        <v>20</v>
      </c>
      <c r="D344" t="s">
        <v>27</v>
      </c>
      <c r="E344">
        <v>1000</v>
      </c>
      <c r="F344" t="s">
        <v>22</v>
      </c>
      <c r="G344" t="s">
        <v>28</v>
      </c>
    </row>
    <row r="345" spans="1:7" x14ac:dyDescent="0.3">
      <c r="A345">
        <v>45503</v>
      </c>
      <c r="B345" t="s">
        <v>43</v>
      </c>
      <c r="C345" t="s">
        <v>20</v>
      </c>
      <c r="D345" t="s">
        <v>31</v>
      </c>
      <c r="E345">
        <v>500</v>
      </c>
      <c r="F345" t="s">
        <v>44</v>
      </c>
      <c r="G345" t="s">
        <v>45</v>
      </c>
    </row>
    <row r="346" spans="1:7" x14ac:dyDescent="0.3">
      <c r="A346">
        <v>45514</v>
      </c>
      <c r="B346" t="s">
        <v>43</v>
      </c>
      <c r="C346" t="s">
        <v>20</v>
      </c>
      <c r="D346" t="s">
        <v>31</v>
      </c>
      <c r="E346">
        <v>1000</v>
      </c>
      <c r="F346" t="s">
        <v>41</v>
      </c>
      <c r="G346" t="s">
        <v>47</v>
      </c>
    </row>
    <row r="347" spans="1:7" x14ac:dyDescent="0.3">
      <c r="A347">
        <v>45509</v>
      </c>
      <c r="B347" t="s">
        <v>30</v>
      </c>
      <c r="C347" t="s">
        <v>26</v>
      </c>
      <c r="D347" t="s">
        <v>31</v>
      </c>
      <c r="E347">
        <v>500</v>
      </c>
      <c r="F347" t="s">
        <v>32</v>
      </c>
      <c r="G347" t="s">
        <v>23</v>
      </c>
    </row>
    <row r="348" spans="1:7" x14ac:dyDescent="0.3">
      <c r="A348">
        <v>45504</v>
      </c>
      <c r="B348" t="s">
        <v>29</v>
      </c>
      <c r="C348" t="s">
        <v>26</v>
      </c>
      <c r="D348" t="s">
        <v>27</v>
      </c>
      <c r="E348">
        <v>1000</v>
      </c>
      <c r="F348" t="s">
        <v>22</v>
      </c>
      <c r="G348" t="s">
        <v>28</v>
      </c>
    </row>
    <row r="349" spans="1:7" x14ac:dyDescent="0.3">
      <c r="A349">
        <v>45500</v>
      </c>
      <c r="B349" t="s">
        <v>19</v>
      </c>
      <c r="C349" t="s">
        <v>20</v>
      </c>
      <c r="D349" t="s">
        <v>21</v>
      </c>
      <c r="E349">
        <v>500</v>
      </c>
      <c r="F349" t="s">
        <v>32</v>
      </c>
      <c r="G349" t="s">
        <v>47</v>
      </c>
    </row>
    <row r="350" spans="1:7" x14ac:dyDescent="0.3">
      <c r="A350">
        <v>45505</v>
      </c>
      <c r="B350" t="s">
        <v>49</v>
      </c>
      <c r="C350" t="s">
        <v>20</v>
      </c>
      <c r="D350" t="s">
        <v>31</v>
      </c>
      <c r="E350">
        <v>800</v>
      </c>
      <c r="F350" t="s">
        <v>41</v>
      </c>
      <c r="G350" t="s">
        <v>39</v>
      </c>
    </row>
    <row r="351" spans="1:7" x14ac:dyDescent="0.3">
      <c r="A351">
        <v>45503</v>
      </c>
      <c r="B351" t="s">
        <v>43</v>
      </c>
      <c r="C351" t="s">
        <v>20</v>
      </c>
      <c r="D351" t="s">
        <v>31</v>
      </c>
      <c r="E351">
        <v>500</v>
      </c>
      <c r="F351" t="s">
        <v>44</v>
      </c>
      <c r="G351" t="s">
        <v>45</v>
      </c>
    </row>
    <row r="352" spans="1:7" x14ac:dyDescent="0.3">
      <c r="A352">
        <v>45508</v>
      </c>
      <c r="B352" t="s">
        <v>42</v>
      </c>
      <c r="C352" t="s">
        <v>20</v>
      </c>
      <c r="D352" t="s">
        <v>31</v>
      </c>
      <c r="E352">
        <v>1000</v>
      </c>
      <c r="F352" t="s">
        <v>22</v>
      </c>
      <c r="G352" t="s">
        <v>28</v>
      </c>
    </row>
    <row r="353" spans="1:7" x14ac:dyDescent="0.3">
      <c r="A353">
        <v>45508</v>
      </c>
      <c r="B353" t="s">
        <v>42</v>
      </c>
      <c r="C353" t="s">
        <v>20</v>
      </c>
      <c r="D353" t="s">
        <v>31</v>
      </c>
      <c r="E353">
        <v>1000</v>
      </c>
      <c r="F353" t="s">
        <v>22</v>
      </c>
      <c r="G353" t="s">
        <v>28</v>
      </c>
    </row>
    <row r="354" spans="1:7" x14ac:dyDescent="0.3">
      <c r="A354">
        <v>45504</v>
      </c>
      <c r="B354" t="s">
        <v>29</v>
      </c>
      <c r="C354" t="s">
        <v>26</v>
      </c>
      <c r="D354" t="s">
        <v>27</v>
      </c>
      <c r="E354">
        <v>1000</v>
      </c>
      <c r="F354" t="s">
        <v>22</v>
      </c>
      <c r="G354" t="s">
        <v>28</v>
      </c>
    </row>
    <row r="355" spans="1:7" x14ac:dyDescent="0.3">
      <c r="A355">
        <v>45504</v>
      </c>
      <c r="B355" t="s">
        <v>29</v>
      </c>
      <c r="C355" t="s">
        <v>26</v>
      </c>
      <c r="D355" t="s">
        <v>27</v>
      </c>
      <c r="E355">
        <v>1000</v>
      </c>
      <c r="F355" t="s">
        <v>22</v>
      </c>
      <c r="G355" t="s">
        <v>28</v>
      </c>
    </row>
    <row r="356" spans="1:7" x14ac:dyDescent="0.3">
      <c r="A356">
        <v>45510</v>
      </c>
      <c r="B356" t="s">
        <v>48</v>
      </c>
      <c r="C356" t="s">
        <v>20</v>
      </c>
      <c r="D356" t="s">
        <v>27</v>
      </c>
      <c r="E356">
        <v>1000</v>
      </c>
      <c r="F356" t="s">
        <v>22</v>
      </c>
      <c r="G356" t="s">
        <v>28</v>
      </c>
    </row>
    <row r="357" spans="1:7" x14ac:dyDescent="0.3">
      <c r="A357">
        <v>45513</v>
      </c>
      <c r="B357" t="s">
        <v>19</v>
      </c>
      <c r="C357" t="s">
        <v>20</v>
      </c>
      <c r="D357" t="s">
        <v>21</v>
      </c>
      <c r="E357">
        <v>1000</v>
      </c>
      <c r="F357" t="s">
        <v>22</v>
      </c>
      <c r="G357" t="s">
        <v>23</v>
      </c>
    </row>
    <row r="358" spans="1:7" x14ac:dyDescent="0.3">
      <c r="A358">
        <v>45514</v>
      </c>
      <c r="B358" t="s">
        <v>43</v>
      </c>
      <c r="C358" t="s">
        <v>20</v>
      </c>
      <c r="D358" t="s">
        <v>31</v>
      </c>
      <c r="E358">
        <v>1000</v>
      </c>
      <c r="F358" t="s">
        <v>41</v>
      </c>
      <c r="G358" t="s">
        <v>47</v>
      </c>
    </row>
    <row r="359" spans="1:7" x14ac:dyDescent="0.3">
      <c r="A359">
        <v>45507</v>
      </c>
      <c r="B359" t="s">
        <v>33</v>
      </c>
      <c r="C359" t="s">
        <v>26</v>
      </c>
      <c r="D359" t="s">
        <v>21</v>
      </c>
      <c r="E359">
        <v>1000</v>
      </c>
      <c r="F359" t="s">
        <v>34</v>
      </c>
      <c r="G359" t="s">
        <v>35</v>
      </c>
    </row>
    <row r="360" spans="1:7" x14ac:dyDescent="0.3">
      <c r="A360">
        <v>45511</v>
      </c>
      <c r="B360" t="s">
        <v>46</v>
      </c>
      <c r="C360" t="s">
        <v>20</v>
      </c>
      <c r="D360" t="s">
        <v>27</v>
      </c>
      <c r="E360">
        <v>1000</v>
      </c>
      <c r="F360" t="s">
        <v>22</v>
      </c>
      <c r="G360" t="s">
        <v>28</v>
      </c>
    </row>
    <row r="361" spans="1:7" x14ac:dyDescent="0.3">
      <c r="A361">
        <v>45503</v>
      </c>
      <c r="B361" t="s">
        <v>43</v>
      </c>
      <c r="C361" t="s">
        <v>20</v>
      </c>
      <c r="D361" t="s">
        <v>31</v>
      </c>
      <c r="E361">
        <v>500</v>
      </c>
      <c r="F361" t="s">
        <v>44</v>
      </c>
      <c r="G361" t="s">
        <v>45</v>
      </c>
    </row>
    <row r="362" spans="1:7" x14ac:dyDescent="0.3">
      <c r="A362">
        <v>45511</v>
      </c>
      <c r="B362" t="s">
        <v>46</v>
      </c>
      <c r="C362" t="s">
        <v>20</v>
      </c>
      <c r="D362" t="s">
        <v>27</v>
      </c>
      <c r="E362">
        <v>1000</v>
      </c>
      <c r="F362" t="s">
        <v>22</v>
      </c>
      <c r="G362" t="s">
        <v>28</v>
      </c>
    </row>
    <row r="363" spans="1:7" x14ac:dyDescent="0.3">
      <c r="A363">
        <v>45500</v>
      </c>
      <c r="B363" t="s">
        <v>19</v>
      </c>
      <c r="C363" t="s">
        <v>20</v>
      </c>
      <c r="D363" t="s">
        <v>21</v>
      </c>
      <c r="E363">
        <v>500</v>
      </c>
      <c r="F363" t="s">
        <v>32</v>
      </c>
      <c r="G363" t="s">
        <v>47</v>
      </c>
    </row>
    <row r="364" spans="1:7" x14ac:dyDescent="0.3">
      <c r="A364">
        <v>45512</v>
      </c>
      <c r="B364" t="s">
        <v>36</v>
      </c>
      <c r="C364" t="s">
        <v>26</v>
      </c>
      <c r="D364" t="s">
        <v>21</v>
      </c>
      <c r="E364">
        <v>1000</v>
      </c>
      <c r="F364" t="s">
        <v>37</v>
      </c>
      <c r="G364" t="s">
        <v>28</v>
      </c>
    </row>
    <row r="365" spans="1:7" x14ac:dyDescent="0.3">
      <c r="A365">
        <v>45502</v>
      </c>
      <c r="B365" t="s">
        <v>40</v>
      </c>
      <c r="C365" t="s">
        <v>20</v>
      </c>
      <c r="D365" t="s">
        <v>31</v>
      </c>
      <c r="E365">
        <v>800</v>
      </c>
      <c r="F365" t="s">
        <v>41</v>
      </c>
      <c r="G365" t="s">
        <v>23</v>
      </c>
    </row>
    <row r="366" spans="1:7" x14ac:dyDescent="0.3">
      <c r="A366">
        <v>45500</v>
      </c>
      <c r="B366" t="s">
        <v>19</v>
      </c>
      <c r="C366" t="s">
        <v>20</v>
      </c>
      <c r="D366" t="s">
        <v>21</v>
      </c>
      <c r="E366">
        <v>500</v>
      </c>
      <c r="F366" t="s">
        <v>32</v>
      </c>
      <c r="G366" t="s">
        <v>47</v>
      </c>
    </row>
    <row r="367" spans="1:7" x14ac:dyDescent="0.3">
      <c r="A367">
        <v>45513</v>
      </c>
      <c r="B367" t="s">
        <v>19</v>
      </c>
      <c r="C367" t="s">
        <v>20</v>
      </c>
      <c r="D367" t="s">
        <v>21</v>
      </c>
      <c r="E367">
        <v>1000</v>
      </c>
      <c r="F367" t="s">
        <v>22</v>
      </c>
      <c r="G367" t="s">
        <v>23</v>
      </c>
    </row>
    <row r="368" spans="1:7" x14ac:dyDescent="0.3">
      <c r="A368">
        <v>45502</v>
      </c>
      <c r="B368" t="s">
        <v>40</v>
      </c>
      <c r="C368" t="s">
        <v>20</v>
      </c>
      <c r="D368" t="s">
        <v>31</v>
      </c>
      <c r="E368">
        <v>800</v>
      </c>
      <c r="F368" t="s">
        <v>41</v>
      </c>
      <c r="G368" t="s">
        <v>23</v>
      </c>
    </row>
    <row r="369" spans="1:7" x14ac:dyDescent="0.3">
      <c r="A369">
        <v>45500</v>
      </c>
      <c r="B369" t="s">
        <v>19</v>
      </c>
      <c r="C369" t="s">
        <v>20</v>
      </c>
      <c r="D369" t="s">
        <v>21</v>
      </c>
      <c r="E369">
        <v>500</v>
      </c>
      <c r="F369" t="s">
        <v>32</v>
      </c>
      <c r="G369" t="s">
        <v>47</v>
      </c>
    </row>
    <row r="370" spans="1:7" x14ac:dyDescent="0.3">
      <c r="A370">
        <v>45500</v>
      </c>
      <c r="B370" t="s">
        <v>19</v>
      </c>
      <c r="C370" t="s">
        <v>20</v>
      </c>
      <c r="D370" t="s">
        <v>21</v>
      </c>
      <c r="E370">
        <v>500</v>
      </c>
      <c r="F370" t="s">
        <v>32</v>
      </c>
      <c r="G370" t="s">
        <v>47</v>
      </c>
    </row>
    <row r="371" spans="1:7" x14ac:dyDescent="0.3">
      <c r="A371">
        <v>45503</v>
      </c>
      <c r="B371" t="s">
        <v>43</v>
      </c>
      <c r="C371" t="s">
        <v>20</v>
      </c>
      <c r="D371" t="s">
        <v>31</v>
      </c>
      <c r="E371">
        <v>500</v>
      </c>
      <c r="F371" t="s">
        <v>44</v>
      </c>
      <c r="G371" t="s">
        <v>45</v>
      </c>
    </row>
    <row r="372" spans="1:7" x14ac:dyDescent="0.3">
      <c r="A372">
        <v>45507</v>
      </c>
      <c r="B372" t="s">
        <v>33</v>
      </c>
      <c r="C372" t="s">
        <v>26</v>
      </c>
      <c r="D372" t="s">
        <v>21</v>
      </c>
      <c r="E372">
        <v>1000</v>
      </c>
      <c r="F372" t="s">
        <v>34</v>
      </c>
      <c r="G372" t="s">
        <v>35</v>
      </c>
    </row>
    <row r="373" spans="1:7" x14ac:dyDescent="0.3">
      <c r="A373">
        <v>45512</v>
      </c>
      <c r="B373" t="s">
        <v>36</v>
      </c>
      <c r="C373" t="s">
        <v>26</v>
      </c>
      <c r="D373" t="s">
        <v>21</v>
      </c>
      <c r="E373">
        <v>1000</v>
      </c>
      <c r="F373" t="s">
        <v>37</v>
      </c>
      <c r="G373" t="s">
        <v>28</v>
      </c>
    </row>
    <row r="374" spans="1:7" x14ac:dyDescent="0.3">
      <c r="A374">
        <v>45502</v>
      </c>
      <c r="B374" t="s">
        <v>40</v>
      </c>
      <c r="C374" t="s">
        <v>20</v>
      </c>
      <c r="D374" t="s">
        <v>31</v>
      </c>
      <c r="E374">
        <v>800</v>
      </c>
      <c r="F374" t="s">
        <v>41</v>
      </c>
      <c r="G374" t="s">
        <v>23</v>
      </c>
    </row>
    <row r="375" spans="1:7" x14ac:dyDescent="0.3">
      <c r="A375">
        <v>45513</v>
      </c>
      <c r="B375" t="s">
        <v>19</v>
      </c>
      <c r="C375" t="s">
        <v>20</v>
      </c>
      <c r="D375" t="s">
        <v>21</v>
      </c>
      <c r="E375">
        <v>1000</v>
      </c>
      <c r="F375" t="s">
        <v>22</v>
      </c>
      <c r="G375" t="s">
        <v>23</v>
      </c>
    </row>
    <row r="376" spans="1:7" x14ac:dyDescent="0.3">
      <c r="A376">
        <v>45506</v>
      </c>
      <c r="B376" t="s">
        <v>38</v>
      </c>
      <c r="C376" t="s">
        <v>26</v>
      </c>
      <c r="D376" t="s">
        <v>21</v>
      </c>
      <c r="E376">
        <v>1000</v>
      </c>
      <c r="F376" t="s">
        <v>34</v>
      </c>
      <c r="G376" t="s">
        <v>39</v>
      </c>
    </row>
    <row r="377" spans="1:7" x14ac:dyDescent="0.3">
      <c r="A377">
        <v>45505</v>
      </c>
      <c r="B377" t="s">
        <v>49</v>
      </c>
      <c r="C377" t="s">
        <v>20</v>
      </c>
      <c r="D377" t="s">
        <v>31</v>
      </c>
      <c r="E377">
        <v>800</v>
      </c>
      <c r="F377" t="s">
        <v>41</v>
      </c>
      <c r="G377" t="s">
        <v>39</v>
      </c>
    </row>
    <row r="378" spans="1:7" x14ac:dyDescent="0.3">
      <c r="A378">
        <v>45509</v>
      </c>
      <c r="B378" t="s">
        <v>30</v>
      </c>
      <c r="C378" t="s">
        <v>26</v>
      </c>
      <c r="D378" t="s">
        <v>31</v>
      </c>
      <c r="E378">
        <v>500</v>
      </c>
      <c r="F378" t="s">
        <v>32</v>
      </c>
      <c r="G378" t="s">
        <v>23</v>
      </c>
    </row>
    <row r="379" spans="1:7" x14ac:dyDescent="0.3">
      <c r="A379">
        <v>45507</v>
      </c>
      <c r="B379" t="s">
        <v>33</v>
      </c>
      <c r="C379" t="s">
        <v>26</v>
      </c>
      <c r="D379" t="s">
        <v>21</v>
      </c>
      <c r="E379">
        <v>1000</v>
      </c>
      <c r="F379" t="s">
        <v>34</v>
      </c>
      <c r="G379" t="s">
        <v>35</v>
      </c>
    </row>
    <row r="380" spans="1:7" x14ac:dyDescent="0.3">
      <c r="A380">
        <v>45507</v>
      </c>
      <c r="B380" t="s">
        <v>33</v>
      </c>
      <c r="C380" t="s">
        <v>26</v>
      </c>
      <c r="D380" t="s">
        <v>21</v>
      </c>
      <c r="E380">
        <v>1000</v>
      </c>
      <c r="F380" t="s">
        <v>34</v>
      </c>
      <c r="G380" t="s">
        <v>35</v>
      </c>
    </row>
    <row r="381" spans="1:7" x14ac:dyDescent="0.3">
      <c r="A381">
        <v>45502</v>
      </c>
      <c r="B381" t="s">
        <v>40</v>
      </c>
      <c r="C381" t="s">
        <v>20</v>
      </c>
      <c r="D381" t="s">
        <v>31</v>
      </c>
      <c r="E381">
        <v>800</v>
      </c>
      <c r="F381" t="s">
        <v>41</v>
      </c>
      <c r="G381" t="s">
        <v>23</v>
      </c>
    </row>
    <row r="382" spans="1:7" x14ac:dyDescent="0.3">
      <c r="A382">
        <v>45513</v>
      </c>
      <c r="B382" t="s">
        <v>19</v>
      </c>
      <c r="C382" t="s">
        <v>20</v>
      </c>
      <c r="D382" t="s">
        <v>21</v>
      </c>
      <c r="E382">
        <v>1000</v>
      </c>
      <c r="F382" t="s">
        <v>22</v>
      </c>
      <c r="G382" t="s">
        <v>23</v>
      </c>
    </row>
    <row r="383" spans="1:7" x14ac:dyDescent="0.3">
      <c r="A383">
        <v>45501</v>
      </c>
      <c r="B383" t="s">
        <v>25</v>
      </c>
      <c r="C383" t="s">
        <v>26</v>
      </c>
      <c r="D383" t="s">
        <v>27</v>
      </c>
      <c r="E383">
        <v>1000</v>
      </c>
      <c r="F383" t="s">
        <v>22</v>
      </c>
      <c r="G383" t="s">
        <v>28</v>
      </c>
    </row>
    <row r="384" spans="1:7" x14ac:dyDescent="0.3">
      <c r="A384">
        <v>45513</v>
      </c>
      <c r="B384" t="s">
        <v>19</v>
      </c>
      <c r="C384" t="s">
        <v>20</v>
      </c>
      <c r="D384" t="s">
        <v>21</v>
      </c>
      <c r="E384">
        <v>1000</v>
      </c>
      <c r="F384" t="s">
        <v>22</v>
      </c>
      <c r="G384" t="s">
        <v>23</v>
      </c>
    </row>
    <row r="385" spans="1:7" x14ac:dyDescent="0.3">
      <c r="A385">
        <v>45509</v>
      </c>
      <c r="B385" t="s">
        <v>30</v>
      </c>
      <c r="C385" t="s">
        <v>26</v>
      </c>
      <c r="D385" t="s">
        <v>31</v>
      </c>
      <c r="E385">
        <v>500</v>
      </c>
      <c r="F385" t="s">
        <v>32</v>
      </c>
      <c r="G385" t="s">
        <v>23</v>
      </c>
    </row>
    <row r="386" spans="1:7" x14ac:dyDescent="0.3">
      <c r="A386">
        <v>45506</v>
      </c>
      <c r="B386" t="s">
        <v>38</v>
      </c>
      <c r="C386" t="s">
        <v>26</v>
      </c>
      <c r="D386" t="s">
        <v>21</v>
      </c>
      <c r="E386">
        <v>1000</v>
      </c>
      <c r="F386" t="s">
        <v>34</v>
      </c>
      <c r="G386" t="s">
        <v>39</v>
      </c>
    </row>
    <row r="387" spans="1:7" x14ac:dyDescent="0.3">
      <c r="A387">
        <v>45505</v>
      </c>
      <c r="B387" t="s">
        <v>49</v>
      </c>
      <c r="C387" t="s">
        <v>20</v>
      </c>
      <c r="D387" t="s">
        <v>31</v>
      </c>
      <c r="E387">
        <v>800</v>
      </c>
      <c r="F387" t="s">
        <v>41</v>
      </c>
      <c r="G387" t="s">
        <v>39</v>
      </c>
    </row>
    <row r="388" spans="1:7" x14ac:dyDescent="0.3">
      <c r="A388">
        <v>45504</v>
      </c>
      <c r="B388" t="s">
        <v>29</v>
      </c>
      <c r="C388" t="s">
        <v>26</v>
      </c>
      <c r="D388" t="s">
        <v>27</v>
      </c>
      <c r="E388">
        <v>1000</v>
      </c>
      <c r="F388" t="s">
        <v>22</v>
      </c>
      <c r="G388" t="s">
        <v>28</v>
      </c>
    </row>
    <row r="389" spans="1:7" x14ac:dyDescent="0.3">
      <c r="A389">
        <v>45514</v>
      </c>
      <c r="B389" t="s">
        <v>43</v>
      </c>
      <c r="C389" t="s">
        <v>20</v>
      </c>
      <c r="D389" t="s">
        <v>31</v>
      </c>
      <c r="E389">
        <v>1000</v>
      </c>
      <c r="F389" t="s">
        <v>41</v>
      </c>
      <c r="G389" t="s">
        <v>47</v>
      </c>
    </row>
    <row r="390" spans="1:7" x14ac:dyDescent="0.3">
      <c r="A390">
        <v>45500</v>
      </c>
      <c r="B390" t="s">
        <v>19</v>
      </c>
      <c r="C390" t="s">
        <v>20</v>
      </c>
      <c r="D390" t="s">
        <v>21</v>
      </c>
      <c r="E390">
        <v>500</v>
      </c>
      <c r="F390" t="s">
        <v>32</v>
      </c>
      <c r="G390" t="s">
        <v>47</v>
      </c>
    </row>
    <row r="391" spans="1:7" x14ac:dyDescent="0.3">
      <c r="A391">
        <v>45505</v>
      </c>
      <c r="B391" t="s">
        <v>49</v>
      </c>
      <c r="C391" t="s">
        <v>20</v>
      </c>
      <c r="D391" t="s">
        <v>31</v>
      </c>
      <c r="E391">
        <v>800</v>
      </c>
      <c r="F391" t="s">
        <v>41</v>
      </c>
      <c r="G391" t="s">
        <v>39</v>
      </c>
    </row>
    <row r="392" spans="1:7" x14ac:dyDescent="0.3">
      <c r="A392">
        <v>45504</v>
      </c>
      <c r="B392" t="s">
        <v>29</v>
      </c>
      <c r="C392" t="s">
        <v>26</v>
      </c>
      <c r="D392" t="s">
        <v>27</v>
      </c>
      <c r="E392">
        <v>1000</v>
      </c>
      <c r="F392" t="s">
        <v>22</v>
      </c>
      <c r="G392" t="s">
        <v>28</v>
      </c>
    </row>
    <row r="393" spans="1:7" x14ac:dyDescent="0.3">
      <c r="A393">
        <v>45514</v>
      </c>
      <c r="B393" t="s">
        <v>43</v>
      </c>
      <c r="C393" t="s">
        <v>20</v>
      </c>
      <c r="D393" t="s">
        <v>31</v>
      </c>
      <c r="E393">
        <v>1000</v>
      </c>
      <c r="F393" t="s">
        <v>41</v>
      </c>
      <c r="G393" t="s">
        <v>47</v>
      </c>
    </row>
    <row r="394" spans="1:7" x14ac:dyDescent="0.3">
      <c r="A394">
        <v>45503</v>
      </c>
      <c r="B394" t="s">
        <v>43</v>
      </c>
      <c r="C394" t="s">
        <v>20</v>
      </c>
      <c r="D394" t="s">
        <v>31</v>
      </c>
      <c r="E394">
        <v>500</v>
      </c>
      <c r="F394" t="s">
        <v>44</v>
      </c>
      <c r="G394" t="s">
        <v>45</v>
      </c>
    </row>
    <row r="395" spans="1:7" x14ac:dyDescent="0.3">
      <c r="A395">
        <v>45514</v>
      </c>
      <c r="B395" t="s">
        <v>43</v>
      </c>
      <c r="C395" t="s">
        <v>20</v>
      </c>
      <c r="D395" t="s">
        <v>31</v>
      </c>
      <c r="E395">
        <v>1000</v>
      </c>
      <c r="F395" t="s">
        <v>41</v>
      </c>
      <c r="G395" t="s">
        <v>47</v>
      </c>
    </row>
    <row r="396" spans="1:7" x14ac:dyDescent="0.3">
      <c r="A396">
        <v>45514</v>
      </c>
      <c r="B396" t="s">
        <v>43</v>
      </c>
      <c r="C396" t="s">
        <v>20</v>
      </c>
      <c r="D396" t="s">
        <v>31</v>
      </c>
      <c r="E396">
        <v>1000</v>
      </c>
      <c r="F396" t="s">
        <v>41</v>
      </c>
      <c r="G396" t="s">
        <v>47</v>
      </c>
    </row>
    <row r="397" spans="1:7" x14ac:dyDescent="0.3">
      <c r="A397">
        <v>45501</v>
      </c>
      <c r="B397" t="s">
        <v>25</v>
      </c>
      <c r="C397" t="s">
        <v>26</v>
      </c>
      <c r="D397" t="s">
        <v>27</v>
      </c>
      <c r="E397">
        <v>1000</v>
      </c>
      <c r="F397" t="s">
        <v>22</v>
      </c>
      <c r="G397" t="s">
        <v>28</v>
      </c>
    </row>
    <row r="398" spans="1:7" x14ac:dyDescent="0.3">
      <c r="A398">
        <v>45514</v>
      </c>
      <c r="B398" t="s">
        <v>43</v>
      </c>
      <c r="C398" t="s">
        <v>20</v>
      </c>
      <c r="D398" t="s">
        <v>31</v>
      </c>
      <c r="E398">
        <v>1000</v>
      </c>
      <c r="F398" t="s">
        <v>41</v>
      </c>
      <c r="G398" t="s">
        <v>47</v>
      </c>
    </row>
    <row r="399" spans="1:7" x14ac:dyDescent="0.3">
      <c r="A399">
        <v>45505</v>
      </c>
      <c r="B399" t="s">
        <v>49</v>
      </c>
      <c r="C399" t="s">
        <v>20</v>
      </c>
      <c r="D399" t="s">
        <v>31</v>
      </c>
      <c r="E399">
        <v>800</v>
      </c>
      <c r="F399" t="s">
        <v>41</v>
      </c>
      <c r="G399" t="s">
        <v>39</v>
      </c>
    </row>
    <row r="400" spans="1:7" x14ac:dyDescent="0.3">
      <c r="A400">
        <v>45501</v>
      </c>
      <c r="B400" t="s">
        <v>25</v>
      </c>
      <c r="C400" t="s">
        <v>26</v>
      </c>
      <c r="D400" t="s">
        <v>27</v>
      </c>
      <c r="E400">
        <v>1000</v>
      </c>
      <c r="F400" t="s">
        <v>22</v>
      </c>
      <c r="G400" t="s">
        <v>28</v>
      </c>
    </row>
    <row r="401" spans="1:7" x14ac:dyDescent="0.3">
      <c r="A401">
        <v>45511</v>
      </c>
      <c r="B401" t="s">
        <v>46</v>
      </c>
      <c r="C401" t="s">
        <v>20</v>
      </c>
      <c r="D401" t="s">
        <v>27</v>
      </c>
      <c r="E401">
        <v>1000</v>
      </c>
      <c r="F401" t="s">
        <v>22</v>
      </c>
      <c r="G401" t="s">
        <v>28</v>
      </c>
    </row>
    <row r="402" spans="1:7" x14ac:dyDescent="0.3">
      <c r="A402">
        <v>45502</v>
      </c>
      <c r="B402" t="s">
        <v>40</v>
      </c>
      <c r="C402" t="s">
        <v>20</v>
      </c>
      <c r="D402" t="s">
        <v>31</v>
      </c>
      <c r="E402">
        <v>800</v>
      </c>
      <c r="F402" t="s">
        <v>41</v>
      </c>
      <c r="G402" t="s">
        <v>23</v>
      </c>
    </row>
    <row r="403" spans="1:7" x14ac:dyDescent="0.3">
      <c r="A403">
        <v>45507</v>
      </c>
      <c r="B403" t="s">
        <v>33</v>
      </c>
      <c r="C403" t="s">
        <v>26</v>
      </c>
      <c r="D403" t="s">
        <v>21</v>
      </c>
      <c r="E403">
        <v>1000</v>
      </c>
      <c r="F403" t="s">
        <v>34</v>
      </c>
      <c r="G403" t="s">
        <v>35</v>
      </c>
    </row>
    <row r="404" spans="1:7" x14ac:dyDescent="0.3">
      <c r="A404">
        <v>45507</v>
      </c>
      <c r="B404" t="s">
        <v>33</v>
      </c>
      <c r="C404" t="s">
        <v>26</v>
      </c>
      <c r="D404" t="s">
        <v>21</v>
      </c>
      <c r="E404">
        <v>1000</v>
      </c>
      <c r="F404" t="s">
        <v>34</v>
      </c>
      <c r="G404" t="s">
        <v>35</v>
      </c>
    </row>
    <row r="405" spans="1:7" x14ac:dyDescent="0.3">
      <c r="A405">
        <v>45502</v>
      </c>
      <c r="B405" t="s">
        <v>40</v>
      </c>
      <c r="C405" t="s">
        <v>20</v>
      </c>
      <c r="D405" t="s">
        <v>31</v>
      </c>
      <c r="E405">
        <v>800</v>
      </c>
      <c r="F405" t="s">
        <v>41</v>
      </c>
      <c r="G405" t="s">
        <v>23</v>
      </c>
    </row>
    <row r="406" spans="1:7" x14ac:dyDescent="0.3">
      <c r="A406">
        <v>45510</v>
      </c>
      <c r="B406" t="s">
        <v>48</v>
      </c>
      <c r="C406" t="s">
        <v>20</v>
      </c>
      <c r="D406" t="s">
        <v>27</v>
      </c>
      <c r="E406">
        <v>1000</v>
      </c>
      <c r="F406" t="s">
        <v>22</v>
      </c>
      <c r="G406" t="s">
        <v>28</v>
      </c>
    </row>
    <row r="407" spans="1:7" x14ac:dyDescent="0.3">
      <c r="A407">
        <v>45511</v>
      </c>
      <c r="B407" t="s">
        <v>46</v>
      </c>
      <c r="C407" t="s">
        <v>20</v>
      </c>
      <c r="D407" t="s">
        <v>27</v>
      </c>
      <c r="E407">
        <v>1000</v>
      </c>
      <c r="F407" t="s">
        <v>22</v>
      </c>
      <c r="G407" t="s">
        <v>28</v>
      </c>
    </row>
    <row r="408" spans="1:7" x14ac:dyDescent="0.3">
      <c r="A408">
        <v>45506</v>
      </c>
      <c r="B408" t="s">
        <v>38</v>
      </c>
      <c r="C408" t="s">
        <v>26</v>
      </c>
      <c r="D408" t="s">
        <v>21</v>
      </c>
      <c r="E408">
        <v>1000</v>
      </c>
      <c r="F408" t="s">
        <v>34</v>
      </c>
      <c r="G408" t="s">
        <v>39</v>
      </c>
    </row>
    <row r="409" spans="1:7" x14ac:dyDescent="0.3">
      <c r="A409">
        <v>45508</v>
      </c>
      <c r="B409" t="s">
        <v>42</v>
      </c>
      <c r="C409" t="s">
        <v>20</v>
      </c>
      <c r="D409" t="s">
        <v>31</v>
      </c>
      <c r="E409">
        <v>1000</v>
      </c>
      <c r="F409" t="s">
        <v>22</v>
      </c>
      <c r="G409" t="s">
        <v>28</v>
      </c>
    </row>
    <row r="410" spans="1:7" x14ac:dyDescent="0.3">
      <c r="A410">
        <v>45505</v>
      </c>
      <c r="B410" t="s">
        <v>49</v>
      </c>
      <c r="C410" t="s">
        <v>20</v>
      </c>
      <c r="D410" t="s">
        <v>31</v>
      </c>
      <c r="E410">
        <v>800</v>
      </c>
      <c r="F410" t="s">
        <v>41</v>
      </c>
      <c r="G410" t="s">
        <v>39</v>
      </c>
    </row>
    <row r="411" spans="1:7" x14ac:dyDescent="0.3">
      <c r="A411">
        <v>45503</v>
      </c>
      <c r="B411" t="s">
        <v>43</v>
      </c>
      <c r="C411" t="s">
        <v>20</v>
      </c>
      <c r="D411" t="s">
        <v>31</v>
      </c>
      <c r="E411">
        <v>500</v>
      </c>
      <c r="F411" t="s">
        <v>44</v>
      </c>
      <c r="G411" t="s">
        <v>45</v>
      </c>
    </row>
    <row r="412" spans="1:7" x14ac:dyDescent="0.3">
      <c r="A412">
        <v>45507</v>
      </c>
      <c r="B412" t="s">
        <v>33</v>
      </c>
      <c r="C412" t="s">
        <v>26</v>
      </c>
      <c r="D412" t="s">
        <v>21</v>
      </c>
      <c r="E412">
        <v>1000</v>
      </c>
      <c r="F412" t="s">
        <v>34</v>
      </c>
      <c r="G412" t="s">
        <v>35</v>
      </c>
    </row>
    <row r="413" spans="1:7" x14ac:dyDescent="0.3">
      <c r="A413">
        <v>45514</v>
      </c>
      <c r="B413" t="s">
        <v>43</v>
      </c>
      <c r="C413" t="s">
        <v>20</v>
      </c>
      <c r="D413" t="s">
        <v>31</v>
      </c>
      <c r="E413">
        <v>1000</v>
      </c>
      <c r="F413" t="s">
        <v>41</v>
      </c>
      <c r="G413" t="s">
        <v>47</v>
      </c>
    </row>
    <row r="414" spans="1:7" x14ac:dyDescent="0.3">
      <c r="A414">
        <v>45508</v>
      </c>
      <c r="B414" t="s">
        <v>42</v>
      </c>
      <c r="C414" t="s">
        <v>20</v>
      </c>
      <c r="D414" t="s">
        <v>31</v>
      </c>
      <c r="E414">
        <v>1000</v>
      </c>
      <c r="F414" t="s">
        <v>22</v>
      </c>
      <c r="G414" t="s">
        <v>28</v>
      </c>
    </row>
    <row r="415" spans="1:7" x14ac:dyDescent="0.3">
      <c r="A415">
        <v>45507</v>
      </c>
      <c r="B415" t="s">
        <v>33</v>
      </c>
      <c r="C415" t="s">
        <v>26</v>
      </c>
      <c r="D415" t="s">
        <v>21</v>
      </c>
      <c r="E415">
        <v>1000</v>
      </c>
      <c r="F415" t="s">
        <v>34</v>
      </c>
      <c r="G415" t="s">
        <v>35</v>
      </c>
    </row>
    <row r="416" spans="1:7" x14ac:dyDescent="0.3">
      <c r="A416">
        <v>45511</v>
      </c>
      <c r="B416" t="s">
        <v>46</v>
      </c>
      <c r="C416" t="s">
        <v>20</v>
      </c>
      <c r="D416" t="s">
        <v>27</v>
      </c>
      <c r="E416">
        <v>1000</v>
      </c>
      <c r="F416" t="s">
        <v>22</v>
      </c>
      <c r="G416" t="s">
        <v>28</v>
      </c>
    </row>
    <row r="417" spans="1:7" x14ac:dyDescent="0.3">
      <c r="A417">
        <v>45512</v>
      </c>
      <c r="B417" t="s">
        <v>36</v>
      </c>
      <c r="C417" t="s">
        <v>26</v>
      </c>
      <c r="D417" t="s">
        <v>21</v>
      </c>
      <c r="E417">
        <v>1000</v>
      </c>
      <c r="F417" t="s">
        <v>37</v>
      </c>
      <c r="G417" t="s">
        <v>28</v>
      </c>
    </row>
    <row r="418" spans="1:7" x14ac:dyDescent="0.3">
      <c r="A418">
        <v>45504</v>
      </c>
      <c r="B418" t="s">
        <v>29</v>
      </c>
      <c r="C418" t="s">
        <v>26</v>
      </c>
      <c r="D418" t="s">
        <v>27</v>
      </c>
      <c r="E418">
        <v>1000</v>
      </c>
      <c r="F418" t="s">
        <v>22</v>
      </c>
      <c r="G418" t="s">
        <v>28</v>
      </c>
    </row>
    <row r="419" spans="1:7" x14ac:dyDescent="0.3">
      <c r="A419">
        <v>45504</v>
      </c>
      <c r="B419" t="s">
        <v>29</v>
      </c>
      <c r="C419" t="s">
        <v>26</v>
      </c>
      <c r="D419" t="s">
        <v>27</v>
      </c>
      <c r="E419">
        <v>1000</v>
      </c>
      <c r="F419" t="s">
        <v>22</v>
      </c>
      <c r="G419" t="s">
        <v>28</v>
      </c>
    </row>
    <row r="420" spans="1:7" x14ac:dyDescent="0.3">
      <c r="A420">
        <v>45514</v>
      </c>
      <c r="B420" t="s">
        <v>43</v>
      </c>
      <c r="C420" t="s">
        <v>20</v>
      </c>
      <c r="D420" t="s">
        <v>31</v>
      </c>
      <c r="E420">
        <v>1000</v>
      </c>
      <c r="F420" t="s">
        <v>41</v>
      </c>
      <c r="G420" t="s">
        <v>47</v>
      </c>
    </row>
    <row r="421" spans="1:7" x14ac:dyDescent="0.3">
      <c r="A421">
        <v>45504</v>
      </c>
      <c r="B421" t="s">
        <v>29</v>
      </c>
      <c r="C421" t="s">
        <v>26</v>
      </c>
      <c r="D421" t="s">
        <v>27</v>
      </c>
      <c r="E421">
        <v>1000</v>
      </c>
      <c r="F421" t="s">
        <v>22</v>
      </c>
      <c r="G421" t="s">
        <v>28</v>
      </c>
    </row>
    <row r="422" spans="1:7" x14ac:dyDescent="0.3">
      <c r="A422">
        <v>45501</v>
      </c>
      <c r="B422" t="s">
        <v>25</v>
      </c>
      <c r="C422" t="s">
        <v>26</v>
      </c>
      <c r="D422" t="s">
        <v>27</v>
      </c>
      <c r="E422">
        <v>1000</v>
      </c>
      <c r="F422" t="s">
        <v>22</v>
      </c>
      <c r="G422" t="s">
        <v>28</v>
      </c>
    </row>
    <row r="423" spans="1:7" x14ac:dyDescent="0.3">
      <c r="A423">
        <v>45508</v>
      </c>
      <c r="B423" t="s">
        <v>42</v>
      </c>
      <c r="C423" t="s">
        <v>20</v>
      </c>
      <c r="D423" t="s">
        <v>31</v>
      </c>
      <c r="E423">
        <v>1000</v>
      </c>
      <c r="F423" t="s">
        <v>22</v>
      </c>
      <c r="G423" t="s">
        <v>28</v>
      </c>
    </row>
    <row r="424" spans="1:7" x14ac:dyDescent="0.3">
      <c r="A424">
        <v>45506</v>
      </c>
      <c r="B424" t="s">
        <v>38</v>
      </c>
      <c r="C424" t="s">
        <v>26</v>
      </c>
      <c r="D424" t="s">
        <v>21</v>
      </c>
      <c r="E424">
        <v>1000</v>
      </c>
      <c r="F424" t="s">
        <v>34</v>
      </c>
      <c r="G424" t="s">
        <v>39</v>
      </c>
    </row>
    <row r="425" spans="1:7" x14ac:dyDescent="0.3">
      <c r="A425">
        <v>45505</v>
      </c>
      <c r="B425" t="s">
        <v>49</v>
      </c>
      <c r="C425" t="s">
        <v>20</v>
      </c>
      <c r="D425" t="s">
        <v>31</v>
      </c>
      <c r="E425">
        <v>800</v>
      </c>
      <c r="F425" t="s">
        <v>41</v>
      </c>
      <c r="G425" t="s">
        <v>39</v>
      </c>
    </row>
    <row r="426" spans="1:7" x14ac:dyDescent="0.3">
      <c r="A426">
        <v>45511</v>
      </c>
      <c r="B426" t="s">
        <v>46</v>
      </c>
      <c r="C426" t="s">
        <v>20</v>
      </c>
      <c r="D426" t="s">
        <v>27</v>
      </c>
      <c r="E426">
        <v>1000</v>
      </c>
      <c r="F426" t="s">
        <v>22</v>
      </c>
      <c r="G426" t="s">
        <v>28</v>
      </c>
    </row>
    <row r="427" spans="1:7" x14ac:dyDescent="0.3">
      <c r="A427">
        <v>45504</v>
      </c>
      <c r="B427" t="s">
        <v>29</v>
      </c>
      <c r="C427" t="s">
        <v>26</v>
      </c>
      <c r="D427" t="s">
        <v>27</v>
      </c>
      <c r="E427">
        <v>1000</v>
      </c>
      <c r="F427" t="s">
        <v>22</v>
      </c>
      <c r="G427" t="s">
        <v>28</v>
      </c>
    </row>
    <row r="428" spans="1:7" x14ac:dyDescent="0.3">
      <c r="A428">
        <v>45513</v>
      </c>
      <c r="B428" t="s">
        <v>19</v>
      </c>
      <c r="C428" t="s">
        <v>20</v>
      </c>
      <c r="D428" t="s">
        <v>21</v>
      </c>
      <c r="E428">
        <v>1000</v>
      </c>
      <c r="F428" t="s">
        <v>22</v>
      </c>
      <c r="G428" t="s">
        <v>23</v>
      </c>
    </row>
    <row r="429" spans="1:7" x14ac:dyDescent="0.3">
      <c r="A429">
        <v>45510</v>
      </c>
      <c r="B429" t="s">
        <v>48</v>
      </c>
      <c r="C429" t="s">
        <v>20</v>
      </c>
      <c r="D429" t="s">
        <v>27</v>
      </c>
      <c r="E429">
        <v>1000</v>
      </c>
      <c r="F429" t="s">
        <v>22</v>
      </c>
      <c r="G429" t="s">
        <v>28</v>
      </c>
    </row>
    <row r="430" spans="1:7" x14ac:dyDescent="0.3">
      <c r="A430">
        <v>45514</v>
      </c>
      <c r="B430" t="s">
        <v>43</v>
      </c>
      <c r="C430" t="s">
        <v>20</v>
      </c>
      <c r="D430" t="s">
        <v>31</v>
      </c>
      <c r="E430">
        <v>1000</v>
      </c>
      <c r="F430" t="s">
        <v>41</v>
      </c>
      <c r="G430" t="s">
        <v>47</v>
      </c>
    </row>
    <row r="431" spans="1:7" x14ac:dyDescent="0.3">
      <c r="A431">
        <v>45506</v>
      </c>
      <c r="B431" t="s">
        <v>38</v>
      </c>
      <c r="C431" t="s">
        <v>26</v>
      </c>
      <c r="D431" t="s">
        <v>21</v>
      </c>
      <c r="E431">
        <v>1000</v>
      </c>
      <c r="F431" t="s">
        <v>34</v>
      </c>
      <c r="G431" t="s">
        <v>39</v>
      </c>
    </row>
    <row r="432" spans="1:7" x14ac:dyDescent="0.3">
      <c r="A432">
        <v>45513</v>
      </c>
      <c r="B432" t="s">
        <v>19</v>
      </c>
      <c r="C432" t="s">
        <v>20</v>
      </c>
      <c r="D432" t="s">
        <v>21</v>
      </c>
      <c r="E432">
        <v>1000</v>
      </c>
      <c r="F432" t="s">
        <v>22</v>
      </c>
      <c r="G432" t="s">
        <v>23</v>
      </c>
    </row>
    <row r="433" spans="1:7" x14ac:dyDescent="0.3">
      <c r="A433">
        <v>45508</v>
      </c>
      <c r="B433" t="s">
        <v>42</v>
      </c>
      <c r="C433" t="s">
        <v>20</v>
      </c>
      <c r="D433" t="s">
        <v>31</v>
      </c>
      <c r="E433">
        <v>1000</v>
      </c>
      <c r="F433" t="s">
        <v>22</v>
      </c>
      <c r="G433" t="s">
        <v>28</v>
      </c>
    </row>
    <row r="434" spans="1:7" x14ac:dyDescent="0.3">
      <c r="A434">
        <v>45512</v>
      </c>
      <c r="B434" t="s">
        <v>36</v>
      </c>
      <c r="C434" t="s">
        <v>26</v>
      </c>
      <c r="D434" t="s">
        <v>21</v>
      </c>
      <c r="E434">
        <v>1000</v>
      </c>
      <c r="F434" t="s">
        <v>37</v>
      </c>
      <c r="G434" t="s">
        <v>28</v>
      </c>
    </row>
    <row r="435" spans="1:7" x14ac:dyDescent="0.3">
      <c r="A435">
        <v>45507</v>
      </c>
      <c r="B435" t="s">
        <v>33</v>
      </c>
      <c r="C435" t="s">
        <v>26</v>
      </c>
      <c r="D435" t="s">
        <v>21</v>
      </c>
      <c r="E435">
        <v>1000</v>
      </c>
      <c r="F435" t="s">
        <v>34</v>
      </c>
      <c r="G435" t="s">
        <v>35</v>
      </c>
    </row>
    <row r="436" spans="1:7" x14ac:dyDescent="0.3">
      <c r="A436">
        <v>45510</v>
      </c>
      <c r="B436" t="s">
        <v>48</v>
      </c>
      <c r="C436" t="s">
        <v>20</v>
      </c>
      <c r="D436" t="s">
        <v>27</v>
      </c>
      <c r="E436">
        <v>1000</v>
      </c>
      <c r="F436" t="s">
        <v>22</v>
      </c>
      <c r="G436" t="s">
        <v>28</v>
      </c>
    </row>
    <row r="437" spans="1:7" x14ac:dyDescent="0.3">
      <c r="A437">
        <v>45512</v>
      </c>
      <c r="B437" t="s">
        <v>36</v>
      </c>
      <c r="C437" t="s">
        <v>26</v>
      </c>
      <c r="D437" t="s">
        <v>21</v>
      </c>
      <c r="E437">
        <v>1000</v>
      </c>
      <c r="F437" t="s">
        <v>37</v>
      </c>
      <c r="G437" t="s">
        <v>28</v>
      </c>
    </row>
    <row r="438" spans="1:7" x14ac:dyDescent="0.3">
      <c r="A438">
        <v>45514</v>
      </c>
      <c r="B438" t="s">
        <v>43</v>
      </c>
      <c r="C438" t="s">
        <v>20</v>
      </c>
      <c r="D438" t="s">
        <v>31</v>
      </c>
      <c r="E438">
        <v>1000</v>
      </c>
      <c r="F438" t="s">
        <v>41</v>
      </c>
      <c r="G438" t="s">
        <v>47</v>
      </c>
    </row>
    <row r="439" spans="1:7" x14ac:dyDescent="0.3">
      <c r="A439">
        <v>45508</v>
      </c>
      <c r="B439" t="s">
        <v>42</v>
      </c>
      <c r="C439" t="s">
        <v>20</v>
      </c>
      <c r="D439" t="s">
        <v>31</v>
      </c>
      <c r="E439">
        <v>1000</v>
      </c>
      <c r="F439" t="s">
        <v>22</v>
      </c>
      <c r="G439" t="s">
        <v>28</v>
      </c>
    </row>
    <row r="440" spans="1:7" x14ac:dyDescent="0.3">
      <c r="A440">
        <v>45503</v>
      </c>
      <c r="B440" t="s">
        <v>43</v>
      </c>
      <c r="C440" t="s">
        <v>20</v>
      </c>
      <c r="D440" t="s">
        <v>31</v>
      </c>
      <c r="E440">
        <v>500</v>
      </c>
      <c r="F440" t="s">
        <v>44</v>
      </c>
      <c r="G440" t="s">
        <v>45</v>
      </c>
    </row>
    <row r="441" spans="1:7" x14ac:dyDescent="0.3">
      <c r="A441">
        <v>45505</v>
      </c>
      <c r="B441" t="s">
        <v>49</v>
      </c>
      <c r="C441" t="s">
        <v>20</v>
      </c>
      <c r="D441" t="s">
        <v>31</v>
      </c>
      <c r="E441">
        <v>800</v>
      </c>
      <c r="F441" t="s">
        <v>41</v>
      </c>
      <c r="G441" t="s">
        <v>39</v>
      </c>
    </row>
    <row r="442" spans="1:7" x14ac:dyDescent="0.3">
      <c r="A442">
        <v>45505</v>
      </c>
      <c r="B442" t="s">
        <v>49</v>
      </c>
      <c r="C442" t="s">
        <v>20</v>
      </c>
      <c r="D442" t="s">
        <v>31</v>
      </c>
      <c r="E442">
        <v>800</v>
      </c>
      <c r="F442" t="s">
        <v>41</v>
      </c>
      <c r="G442" t="s">
        <v>39</v>
      </c>
    </row>
    <row r="443" spans="1:7" x14ac:dyDescent="0.3">
      <c r="A443">
        <v>45501</v>
      </c>
      <c r="B443" t="s">
        <v>25</v>
      </c>
      <c r="C443" t="s">
        <v>26</v>
      </c>
      <c r="D443" t="s">
        <v>27</v>
      </c>
      <c r="E443">
        <v>1000</v>
      </c>
      <c r="F443" t="s">
        <v>22</v>
      </c>
      <c r="G443" t="s">
        <v>28</v>
      </c>
    </row>
    <row r="444" spans="1:7" x14ac:dyDescent="0.3">
      <c r="A444">
        <v>45511</v>
      </c>
      <c r="B444" t="s">
        <v>46</v>
      </c>
      <c r="C444" t="s">
        <v>20</v>
      </c>
      <c r="D444" t="s">
        <v>27</v>
      </c>
      <c r="E444">
        <v>1000</v>
      </c>
      <c r="F444" t="s">
        <v>22</v>
      </c>
      <c r="G444" t="s">
        <v>28</v>
      </c>
    </row>
    <row r="445" spans="1:7" x14ac:dyDescent="0.3">
      <c r="A445">
        <v>45506</v>
      </c>
      <c r="B445" t="s">
        <v>38</v>
      </c>
      <c r="C445" t="s">
        <v>26</v>
      </c>
      <c r="D445" t="s">
        <v>21</v>
      </c>
      <c r="E445">
        <v>1000</v>
      </c>
      <c r="F445" t="s">
        <v>34</v>
      </c>
      <c r="G445" t="s">
        <v>39</v>
      </c>
    </row>
    <row r="446" spans="1:7" x14ac:dyDescent="0.3">
      <c r="A446">
        <v>45512</v>
      </c>
      <c r="B446" t="s">
        <v>36</v>
      </c>
      <c r="C446" t="s">
        <v>26</v>
      </c>
      <c r="D446" t="s">
        <v>21</v>
      </c>
      <c r="E446">
        <v>1000</v>
      </c>
      <c r="F446" t="s">
        <v>37</v>
      </c>
      <c r="G446" t="s">
        <v>28</v>
      </c>
    </row>
    <row r="447" spans="1:7" x14ac:dyDescent="0.3">
      <c r="A447">
        <v>45503</v>
      </c>
      <c r="B447" t="s">
        <v>43</v>
      </c>
      <c r="C447" t="s">
        <v>20</v>
      </c>
      <c r="D447" t="s">
        <v>31</v>
      </c>
      <c r="E447">
        <v>500</v>
      </c>
      <c r="F447" t="s">
        <v>44</v>
      </c>
      <c r="G447" t="s">
        <v>45</v>
      </c>
    </row>
    <row r="448" spans="1:7" x14ac:dyDescent="0.3">
      <c r="A448">
        <v>45501</v>
      </c>
      <c r="B448" t="s">
        <v>25</v>
      </c>
      <c r="C448" t="s">
        <v>26</v>
      </c>
      <c r="D448" t="s">
        <v>27</v>
      </c>
      <c r="E448">
        <v>1000</v>
      </c>
      <c r="F448" t="s">
        <v>22</v>
      </c>
      <c r="G448" t="s">
        <v>28</v>
      </c>
    </row>
    <row r="449" spans="1:7" x14ac:dyDescent="0.3">
      <c r="A449">
        <v>45511</v>
      </c>
      <c r="B449" t="s">
        <v>46</v>
      </c>
      <c r="C449" t="s">
        <v>20</v>
      </c>
      <c r="D449" t="s">
        <v>27</v>
      </c>
      <c r="E449">
        <v>1000</v>
      </c>
      <c r="F449" t="s">
        <v>22</v>
      </c>
      <c r="G449" t="s">
        <v>28</v>
      </c>
    </row>
    <row r="450" spans="1:7" x14ac:dyDescent="0.3">
      <c r="A450">
        <v>45510</v>
      </c>
      <c r="B450" t="s">
        <v>48</v>
      </c>
      <c r="C450" t="s">
        <v>20</v>
      </c>
      <c r="D450" t="s">
        <v>27</v>
      </c>
      <c r="E450">
        <v>1000</v>
      </c>
      <c r="F450" t="s">
        <v>22</v>
      </c>
      <c r="G450" t="s">
        <v>28</v>
      </c>
    </row>
    <row r="451" spans="1:7" x14ac:dyDescent="0.3">
      <c r="A451">
        <v>45510</v>
      </c>
      <c r="B451" t="s">
        <v>48</v>
      </c>
      <c r="C451" t="s">
        <v>20</v>
      </c>
      <c r="D451" t="s">
        <v>27</v>
      </c>
      <c r="E451">
        <v>1000</v>
      </c>
      <c r="F451" t="s">
        <v>22</v>
      </c>
      <c r="G451" t="s">
        <v>28</v>
      </c>
    </row>
    <row r="452" spans="1:7" x14ac:dyDescent="0.3">
      <c r="A452">
        <v>45503</v>
      </c>
      <c r="B452" t="s">
        <v>43</v>
      </c>
      <c r="C452" t="s">
        <v>20</v>
      </c>
      <c r="D452" t="s">
        <v>31</v>
      </c>
      <c r="E452">
        <v>500</v>
      </c>
      <c r="F452" t="s">
        <v>44</v>
      </c>
      <c r="G452" t="s">
        <v>45</v>
      </c>
    </row>
    <row r="453" spans="1:7" x14ac:dyDescent="0.3">
      <c r="A453">
        <v>45504</v>
      </c>
      <c r="B453" t="s">
        <v>29</v>
      </c>
      <c r="C453" t="s">
        <v>26</v>
      </c>
      <c r="D453" t="s">
        <v>27</v>
      </c>
      <c r="E453">
        <v>1000</v>
      </c>
      <c r="F453" t="s">
        <v>22</v>
      </c>
      <c r="G453" t="s">
        <v>28</v>
      </c>
    </row>
    <row r="454" spans="1:7" x14ac:dyDescent="0.3">
      <c r="A454">
        <v>45503</v>
      </c>
      <c r="B454" t="s">
        <v>43</v>
      </c>
      <c r="C454" t="s">
        <v>20</v>
      </c>
      <c r="D454" t="s">
        <v>31</v>
      </c>
      <c r="E454">
        <v>500</v>
      </c>
      <c r="F454" t="s">
        <v>44</v>
      </c>
      <c r="G454" t="s">
        <v>45</v>
      </c>
    </row>
    <row r="455" spans="1:7" x14ac:dyDescent="0.3">
      <c r="A455">
        <v>45507</v>
      </c>
      <c r="B455" t="s">
        <v>33</v>
      </c>
      <c r="C455" t="s">
        <v>26</v>
      </c>
      <c r="D455" t="s">
        <v>21</v>
      </c>
      <c r="E455">
        <v>1000</v>
      </c>
      <c r="F455" t="s">
        <v>34</v>
      </c>
      <c r="G455" t="s">
        <v>35</v>
      </c>
    </row>
    <row r="456" spans="1:7" x14ac:dyDescent="0.3">
      <c r="A456">
        <v>45504</v>
      </c>
      <c r="B456" t="s">
        <v>29</v>
      </c>
      <c r="C456" t="s">
        <v>26</v>
      </c>
      <c r="D456" t="s">
        <v>27</v>
      </c>
      <c r="E456">
        <v>1000</v>
      </c>
      <c r="F456" t="s">
        <v>22</v>
      </c>
      <c r="G456" t="s">
        <v>28</v>
      </c>
    </row>
    <row r="457" spans="1:7" x14ac:dyDescent="0.3">
      <c r="A457">
        <v>45509</v>
      </c>
      <c r="B457" t="s">
        <v>30</v>
      </c>
      <c r="C457" t="s">
        <v>26</v>
      </c>
      <c r="D457" t="s">
        <v>31</v>
      </c>
      <c r="E457">
        <v>500</v>
      </c>
      <c r="F457" t="s">
        <v>32</v>
      </c>
      <c r="G457" t="s">
        <v>23</v>
      </c>
    </row>
    <row r="458" spans="1:7" x14ac:dyDescent="0.3">
      <c r="A458">
        <v>45501</v>
      </c>
      <c r="B458" t="s">
        <v>25</v>
      </c>
      <c r="C458" t="s">
        <v>26</v>
      </c>
      <c r="D458" t="s">
        <v>27</v>
      </c>
      <c r="E458">
        <v>1000</v>
      </c>
      <c r="F458" t="s">
        <v>22</v>
      </c>
      <c r="G458" t="s">
        <v>28</v>
      </c>
    </row>
    <row r="459" spans="1:7" x14ac:dyDescent="0.3">
      <c r="A459">
        <v>45510</v>
      </c>
      <c r="B459" t="s">
        <v>48</v>
      </c>
      <c r="C459" t="s">
        <v>20</v>
      </c>
      <c r="D459" t="s">
        <v>27</v>
      </c>
      <c r="E459">
        <v>1000</v>
      </c>
      <c r="F459" t="s">
        <v>22</v>
      </c>
      <c r="G459" t="s">
        <v>28</v>
      </c>
    </row>
    <row r="460" spans="1:7" x14ac:dyDescent="0.3">
      <c r="A460">
        <v>45507</v>
      </c>
      <c r="B460" t="s">
        <v>33</v>
      </c>
      <c r="C460" t="s">
        <v>26</v>
      </c>
      <c r="D460" t="s">
        <v>21</v>
      </c>
      <c r="E460">
        <v>1000</v>
      </c>
      <c r="F460" t="s">
        <v>34</v>
      </c>
      <c r="G460" t="s">
        <v>35</v>
      </c>
    </row>
    <row r="461" spans="1:7" x14ac:dyDescent="0.3">
      <c r="A461">
        <v>45508</v>
      </c>
      <c r="B461" t="s">
        <v>42</v>
      </c>
      <c r="C461" t="s">
        <v>20</v>
      </c>
      <c r="D461" t="s">
        <v>31</v>
      </c>
      <c r="E461">
        <v>1000</v>
      </c>
      <c r="F461" t="s">
        <v>22</v>
      </c>
      <c r="G461" t="s">
        <v>28</v>
      </c>
    </row>
    <row r="462" spans="1:7" x14ac:dyDescent="0.3">
      <c r="A462">
        <v>45512</v>
      </c>
      <c r="B462" t="s">
        <v>36</v>
      </c>
      <c r="C462" t="s">
        <v>26</v>
      </c>
      <c r="D462" t="s">
        <v>21</v>
      </c>
      <c r="E462">
        <v>1000</v>
      </c>
      <c r="F462" t="s">
        <v>37</v>
      </c>
      <c r="G462" t="s">
        <v>28</v>
      </c>
    </row>
    <row r="463" spans="1:7" x14ac:dyDescent="0.3">
      <c r="A463">
        <v>45512</v>
      </c>
      <c r="B463" t="s">
        <v>36</v>
      </c>
      <c r="C463" t="s">
        <v>26</v>
      </c>
      <c r="D463" t="s">
        <v>21</v>
      </c>
      <c r="E463">
        <v>1000</v>
      </c>
      <c r="F463" t="s">
        <v>37</v>
      </c>
      <c r="G463" t="s">
        <v>28</v>
      </c>
    </row>
    <row r="464" spans="1:7" x14ac:dyDescent="0.3">
      <c r="A464">
        <v>45505</v>
      </c>
      <c r="B464" t="s">
        <v>49</v>
      </c>
      <c r="C464" t="s">
        <v>20</v>
      </c>
      <c r="D464" t="s">
        <v>31</v>
      </c>
      <c r="E464">
        <v>800</v>
      </c>
      <c r="F464" t="s">
        <v>41</v>
      </c>
      <c r="G464" t="s">
        <v>39</v>
      </c>
    </row>
    <row r="465" spans="1:7" x14ac:dyDescent="0.3">
      <c r="A465">
        <v>45504</v>
      </c>
      <c r="B465" t="s">
        <v>29</v>
      </c>
      <c r="C465" t="s">
        <v>26</v>
      </c>
      <c r="D465" t="s">
        <v>27</v>
      </c>
      <c r="E465">
        <v>1000</v>
      </c>
      <c r="F465" t="s">
        <v>22</v>
      </c>
      <c r="G465" t="s">
        <v>28</v>
      </c>
    </row>
    <row r="466" spans="1:7" x14ac:dyDescent="0.3">
      <c r="A466">
        <v>45505</v>
      </c>
      <c r="B466" t="s">
        <v>49</v>
      </c>
      <c r="C466" t="s">
        <v>20</v>
      </c>
      <c r="D466" t="s">
        <v>31</v>
      </c>
      <c r="E466">
        <v>800</v>
      </c>
      <c r="F466" t="s">
        <v>41</v>
      </c>
      <c r="G466" t="s">
        <v>39</v>
      </c>
    </row>
    <row r="467" spans="1:7" x14ac:dyDescent="0.3">
      <c r="A467">
        <v>45509</v>
      </c>
      <c r="B467" t="s">
        <v>30</v>
      </c>
      <c r="C467" t="s">
        <v>26</v>
      </c>
      <c r="D467" t="s">
        <v>31</v>
      </c>
      <c r="E467">
        <v>500</v>
      </c>
      <c r="F467" t="s">
        <v>32</v>
      </c>
      <c r="G467" t="s">
        <v>23</v>
      </c>
    </row>
    <row r="468" spans="1:7" x14ac:dyDescent="0.3">
      <c r="A468">
        <v>45509</v>
      </c>
      <c r="B468" t="s">
        <v>30</v>
      </c>
      <c r="C468" t="s">
        <v>26</v>
      </c>
      <c r="D468" t="s">
        <v>31</v>
      </c>
      <c r="E468">
        <v>500</v>
      </c>
      <c r="F468" t="s">
        <v>32</v>
      </c>
      <c r="G468" t="s">
        <v>23</v>
      </c>
    </row>
    <row r="469" spans="1:7" x14ac:dyDescent="0.3">
      <c r="A469">
        <v>45508</v>
      </c>
      <c r="B469" t="s">
        <v>42</v>
      </c>
      <c r="C469" t="s">
        <v>20</v>
      </c>
      <c r="D469" t="s">
        <v>31</v>
      </c>
      <c r="E469">
        <v>1000</v>
      </c>
      <c r="F469" t="s">
        <v>22</v>
      </c>
      <c r="G469" t="s">
        <v>28</v>
      </c>
    </row>
    <row r="470" spans="1:7" x14ac:dyDescent="0.3">
      <c r="A470">
        <v>45510</v>
      </c>
      <c r="B470" t="s">
        <v>48</v>
      </c>
      <c r="C470" t="s">
        <v>20</v>
      </c>
      <c r="D470" t="s">
        <v>27</v>
      </c>
      <c r="E470">
        <v>1000</v>
      </c>
      <c r="F470" t="s">
        <v>22</v>
      </c>
      <c r="G470" t="s">
        <v>28</v>
      </c>
    </row>
    <row r="471" spans="1:7" x14ac:dyDescent="0.3">
      <c r="A471">
        <v>45512</v>
      </c>
      <c r="B471" t="s">
        <v>36</v>
      </c>
      <c r="C471" t="s">
        <v>26</v>
      </c>
      <c r="D471" t="s">
        <v>21</v>
      </c>
      <c r="E471">
        <v>1000</v>
      </c>
      <c r="F471" t="s">
        <v>37</v>
      </c>
      <c r="G471" t="s">
        <v>28</v>
      </c>
    </row>
    <row r="472" spans="1:7" x14ac:dyDescent="0.3">
      <c r="A472">
        <v>45514</v>
      </c>
      <c r="B472" t="s">
        <v>43</v>
      </c>
      <c r="C472" t="s">
        <v>20</v>
      </c>
      <c r="D472" t="s">
        <v>31</v>
      </c>
      <c r="E472">
        <v>1000</v>
      </c>
      <c r="F472" t="s">
        <v>41</v>
      </c>
      <c r="G472" t="s">
        <v>47</v>
      </c>
    </row>
    <row r="473" spans="1:7" x14ac:dyDescent="0.3">
      <c r="A473">
        <v>45514</v>
      </c>
      <c r="B473" t="s">
        <v>43</v>
      </c>
      <c r="C473" t="s">
        <v>20</v>
      </c>
      <c r="D473" t="s">
        <v>31</v>
      </c>
      <c r="E473">
        <v>1000</v>
      </c>
      <c r="F473" t="s">
        <v>41</v>
      </c>
      <c r="G473" t="s">
        <v>47</v>
      </c>
    </row>
    <row r="474" spans="1:7" x14ac:dyDescent="0.3">
      <c r="A474">
        <v>45502</v>
      </c>
      <c r="B474" t="s">
        <v>40</v>
      </c>
      <c r="C474" t="s">
        <v>20</v>
      </c>
      <c r="D474" t="s">
        <v>31</v>
      </c>
      <c r="E474">
        <v>800</v>
      </c>
      <c r="F474" t="s">
        <v>41</v>
      </c>
      <c r="G474" t="s">
        <v>23</v>
      </c>
    </row>
    <row r="475" spans="1:7" x14ac:dyDescent="0.3">
      <c r="A475">
        <v>45500</v>
      </c>
      <c r="B475" t="s">
        <v>19</v>
      </c>
      <c r="C475" t="s">
        <v>20</v>
      </c>
      <c r="D475" t="s">
        <v>21</v>
      </c>
      <c r="E475">
        <v>500</v>
      </c>
      <c r="F475" t="s">
        <v>32</v>
      </c>
      <c r="G475" t="s">
        <v>47</v>
      </c>
    </row>
    <row r="476" spans="1:7" x14ac:dyDescent="0.3">
      <c r="A476">
        <v>45512</v>
      </c>
      <c r="B476" t="s">
        <v>36</v>
      </c>
      <c r="C476" t="s">
        <v>26</v>
      </c>
      <c r="D476" t="s">
        <v>21</v>
      </c>
      <c r="E476">
        <v>1000</v>
      </c>
      <c r="F476" t="s">
        <v>37</v>
      </c>
      <c r="G476" t="s">
        <v>28</v>
      </c>
    </row>
    <row r="477" spans="1:7" x14ac:dyDescent="0.3">
      <c r="A477">
        <v>45501</v>
      </c>
      <c r="B477" t="s">
        <v>25</v>
      </c>
      <c r="C477" t="s">
        <v>26</v>
      </c>
      <c r="D477" t="s">
        <v>27</v>
      </c>
      <c r="E477">
        <v>1000</v>
      </c>
      <c r="F477" t="s">
        <v>22</v>
      </c>
      <c r="G477" t="s">
        <v>28</v>
      </c>
    </row>
    <row r="478" spans="1:7" x14ac:dyDescent="0.3">
      <c r="A478">
        <v>45501</v>
      </c>
      <c r="B478" t="s">
        <v>25</v>
      </c>
      <c r="C478" t="s">
        <v>26</v>
      </c>
      <c r="D478" t="s">
        <v>27</v>
      </c>
      <c r="E478">
        <v>1000</v>
      </c>
      <c r="F478" t="s">
        <v>22</v>
      </c>
      <c r="G478" t="s">
        <v>28</v>
      </c>
    </row>
    <row r="479" spans="1:7" x14ac:dyDescent="0.3">
      <c r="A479">
        <v>45504</v>
      </c>
      <c r="B479" t="s">
        <v>29</v>
      </c>
      <c r="C479" t="s">
        <v>26</v>
      </c>
      <c r="D479" t="s">
        <v>27</v>
      </c>
      <c r="E479">
        <v>1000</v>
      </c>
      <c r="F479" t="s">
        <v>22</v>
      </c>
      <c r="G479" t="s">
        <v>28</v>
      </c>
    </row>
    <row r="480" spans="1:7" x14ac:dyDescent="0.3">
      <c r="A480">
        <v>45511</v>
      </c>
      <c r="B480" t="s">
        <v>46</v>
      </c>
      <c r="C480" t="s">
        <v>20</v>
      </c>
      <c r="D480" t="s">
        <v>27</v>
      </c>
      <c r="E480">
        <v>1000</v>
      </c>
      <c r="F480" t="s">
        <v>22</v>
      </c>
      <c r="G480" t="s">
        <v>28</v>
      </c>
    </row>
    <row r="481" spans="1:7" x14ac:dyDescent="0.3">
      <c r="A481">
        <v>45510</v>
      </c>
      <c r="B481" t="s">
        <v>48</v>
      </c>
      <c r="C481" t="s">
        <v>20</v>
      </c>
      <c r="D481" t="s">
        <v>27</v>
      </c>
      <c r="E481">
        <v>1000</v>
      </c>
      <c r="F481" t="s">
        <v>22</v>
      </c>
      <c r="G481" t="s">
        <v>28</v>
      </c>
    </row>
    <row r="482" spans="1:7" x14ac:dyDescent="0.3">
      <c r="A482">
        <v>45506</v>
      </c>
      <c r="B482" t="s">
        <v>38</v>
      </c>
      <c r="C482" t="s">
        <v>26</v>
      </c>
      <c r="D482" t="s">
        <v>21</v>
      </c>
      <c r="E482">
        <v>1000</v>
      </c>
      <c r="F482" t="s">
        <v>34</v>
      </c>
      <c r="G482" t="s">
        <v>39</v>
      </c>
    </row>
    <row r="483" spans="1:7" x14ac:dyDescent="0.3">
      <c r="A483">
        <v>45501</v>
      </c>
      <c r="B483" t="s">
        <v>25</v>
      </c>
      <c r="C483" t="s">
        <v>26</v>
      </c>
      <c r="D483" t="s">
        <v>27</v>
      </c>
      <c r="E483">
        <v>1000</v>
      </c>
      <c r="F483" t="s">
        <v>22</v>
      </c>
      <c r="G483" t="s">
        <v>28</v>
      </c>
    </row>
    <row r="484" spans="1:7" x14ac:dyDescent="0.3">
      <c r="A484">
        <v>45505</v>
      </c>
      <c r="B484" t="s">
        <v>49</v>
      </c>
      <c r="C484" t="s">
        <v>20</v>
      </c>
      <c r="D484" t="s">
        <v>31</v>
      </c>
      <c r="E484">
        <v>800</v>
      </c>
      <c r="F484" t="s">
        <v>41</v>
      </c>
      <c r="G484" t="s">
        <v>39</v>
      </c>
    </row>
    <row r="485" spans="1:7" x14ac:dyDescent="0.3">
      <c r="A485">
        <v>45506</v>
      </c>
      <c r="B485" t="s">
        <v>38</v>
      </c>
      <c r="C485" t="s">
        <v>26</v>
      </c>
      <c r="D485" t="s">
        <v>21</v>
      </c>
      <c r="E485">
        <v>1000</v>
      </c>
      <c r="F485" t="s">
        <v>34</v>
      </c>
      <c r="G485" t="s">
        <v>39</v>
      </c>
    </row>
    <row r="486" spans="1:7" x14ac:dyDescent="0.3">
      <c r="A486">
        <v>45507</v>
      </c>
      <c r="B486" t="s">
        <v>33</v>
      </c>
      <c r="C486" t="s">
        <v>26</v>
      </c>
      <c r="D486" t="s">
        <v>21</v>
      </c>
      <c r="E486">
        <v>1000</v>
      </c>
      <c r="F486" t="s">
        <v>34</v>
      </c>
      <c r="G486" t="s">
        <v>35</v>
      </c>
    </row>
    <row r="487" spans="1:7" x14ac:dyDescent="0.3">
      <c r="A487">
        <v>45505</v>
      </c>
      <c r="B487" t="s">
        <v>49</v>
      </c>
      <c r="C487" t="s">
        <v>20</v>
      </c>
      <c r="D487" t="s">
        <v>31</v>
      </c>
      <c r="E487">
        <v>800</v>
      </c>
      <c r="F487" t="s">
        <v>41</v>
      </c>
      <c r="G487" t="s">
        <v>39</v>
      </c>
    </row>
    <row r="488" spans="1:7" x14ac:dyDescent="0.3">
      <c r="A488">
        <v>45501</v>
      </c>
      <c r="B488" t="s">
        <v>25</v>
      </c>
      <c r="C488" t="s">
        <v>26</v>
      </c>
      <c r="D488" t="s">
        <v>27</v>
      </c>
      <c r="E488">
        <v>1000</v>
      </c>
      <c r="F488" t="s">
        <v>22</v>
      </c>
      <c r="G488" t="s">
        <v>28</v>
      </c>
    </row>
    <row r="489" spans="1:7" x14ac:dyDescent="0.3">
      <c r="A489">
        <v>45511</v>
      </c>
      <c r="B489" t="s">
        <v>46</v>
      </c>
      <c r="C489" t="s">
        <v>20</v>
      </c>
      <c r="D489" t="s">
        <v>27</v>
      </c>
      <c r="E489">
        <v>1000</v>
      </c>
      <c r="F489" t="s">
        <v>22</v>
      </c>
      <c r="G489" t="s">
        <v>28</v>
      </c>
    </row>
    <row r="490" spans="1:7" x14ac:dyDescent="0.3">
      <c r="A490">
        <v>45514</v>
      </c>
      <c r="B490" t="s">
        <v>43</v>
      </c>
      <c r="C490" t="s">
        <v>20</v>
      </c>
      <c r="D490" t="s">
        <v>31</v>
      </c>
      <c r="E490">
        <v>1000</v>
      </c>
      <c r="F490" t="s">
        <v>41</v>
      </c>
      <c r="G490" t="s">
        <v>47</v>
      </c>
    </row>
    <row r="491" spans="1:7" x14ac:dyDescent="0.3">
      <c r="A491">
        <v>45506</v>
      </c>
      <c r="B491" t="s">
        <v>38</v>
      </c>
      <c r="C491" t="s">
        <v>26</v>
      </c>
      <c r="D491" t="s">
        <v>21</v>
      </c>
      <c r="E491">
        <v>1000</v>
      </c>
      <c r="F491" t="s">
        <v>34</v>
      </c>
      <c r="G491" t="s">
        <v>39</v>
      </c>
    </row>
    <row r="492" spans="1:7" x14ac:dyDescent="0.3">
      <c r="A492">
        <v>45513</v>
      </c>
      <c r="B492" t="s">
        <v>19</v>
      </c>
      <c r="C492" t="s">
        <v>20</v>
      </c>
      <c r="D492" t="s">
        <v>21</v>
      </c>
      <c r="E492">
        <v>1000</v>
      </c>
      <c r="F492" t="s">
        <v>22</v>
      </c>
      <c r="G492" t="s">
        <v>23</v>
      </c>
    </row>
    <row r="493" spans="1:7" x14ac:dyDescent="0.3">
      <c r="A493">
        <v>45501</v>
      </c>
      <c r="B493" t="s">
        <v>25</v>
      </c>
      <c r="C493" t="s">
        <v>26</v>
      </c>
      <c r="D493" t="s">
        <v>27</v>
      </c>
      <c r="E493">
        <v>1000</v>
      </c>
      <c r="F493" t="s">
        <v>22</v>
      </c>
      <c r="G493" t="s">
        <v>28</v>
      </c>
    </row>
    <row r="494" spans="1:7" x14ac:dyDescent="0.3">
      <c r="A494">
        <v>45512</v>
      </c>
      <c r="B494" t="s">
        <v>36</v>
      </c>
      <c r="C494" t="s">
        <v>26</v>
      </c>
      <c r="D494" t="s">
        <v>21</v>
      </c>
      <c r="E494">
        <v>1000</v>
      </c>
      <c r="F494" t="s">
        <v>37</v>
      </c>
      <c r="G494" t="s">
        <v>28</v>
      </c>
    </row>
    <row r="495" spans="1:7" x14ac:dyDescent="0.3">
      <c r="A495">
        <v>45504</v>
      </c>
      <c r="B495" t="s">
        <v>29</v>
      </c>
      <c r="C495" t="s">
        <v>26</v>
      </c>
      <c r="D495" t="s">
        <v>27</v>
      </c>
      <c r="E495">
        <v>1000</v>
      </c>
      <c r="F495" t="s">
        <v>22</v>
      </c>
      <c r="G495" t="s">
        <v>28</v>
      </c>
    </row>
    <row r="496" spans="1:7" x14ac:dyDescent="0.3">
      <c r="A496">
        <v>45500</v>
      </c>
      <c r="B496" t="s">
        <v>19</v>
      </c>
      <c r="C496" t="s">
        <v>20</v>
      </c>
      <c r="D496" t="s">
        <v>21</v>
      </c>
      <c r="E496">
        <v>500</v>
      </c>
      <c r="F496" t="s">
        <v>32</v>
      </c>
      <c r="G496" t="s">
        <v>47</v>
      </c>
    </row>
    <row r="497" spans="1:7" x14ac:dyDescent="0.3">
      <c r="A497">
        <v>45513</v>
      </c>
      <c r="B497" t="s">
        <v>19</v>
      </c>
      <c r="C497" t="s">
        <v>20</v>
      </c>
      <c r="D497" t="s">
        <v>21</v>
      </c>
      <c r="E497">
        <v>1000</v>
      </c>
      <c r="F497" t="s">
        <v>22</v>
      </c>
      <c r="G497" t="s">
        <v>23</v>
      </c>
    </row>
    <row r="498" spans="1:7" x14ac:dyDescent="0.3">
      <c r="A498">
        <v>45503</v>
      </c>
      <c r="B498" t="s">
        <v>43</v>
      </c>
      <c r="C498" t="s">
        <v>20</v>
      </c>
      <c r="D498" t="s">
        <v>31</v>
      </c>
      <c r="E498">
        <v>500</v>
      </c>
      <c r="F498" t="s">
        <v>44</v>
      </c>
      <c r="G498" t="s">
        <v>45</v>
      </c>
    </row>
    <row r="499" spans="1:7" x14ac:dyDescent="0.3">
      <c r="A499">
        <v>45502</v>
      </c>
      <c r="B499" t="s">
        <v>40</v>
      </c>
      <c r="C499" t="s">
        <v>20</v>
      </c>
      <c r="D499" t="s">
        <v>31</v>
      </c>
      <c r="E499">
        <v>800</v>
      </c>
      <c r="F499" t="s">
        <v>41</v>
      </c>
      <c r="G499" t="s">
        <v>23</v>
      </c>
    </row>
    <row r="500" spans="1:7" x14ac:dyDescent="0.3">
      <c r="A500">
        <v>45508</v>
      </c>
      <c r="B500" t="s">
        <v>42</v>
      </c>
      <c r="C500" t="s">
        <v>20</v>
      </c>
      <c r="D500" t="s">
        <v>31</v>
      </c>
      <c r="E500">
        <v>1000</v>
      </c>
      <c r="F500" t="s">
        <v>22</v>
      </c>
      <c r="G500" t="s">
        <v>28</v>
      </c>
    </row>
    <row r="501" spans="1:7" x14ac:dyDescent="0.3">
      <c r="A501">
        <v>45512</v>
      </c>
      <c r="B501" t="s">
        <v>36</v>
      </c>
      <c r="C501" t="s">
        <v>26</v>
      </c>
      <c r="D501" t="s">
        <v>21</v>
      </c>
      <c r="E501">
        <v>1000</v>
      </c>
      <c r="F501" t="s">
        <v>37</v>
      </c>
      <c r="G501" t="s">
        <v>28</v>
      </c>
    </row>
    <row r="502" spans="1:7" x14ac:dyDescent="0.3">
      <c r="A502">
        <v>45501</v>
      </c>
      <c r="B502" t="s">
        <v>25</v>
      </c>
      <c r="C502" t="s">
        <v>26</v>
      </c>
      <c r="D502" t="s">
        <v>27</v>
      </c>
      <c r="E502">
        <v>1000</v>
      </c>
      <c r="F502" t="s">
        <v>22</v>
      </c>
      <c r="G502" t="s">
        <v>28</v>
      </c>
    </row>
    <row r="503" spans="1:7" x14ac:dyDescent="0.3">
      <c r="A503">
        <v>45512</v>
      </c>
      <c r="B503" t="s">
        <v>36</v>
      </c>
      <c r="C503" t="s">
        <v>26</v>
      </c>
      <c r="D503" t="s">
        <v>21</v>
      </c>
      <c r="E503">
        <v>1000</v>
      </c>
      <c r="F503" t="s">
        <v>37</v>
      </c>
      <c r="G503" t="s">
        <v>28</v>
      </c>
    </row>
    <row r="504" spans="1:7" x14ac:dyDescent="0.3">
      <c r="A504">
        <v>45506</v>
      </c>
      <c r="B504" t="s">
        <v>38</v>
      </c>
      <c r="C504" t="s">
        <v>26</v>
      </c>
      <c r="D504" t="s">
        <v>21</v>
      </c>
      <c r="E504">
        <v>1000</v>
      </c>
      <c r="F504" t="s">
        <v>34</v>
      </c>
      <c r="G504" t="s">
        <v>39</v>
      </c>
    </row>
    <row r="505" spans="1:7" x14ac:dyDescent="0.3">
      <c r="A505">
        <v>45511</v>
      </c>
      <c r="B505" t="s">
        <v>46</v>
      </c>
      <c r="C505" t="s">
        <v>20</v>
      </c>
      <c r="D505" t="s">
        <v>27</v>
      </c>
      <c r="E505">
        <v>1000</v>
      </c>
      <c r="F505" t="s">
        <v>22</v>
      </c>
      <c r="G505" t="s">
        <v>28</v>
      </c>
    </row>
    <row r="506" spans="1:7" x14ac:dyDescent="0.3">
      <c r="A506">
        <v>45502</v>
      </c>
      <c r="B506" t="s">
        <v>40</v>
      </c>
      <c r="C506" t="s">
        <v>20</v>
      </c>
      <c r="D506" t="s">
        <v>31</v>
      </c>
      <c r="E506">
        <v>800</v>
      </c>
      <c r="F506" t="s">
        <v>41</v>
      </c>
      <c r="G506" t="s">
        <v>23</v>
      </c>
    </row>
    <row r="507" spans="1:7" x14ac:dyDescent="0.3">
      <c r="A507">
        <v>45507</v>
      </c>
      <c r="B507" t="s">
        <v>33</v>
      </c>
      <c r="C507" t="s">
        <v>26</v>
      </c>
      <c r="D507" t="s">
        <v>21</v>
      </c>
      <c r="E507">
        <v>1000</v>
      </c>
      <c r="F507" t="s">
        <v>34</v>
      </c>
      <c r="G507" t="s">
        <v>35</v>
      </c>
    </row>
    <row r="508" spans="1:7" x14ac:dyDescent="0.3">
      <c r="A508">
        <v>45513</v>
      </c>
      <c r="B508" t="s">
        <v>19</v>
      </c>
      <c r="C508" t="s">
        <v>20</v>
      </c>
      <c r="D508" t="s">
        <v>21</v>
      </c>
      <c r="E508">
        <v>1000</v>
      </c>
      <c r="F508" t="s">
        <v>22</v>
      </c>
      <c r="G508" t="s">
        <v>23</v>
      </c>
    </row>
    <row r="509" spans="1:7" x14ac:dyDescent="0.3">
      <c r="A509">
        <v>45505</v>
      </c>
      <c r="B509" t="s">
        <v>49</v>
      </c>
      <c r="C509" t="s">
        <v>20</v>
      </c>
      <c r="D509" t="s">
        <v>31</v>
      </c>
      <c r="E509">
        <v>800</v>
      </c>
      <c r="F509" t="s">
        <v>41</v>
      </c>
      <c r="G509" t="s">
        <v>39</v>
      </c>
    </row>
    <row r="510" spans="1:7" x14ac:dyDescent="0.3">
      <c r="A510">
        <v>45500</v>
      </c>
      <c r="B510" t="s">
        <v>19</v>
      </c>
      <c r="C510" t="s">
        <v>20</v>
      </c>
      <c r="D510" t="s">
        <v>21</v>
      </c>
      <c r="E510">
        <v>500</v>
      </c>
      <c r="F510" t="s">
        <v>32</v>
      </c>
      <c r="G510" t="s">
        <v>47</v>
      </c>
    </row>
    <row r="511" spans="1:7" x14ac:dyDescent="0.3">
      <c r="A511">
        <v>45504</v>
      </c>
      <c r="B511" t="s">
        <v>29</v>
      </c>
      <c r="C511" t="s">
        <v>26</v>
      </c>
      <c r="D511" t="s">
        <v>27</v>
      </c>
      <c r="E511">
        <v>1000</v>
      </c>
      <c r="F511" t="s">
        <v>22</v>
      </c>
      <c r="G511" t="s">
        <v>28</v>
      </c>
    </row>
    <row r="512" spans="1:7" x14ac:dyDescent="0.3">
      <c r="A512">
        <v>45504</v>
      </c>
      <c r="B512" t="s">
        <v>29</v>
      </c>
      <c r="C512" t="s">
        <v>26</v>
      </c>
      <c r="D512" t="s">
        <v>27</v>
      </c>
      <c r="E512">
        <v>1000</v>
      </c>
      <c r="F512" t="s">
        <v>22</v>
      </c>
      <c r="G512" t="s">
        <v>28</v>
      </c>
    </row>
    <row r="513" spans="1:7" x14ac:dyDescent="0.3">
      <c r="A513">
        <v>45509</v>
      </c>
      <c r="B513" t="s">
        <v>30</v>
      </c>
      <c r="C513" t="s">
        <v>26</v>
      </c>
      <c r="D513" t="s">
        <v>31</v>
      </c>
      <c r="E513">
        <v>500</v>
      </c>
      <c r="F513" t="s">
        <v>32</v>
      </c>
      <c r="G513" t="s">
        <v>23</v>
      </c>
    </row>
    <row r="514" spans="1:7" x14ac:dyDescent="0.3">
      <c r="A514">
        <v>45508</v>
      </c>
      <c r="B514" t="s">
        <v>42</v>
      </c>
      <c r="C514" t="s">
        <v>20</v>
      </c>
      <c r="D514" t="s">
        <v>31</v>
      </c>
      <c r="E514">
        <v>1000</v>
      </c>
      <c r="F514" t="s">
        <v>22</v>
      </c>
      <c r="G514" t="s">
        <v>28</v>
      </c>
    </row>
    <row r="515" spans="1:7" x14ac:dyDescent="0.3">
      <c r="A515">
        <v>45511</v>
      </c>
      <c r="B515" t="s">
        <v>46</v>
      </c>
      <c r="C515" t="s">
        <v>20</v>
      </c>
      <c r="D515" t="s">
        <v>27</v>
      </c>
      <c r="E515">
        <v>1000</v>
      </c>
      <c r="F515" t="s">
        <v>22</v>
      </c>
      <c r="G515" t="s">
        <v>28</v>
      </c>
    </row>
    <row r="516" spans="1:7" x14ac:dyDescent="0.3">
      <c r="A516">
        <v>45502</v>
      </c>
      <c r="B516" t="s">
        <v>40</v>
      </c>
      <c r="C516" t="s">
        <v>20</v>
      </c>
      <c r="D516" t="s">
        <v>31</v>
      </c>
      <c r="E516">
        <v>800</v>
      </c>
      <c r="F516" t="s">
        <v>41</v>
      </c>
      <c r="G516" t="s">
        <v>23</v>
      </c>
    </row>
    <row r="517" spans="1:7" x14ac:dyDescent="0.3">
      <c r="A517">
        <v>45505</v>
      </c>
      <c r="B517" t="s">
        <v>49</v>
      </c>
      <c r="C517" t="s">
        <v>20</v>
      </c>
      <c r="D517" t="s">
        <v>31</v>
      </c>
      <c r="E517">
        <v>800</v>
      </c>
      <c r="F517" t="s">
        <v>41</v>
      </c>
      <c r="G517" t="s">
        <v>39</v>
      </c>
    </row>
    <row r="518" spans="1:7" x14ac:dyDescent="0.3">
      <c r="A518">
        <v>45512</v>
      </c>
      <c r="B518" t="s">
        <v>36</v>
      </c>
      <c r="C518" t="s">
        <v>26</v>
      </c>
      <c r="D518" t="s">
        <v>21</v>
      </c>
      <c r="E518">
        <v>1000</v>
      </c>
      <c r="F518" t="s">
        <v>37</v>
      </c>
      <c r="G518" t="s">
        <v>28</v>
      </c>
    </row>
    <row r="519" spans="1:7" x14ac:dyDescent="0.3">
      <c r="A519">
        <v>45506</v>
      </c>
      <c r="B519" t="s">
        <v>38</v>
      </c>
      <c r="C519" t="s">
        <v>26</v>
      </c>
      <c r="D519" t="s">
        <v>21</v>
      </c>
      <c r="E519">
        <v>1000</v>
      </c>
      <c r="F519" t="s">
        <v>34</v>
      </c>
      <c r="G519" t="s">
        <v>39</v>
      </c>
    </row>
    <row r="520" spans="1:7" x14ac:dyDescent="0.3">
      <c r="A520">
        <v>45508</v>
      </c>
      <c r="B520" t="s">
        <v>42</v>
      </c>
      <c r="C520" t="s">
        <v>20</v>
      </c>
      <c r="D520" t="s">
        <v>31</v>
      </c>
      <c r="E520">
        <v>1000</v>
      </c>
      <c r="F520" t="s">
        <v>22</v>
      </c>
      <c r="G520" t="s">
        <v>28</v>
      </c>
    </row>
    <row r="521" spans="1:7" x14ac:dyDescent="0.3">
      <c r="A521">
        <v>45508</v>
      </c>
      <c r="B521" t="s">
        <v>42</v>
      </c>
      <c r="C521" t="s">
        <v>20</v>
      </c>
      <c r="D521" t="s">
        <v>31</v>
      </c>
      <c r="E521">
        <v>1000</v>
      </c>
      <c r="F521" t="s">
        <v>22</v>
      </c>
      <c r="G521" t="s">
        <v>28</v>
      </c>
    </row>
    <row r="522" spans="1:7" x14ac:dyDescent="0.3">
      <c r="A522">
        <v>45502</v>
      </c>
      <c r="B522" t="s">
        <v>40</v>
      </c>
      <c r="C522" t="s">
        <v>20</v>
      </c>
      <c r="D522" t="s">
        <v>31</v>
      </c>
      <c r="E522">
        <v>800</v>
      </c>
      <c r="F522" t="s">
        <v>41</v>
      </c>
      <c r="G522" t="s">
        <v>23</v>
      </c>
    </row>
    <row r="523" spans="1:7" x14ac:dyDescent="0.3">
      <c r="A523">
        <v>45512</v>
      </c>
      <c r="B523" t="s">
        <v>36</v>
      </c>
      <c r="C523" t="s">
        <v>26</v>
      </c>
      <c r="D523" t="s">
        <v>21</v>
      </c>
      <c r="E523">
        <v>1000</v>
      </c>
      <c r="F523" t="s">
        <v>37</v>
      </c>
      <c r="G523" t="s">
        <v>28</v>
      </c>
    </row>
    <row r="524" spans="1:7" x14ac:dyDescent="0.3">
      <c r="A524">
        <v>45501</v>
      </c>
      <c r="B524" t="s">
        <v>25</v>
      </c>
      <c r="C524" t="s">
        <v>26</v>
      </c>
      <c r="D524" t="s">
        <v>27</v>
      </c>
      <c r="E524">
        <v>1000</v>
      </c>
      <c r="F524" t="s">
        <v>22</v>
      </c>
      <c r="G524" t="s">
        <v>28</v>
      </c>
    </row>
    <row r="525" spans="1:7" x14ac:dyDescent="0.3">
      <c r="A525">
        <v>45505</v>
      </c>
      <c r="B525" t="s">
        <v>49</v>
      </c>
      <c r="C525" t="s">
        <v>20</v>
      </c>
      <c r="D525" t="s">
        <v>31</v>
      </c>
      <c r="E525">
        <v>800</v>
      </c>
      <c r="F525" t="s">
        <v>41</v>
      </c>
      <c r="G525" t="s">
        <v>39</v>
      </c>
    </row>
    <row r="526" spans="1:7" x14ac:dyDescent="0.3">
      <c r="A526">
        <v>45502</v>
      </c>
      <c r="B526" t="s">
        <v>40</v>
      </c>
      <c r="C526" t="s">
        <v>20</v>
      </c>
      <c r="D526" t="s">
        <v>31</v>
      </c>
      <c r="E526">
        <v>800</v>
      </c>
      <c r="F526" t="s">
        <v>41</v>
      </c>
      <c r="G526" t="s">
        <v>23</v>
      </c>
    </row>
    <row r="527" spans="1:7" x14ac:dyDescent="0.3">
      <c r="A527">
        <v>45510</v>
      </c>
      <c r="B527" t="s">
        <v>48</v>
      </c>
      <c r="C527" t="s">
        <v>20</v>
      </c>
      <c r="D527" t="s">
        <v>27</v>
      </c>
      <c r="E527">
        <v>1000</v>
      </c>
      <c r="F527" t="s">
        <v>22</v>
      </c>
      <c r="G527" t="s">
        <v>28</v>
      </c>
    </row>
    <row r="528" spans="1:7" x14ac:dyDescent="0.3">
      <c r="A528">
        <v>45511</v>
      </c>
      <c r="B528" t="s">
        <v>46</v>
      </c>
      <c r="C528" t="s">
        <v>20</v>
      </c>
      <c r="D528" t="s">
        <v>27</v>
      </c>
      <c r="E528">
        <v>1000</v>
      </c>
      <c r="F528" t="s">
        <v>22</v>
      </c>
      <c r="G528" t="s">
        <v>28</v>
      </c>
    </row>
    <row r="529" spans="1:7" x14ac:dyDescent="0.3">
      <c r="A529">
        <v>45509</v>
      </c>
      <c r="B529" t="s">
        <v>30</v>
      </c>
      <c r="C529" t="s">
        <v>26</v>
      </c>
      <c r="D529" t="s">
        <v>31</v>
      </c>
      <c r="E529">
        <v>500</v>
      </c>
      <c r="F529" t="s">
        <v>32</v>
      </c>
      <c r="G529" t="s">
        <v>23</v>
      </c>
    </row>
    <row r="530" spans="1:7" x14ac:dyDescent="0.3">
      <c r="A530">
        <v>45500</v>
      </c>
      <c r="B530" t="s">
        <v>19</v>
      </c>
      <c r="C530" t="s">
        <v>20</v>
      </c>
      <c r="D530" t="s">
        <v>21</v>
      </c>
      <c r="E530">
        <v>500</v>
      </c>
      <c r="F530" t="s">
        <v>32</v>
      </c>
      <c r="G530" t="s">
        <v>47</v>
      </c>
    </row>
    <row r="531" spans="1:7" x14ac:dyDescent="0.3">
      <c r="A531">
        <v>45512</v>
      </c>
      <c r="B531" t="s">
        <v>36</v>
      </c>
      <c r="C531" t="s">
        <v>26</v>
      </c>
      <c r="D531" t="s">
        <v>21</v>
      </c>
      <c r="E531">
        <v>1000</v>
      </c>
      <c r="F531" t="s">
        <v>37</v>
      </c>
      <c r="G531" t="s">
        <v>28</v>
      </c>
    </row>
    <row r="532" spans="1:7" x14ac:dyDescent="0.3">
      <c r="A532">
        <v>45505</v>
      </c>
      <c r="B532" t="s">
        <v>49</v>
      </c>
      <c r="C532" t="s">
        <v>20</v>
      </c>
      <c r="D532" t="s">
        <v>31</v>
      </c>
      <c r="E532">
        <v>800</v>
      </c>
      <c r="F532" t="s">
        <v>41</v>
      </c>
      <c r="G532" t="s">
        <v>39</v>
      </c>
    </row>
    <row r="533" spans="1:7" x14ac:dyDescent="0.3">
      <c r="A533">
        <v>45512</v>
      </c>
      <c r="B533" t="s">
        <v>36</v>
      </c>
      <c r="C533" t="s">
        <v>26</v>
      </c>
      <c r="D533" t="s">
        <v>21</v>
      </c>
      <c r="E533">
        <v>1000</v>
      </c>
      <c r="F533" t="s">
        <v>37</v>
      </c>
      <c r="G533" t="s">
        <v>28</v>
      </c>
    </row>
    <row r="534" spans="1:7" x14ac:dyDescent="0.3">
      <c r="A534">
        <v>45500</v>
      </c>
      <c r="B534" t="s">
        <v>19</v>
      </c>
      <c r="C534" t="s">
        <v>20</v>
      </c>
      <c r="D534" t="s">
        <v>21</v>
      </c>
      <c r="E534">
        <v>500</v>
      </c>
      <c r="F534" t="s">
        <v>32</v>
      </c>
      <c r="G534" t="s">
        <v>47</v>
      </c>
    </row>
    <row r="535" spans="1:7" x14ac:dyDescent="0.3">
      <c r="A535">
        <v>45514</v>
      </c>
      <c r="B535" t="s">
        <v>43</v>
      </c>
      <c r="C535" t="s">
        <v>20</v>
      </c>
      <c r="D535" t="s">
        <v>31</v>
      </c>
      <c r="E535">
        <v>1000</v>
      </c>
      <c r="F535" t="s">
        <v>41</v>
      </c>
      <c r="G535" t="s">
        <v>47</v>
      </c>
    </row>
    <row r="536" spans="1:7" x14ac:dyDescent="0.3">
      <c r="A536">
        <v>45511</v>
      </c>
      <c r="B536" t="s">
        <v>46</v>
      </c>
      <c r="C536" t="s">
        <v>20</v>
      </c>
      <c r="D536" t="s">
        <v>27</v>
      </c>
      <c r="E536">
        <v>1000</v>
      </c>
      <c r="F536" t="s">
        <v>22</v>
      </c>
      <c r="G536" t="s">
        <v>28</v>
      </c>
    </row>
    <row r="537" spans="1:7" x14ac:dyDescent="0.3">
      <c r="A537">
        <v>45505</v>
      </c>
      <c r="B537" t="s">
        <v>49</v>
      </c>
      <c r="C537" t="s">
        <v>20</v>
      </c>
      <c r="D537" t="s">
        <v>31</v>
      </c>
      <c r="E537">
        <v>800</v>
      </c>
      <c r="F537" t="s">
        <v>41</v>
      </c>
      <c r="G537" t="s">
        <v>39</v>
      </c>
    </row>
    <row r="538" spans="1:7" x14ac:dyDescent="0.3">
      <c r="A538">
        <v>45511</v>
      </c>
      <c r="B538" t="s">
        <v>46</v>
      </c>
      <c r="C538" t="s">
        <v>20</v>
      </c>
      <c r="D538" t="s">
        <v>27</v>
      </c>
      <c r="E538">
        <v>1000</v>
      </c>
      <c r="F538" t="s">
        <v>22</v>
      </c>
      <c r="G538" t="s">
        <v>28</v>
      </c>
    </row>
    <row r="539" spans="1:7" x14ac:dyDescent="0.3">
      <c r="A539">
        <v>45510</v>
      </c>
      <c r="B539" t="s">
        <v>48</v>
      </c>
      <c r="C539" t="s">
        <v>20</v>
      </c>
      <c r="D539" t="s">
        <v>27</v>
      </c>
      <c r="E539">
        <v>1000</v>
      </c>
      <c r="F539" t="s">
        <v>22</v>
      </c>
      <c r="G539" t="s">
        <v>28</v>
      </c>
    </row>
    <row r="540" spans="1:7" x14ac:dyDescent="0.3">
      <c r="A540">
        <v>45510</v>
      </c>
      <c r="B540" t="s">
        <v>48</v>
      </c>
      <c r="C540" t="s">
        <v>20</v>
      </c>
      <c r="D540" t="s">
        <v>27</v>
      </c>
      <c r="E540">
        <v>1000</v>
      </c>
      <c r="F540" t="s">
        <v>22</v>
      </c>
      <c r="G540" t="s">
        <v>28</v>
      </c>
    </row>
    <row r="541" spans="1:7" x14ac:dyDescent="0.3">
      <c r="A541">
        <v>45504</v>
      </c>
      <c r="B541" t="s">
        <v>29</v>
      </c>
      <c r="C541" t="s">
        <v>26</v>
      </c>
      <c r="D541" t="s">
        <v>27</v>
      </c>
      <c r="E541">
        <v>1000</v>
      </c>
      <c r="F541" t="s">
        <v>22</v>
      </c>
      <c r="G541" t="s">
        <v>28</v>
      </c>
    </row>
    <row r="542" spans="1:7" x14ac:dyDescent="0.3">
      <c r="A542">
        <v>45504</v>
      </c>
      <c r="B542" t="s">
        <v>29</v>
      </c>
      <c r="C542" t="s">
        <v>26</v>
      </c>
      <c r="D542" t="s">
        <v>27</v>
      </c>
      <c r="E542">
        <v>1000</v>
      </c>
      <c r="F542" t="s">
        <v>22</v>
      </c>
      <c r="G542" t="s">
        <v>28</v>
      </c>
    </row>
    <row r="543" spans="1:7" x14ac:dyDescent="0.3">
      <c r="A543">
        <v>45504</v>
      </c>
      <c r="B543" t="s">
        <v>29</v>
      </c>
      <c r="C543" t="s">
        <v>26</v>
      </c>
      <c r="D543" t="s">
        <v>27</v>
      </c>
      <c r="E543">
        <v>1000</v>
      </c>
      <c r="F543" t="s">
        <v>22</v>
      </c>
      <c r="G543" t="s">
        <v>28</v>
      </c>
    </row>
    <row r="544" spans="1:7" x14ac:dyDescent="0.3">
      <c r="A544">
        <v>45502</v>
      </c>
      <c r="B544" t="s">
        <v>40</v>
      </c>
      <c r="C544" t="s">
        <v>20</v>
      </c>
      <c r="D544" t="s">
        <v>31</v>
      </c>
      <c r="E544">
        <v>800</v>
      </c>
      <c r="F544" t="s">
        <v>41</v>
      </c>
      <c r="G544" t="s">
        <v>23</v>
      </c>
    </row>
    <row r="545" spans="1:7" x14ac:dyDescent="0.3">
      <c r="A545">
        <v>45511</v>
      </c>
      <c r="B545" t="s">
        <v>46</v>
      </c>
      <c r="C545" t="s">
        <v>20</v>
      </c>
      <c r="D545" t="s">
        <v>27</v>
      </c>
      <c r="E545">
        <v>1000</v>
      </c>
      <c r="F545" t="s">
        <v>22</v>
      </c>
      <c r="G545" t="s">
        <v>28</v>
      </c>
    </row>
    <row r="546" spans="1:7" x14ac:dyDescent="0.3">
      <c r="A546">
        <v>45509</v>
      </c>
      <c r="B546" t="s">
        <v>30</v>
      </c>
      <c r="C546" t="s">
        <v>26</v>
      </c>
      <c r="D546" t="s">
        <v>31</v>
      </c>
      <c r="E546">
        <v>500</v>
      </c>
      <c r="F546" t="s">
        <v>32</v>
      </c>
      <c r="G546" t="s">
        <v>23</v>
      </c>
    </row>
    <row r="547" spans="1:7" x14ac:dyDescent="0.3">
      <c r="A547">
        <v>45507</v>
      </c>
      <c r="B547" t="s">
        <v>33</v>
      </c>
      <c r="C547" t="s">
        <v>26</v>
      </c>
      <c r="D547" t="s">
        <v>21</v>
      </c>
      <c r="E547">
        <v>1000</v>
      </c>
      <c r="F547" t="s">
        <v>34</v>
      </c>
      <c r="G547" t="s">
        <v>35</v>
      </c>
    </row>
    <row r="548" spans="1:7" x14ac:dyDescent="0.3">
      <c r="A548">
        <v>45508</v>
      </c>
      <c r="B548" t="s">
        <v>42</v>
      </c>
      <c r="C548" t="s">
        <v>20</v>
      </c>
      <c r="D548" t="s">
        <v>31</v>
      </c>
      <c r="E548">
        <v>1000</v>
      </c>
      <c r="F548" t="s">
        <v>22</v>
      </c>
      <c r="G548" t="s">
        <v>28</v>
      </c>
    </row>
    <row r="549" spans="1:7" x14ac:dyDescent="0.3">
      <c r="A549">
        <v>45511</v>
      </c>
      <c r="B549" t="s">
        <v>46</v>
      </c>
      <c r="C549" t="s">
        <v>20</v>
      </c>
      <c r="D549" t="s">
        <v>27</v>
      </c>
      <c r="E549">
        <v>1000</v>
      </c>
      <c r="F549" t="s">
        <v>22</v>
      </c>
      <c r="G549" t="s">
        <v>28</v>
      </c>
    </row>
    <row r="550" spans="1:7" x14ac:dyDescent="0.3">
      <c r="A550">
        <v>45503</v>
      </c>
      <c r="B550" t="s">
        <v>43</v>
      </c>
      <c r="C550" t="s">
        <v>20</v>
      </c>
      <c r="D550" t="s">
        <v>31</v>
      </c>
      <c r="E550">
        <v>500</v>
      </c>
      <c r="F550" t="s">
        <v>44</v>
      </c>
      <c r="G550" t="s">
        <v>45</v>
      </c>
    </row>
    <row r="551" spans="1:7" x14ac:dyDescent="0.3">
      <c r="A551">
        <v>45502</v>
      </c>
      <c r="B551" t="s">
        <v>40</v>
      </c>
      <c r="C551" t="s">
        <v>20</v>
      </c>
      <c r="D551" t="s">
        <v>31</v>
      </c>
      <c r="E551">
        <v>800</v>
      </c>
      <c r="F551" t="s">
        <v>41</v>
      </c>
      <c r="G551" t="s">
        <v>23</v>
      </c>
    </row>
    <row r="552" spans="1:7" x14ac:dyDescent="0.3">
      <c r="A552">
        <v>45505</v>
      </c>
      <c r="B552" t="s">
        <v>49</v>
      </c>
      <c r="C552" t="s">
        <v>20</v>
      </c>
      <c r="D552" t="s">
        <v>31</v>
      </c>
      <c r="E552">
        <v>800</v>
      </c>
      <c r="F552" t="s">
        <v>41</v>
      </c>
      <c r="G552" t="s">
        <v>39</v>
      </c>
    </row>
    <row r="553" spans="1:7" x14ac:dyDescent="0.3">
      <c r="A553">
        <v>45507</v>
      </c>
      <c r="B553" t="s">
        <v>33</v>
      </c>
      <c r="C553" t="s">
        <v>26</v>
      </c>
      <c r="D553" t="s">
        <v>21</v>
      </c>
      <c r="E553">
        <v>1000</v>
      </c>
      <c r="F553" t="s">
        <v>34</v>
      </c>
      <c r="G553" t="s">
        <v>35</v>
      </c>
    </row>
    <row r="554" spans="1:7" x14ac:dyDescent="0.3">
      <c r="A554">
        <v>45510</v>
      </c>
      <c r="B554" t="s">
        <v>48</v>
      </c>
      <c r="C554" t="s">
        <v>20</v>
      </c>
      <c r="D554" t="s">
        <v>27</v>
      </c>
      <c r="E554">
        <v>1000</v>
      </c>
      <c r="F554" t="s">
        <v>22</v>
      </c>
      <c r="G554" t="s">
        <v>28</v>
      </c>
    </row>
    <row r="555" spans="1:7" x14ac:dyDescent="0.3">
      <c r="A555">
        <v>45503</v>
      </c>
      <c r="B555" t="s">
        <v>43</v>
      </c>
      <c r="C555" t="s">
        <v>20</v>
      </c>
      <c r="D555" t="s">
        <v>31</v>
      </c>
      <c r="E555">
        <v>500</v>
      </c>
      <c r="F555" t="s">
        <v>44</v>
      </c>
      <c r="G555" t="s">
        <v>45</v>
      </c>
    </row>
    <row r="556" spans="1:7" x14ac:dyDescent="0.3">
      <c r="A556">
        <v>45514</v>
      </c>
      <c r="B556" t="s">
        <v>43</v>
      </c>
      <c r="C556" t="s">
        <v>20</v>
      </c>
      <c r="D556" t="s">
        <v>31</v>
      </c>
      <c r="E556">
        <v>1000</v>
      </c>
      <c r="F556" t="s">
        <v>41</v>
      </c>
      <c r="G556" t="s">
        <v>47</v>
      </c>
    </row>
    <row r="557" spans="1:7" x14ac:dyDescent="0.3">
      <c r="A557">
        <v>45509</v>
      </c>
      <c r="B557" t="s">
        <v>30</v>
      </c>
      <c r="C557" t="s">
        <v>26</v>
      </c>
      <c r="D557" t="s">
        <v>31</v>
      </c>
      <c r="E557">
        <v>500</v>
      </c>
      <c r="F557" t="s">
        <v>32</v>
      </c>
      <c r="G557" t="s">
        <v>23</v>
      </c>
    </row>
    <row r="558" spans="1:7" x14ac:dyDescent="0.3">
      <c r="A558">
        <v>45501</v>
      </c>
      <c r="B558" t="s">
        <v>25</v>
      </c>
      <c r="C558" t="s">
        <v>26</v>
      </c>
      <c r="D558" t="s">
        <v>27</v>
      </c>
      <c r="E558">
        <v>1000</v>
      </c>
      <c r="F558" t="s">
        <v>22</v>
      </c>
      <c r="G558" t="s">
        <v>28</v>
      </c>
    </row>
    <row r="559" spans="1:7" x14ac:dyDescent="0.3">
      <c r="A559">
        <v>45513</v>
      </c>
      <c r="B559" t="s">
        <v>19</v>
      </c>
      <c r="C559" t="s">
        <v>20</v>
      </c>
      <c r="D559" t="s">
        <v>21</v>
      </c>
      <c r="E559">
        <v>1000</v>
      </c>
      <c r="F559" t="s">
        <v>22</v>
      </c>
      <c r="G559" t="s">
        <v>23</v>
      </c>
    </row>
    <row r="560" spans="1:7" x14ac:dyDescent="0.3">
      <c r="A560">
        <v>45507</v>
      </c>
      <c r="B560" t="s">
        <v>33</v>
      </c>
      <c r="C560" t="s">
        <v>26</v>
      </c>
      <c r="D560" t="s">
        <v>21</v>
      </c>
      <c r="E560">
        <v>1000</v>
      </c>
      <c r="F560" t="s">
        <v>34</v>
      </c>
      <c r="G560" t="s">
        <v>35</v>
      </c>
    </row>
    <row r="561" spans="1:7" x14ac:dyDescent="0.3">
      <c r="A561">
        <v>45512</v>
      </c>
      <c r="B561" t="s">
        <v>36</v>
      </c>
      <c r="C561" t="s">
        <v>26</v>
      </c>
      <c r="D561" t="s">
        <v>21</v>
      </c>
      <c r="E561">
        <v>1000</v>
      </c>
      <c r="F561" t="s">
        <v>37</v>
      </c>
      <c r="G561" t="s">
        <v>28</v>
      </c>
    </row>
    <row r="562" spans="1:7" x14ac:dyDescent="0.3">
      <c r="A562">
        <v>45505</v>
      </c>
      <c r="B562" t="s">
        <v>49</v>
      </c>
      <c r="C562" t="s">
        <v>20</v>
      </c>
      <c r="D562" t="s">
        <v>31</v>
      </c>
      <c r="E562">
        <v>800</v>
      </c>
      <c r="F562" t="s">
        <v>41</v>
      </c>
      <c r="G562" t="s">
        <v>39</v>
      </c>
    </row>
    <row r="563" spans="1:7" x14ac:dyDescent="0.3">
      <c r="A563">
        <v>45507</v>
      </c>
      <c r="B563" t="s">
        <v>33</v>
      </c>
      <c r="C563" t="s">
        <v>26</v>
      </c>
      <c r="D563" t="s">
        <v>21</v>
      </c>
      <c r="E563">
        <v>1000</v>
      </c>
      <c r="F563" t="s">
        <v>34</v>
      </c>
      <c r="G563" t="s">
        <v>35</v>
      </c>
    </row>
    <row r="564" spans="1:7" x14ac:dyDescent="0.3">
      <c r="A564">
        <v>45506</v>
      </c>
      <c r="B564" t="s">
        <v>38</v>
      </c>
      <c r="C564" t="s">
        <v>26</v>
      </c>
      <c r="D564" t="s">
        <v>21</v>
      </c>
      <c r="E564">
        <v>1000</v>
      </c>
      <c r="F564" t="s">
        <v>34</v>
      </c>
      <c r="G564" t="s">
        <v>39</v>
      </c>
    </row>
    <row r="565" spans="1:7" x14ac:dyDescent="0.3">
      <c r="A565">
        <v>45501</v>
      </c>
      <c r="B565" t="s">
        <v>25</v>
      </c>
      <c r="C565" t="s">
        <v>26</v>
      </c>
      <c r="D565" t="s">
        <v>27</v>
      </c>
      <c r="E565">
        <v>1000</v>
      </c>
      <c r="F565" t="s">
        <v>22</v>
      </c>
      <c r="G565" t="s">
        <v>28</v>
      </c>
    </row>
    <row r="566" spans="1:7" x14ac:dyDescent="0.3">
      <c r="A566">
        <v>45506</v>
      </c>
      <c r="B566" t="s">
        <v>38</v>
      </c>
      <c r="C566" t="s">
        <v>26</v>
      </c>
      <c r="D566" t="s">
        <v>21</v>
      </c>
      <c r="E566">
        <v>1000</v>
      </c>
      <c r="F566" t="s">
        <v>34</v>
      </c>
      <c r="G566" t="s">
        <v>39</v>
      </c>
    </row>
    <row r="567" spans="1:7" x14ac:dyDescent="0.3">
      <c r="A567">
        <v>45511</v>
      </c>
      <c r="B567" t="s">
        <v>46</v>
      </c>
      <c r="C567" t="s">
        <v>20</v>
      </c>
      <c r="D567" t="s">
        <v>27</v>
      </c>
      <c r="E567">
        <v>1000</v>
      </c>
      <c r="F567" t="s">
        <v>22</v>
      </c>
      <c r="G567" t="s">
        <v>28</v>
      </c>
    </row>
    <row r="568" spans="1:7" x14ac:dyDescent="0.3">
      <c r="A568">
        <v>45506</v>
      </c>
      <c r="B568" t="s">
        <v>38</v>
      </c>
      <c r="C568" t="s">
        <v>26</v>
      </c>
      <c r="D568" t="s">
        <v>21</v>
      </c>
      <c r="E568">
        <v>1000</v>
      </c>
      <c r="F568" t="s">
        <v>34</v>
      </c>
      <c r="G568" t="s">
        <v>39</v>
      </c>
    </row>
    <row r="569" spans="1:7" x14ac:dyDescent="0.3">
      <c r="A569">
        <v>45508</v>
      </c>
      <c r="B569" t="s">
        <v>42</v>
      </c>
      <c r="C569" t="s">
        <v>20</v>
      </c>
      <c r="D569" t="s">
        <v>31</v>
      </c>
      <c r="E569">
        <v>1000</v>
      </c>
      <c r="F569" t="s">
        <v>22</v>
      </c>
      <c r="G569" t="s">
        <v>28</v>
      </c>
    </row>
    <row r="570" spans="1:7" x14ac:dyDescent="0.3">
      <c r="A570">
        <v>45506</v>
      </c>
      <c r="B570" t="s">
        <v>38</v>
      </c>
      <c r="C570" t="s">
        <v>26</v>
      </c>
      <c r="D570" t="s">
        <v>21</v>
      </c>
      <c r="E570">
        <v>1000</v>
      </c>
      <c r="F570" t="s">
        <v>34</v>
      </c>
      <c r="G570" t="s">
        <v>39</v>
      </c>
    </row>
    <row r="571" spans="1:7" x14ac:dyDescent="0.3">
      <c r="A571">
        <v>45511</v>
      </c>
      <c r="B571" t="s">
        <v>46</v>
      </c>
      <c r="C571" t="s">
        <v>20</v>
      </c>
      <c r="D571" t="s">
        <v>27</v>
      </c>
      <c r="E571">
        <v>1000</v>
      </c>
      <c r="F571" t="s">
        <v>22</v>
      </c>
      <c r="G571" t="s">
        <v>28</v>
      </c>
    </row>
    <row r="572" spans="1:7" x14ac:dyDescent="0.3">
      <c r="A572">
        <v>45507</v>
      </c>
      <c r="B572" t="s">
        <v>33</v>
      </c>
      <c r="C572" t="s">
        <v>26</v>
      </c>
      <c r="D572" t="s">
        <v>21</v>
      </c>
      <c r="E572">
        <v>1000</v>
      </c>
      <c r="F572" t="s">
        <v>34</v>
      </c>
      <c r="G572" t="s">
        <v>35</v>
      </c>
    </row>
    <row r="573" spans="1:7" x14ac:dyDescent="0.3">
      <c r="A573">
        <v>45510</v>
      </c>
      <c r="B573" t="s">
        <v>48</v>
      </c>
      <c r="C573" t="s">
        <v>20</v>
      </c>
      <c r="D573" t="s">
        <v>27</v>
      </c>
      <c r="E573">
        <v>1000</v>
      </c>
      <c r="F573" t="s">
        <v>22</v>
      </c>
      <c r="G573" t="s">
        <v>28</v>
      </c>
    </row>
    <row r="574" spans="1:7" x14ac:dyDescent="0.3">
      <c r="A574">
        <v>45514</v>
      </c>
      <c r="B574" t="s">
        <v>43</v>
      </c>
      <c r="C574" t="s">
        <v>20</v>
      </c>
      <c r="D574" t="s">
        <v>31</v>
      </c>
      <c r="E574">
        <v>1000</v>
      </c>
      <c r="F574" t="s">
        <v>41</v>
      </c>
      <c r="G574" t="s">
        <v>47</v>
      </c>
    </row>
    <row r="575" spans="1:7" x14ac:dyDescent="0.3">
      <c r="A575">
        <v>45512</v>
      </c>
      <c r="B575" t="s">
        <v>36</v>
      </c>
      <c r="C575" t="s">
        <v>26</v>
      </c>
      <c r="D575" t="s">
        <v>21</v>
      </c>
      <c r="E575">
        <v>1000</v>
      </c>
      <c r="F575" t="s">
        <v>37</v>
      </c>
      <c r="G575" t="s">
        <v>28</v>
      </c>
    </row>
    <row r="576" spans="1:7" x14ac:dyDescent="0.3">
      <c r="A576">
        <v>45512</v>
      </c>
      <c r="B576" t="s">
        <v>36</v>
      </c>
      <c r="C576" t="s">
        <v>26</v>
      </c>
      <c r="D576" t="s">
        <v>21</v>
      </c>
      <c r="E576">
        <v>1000</v>
      </c>
      <c r="F576" t="s">
        <v>37</v>
      </c>
      <c r="G576" t="s">
        <v>28</v>
      </c>
    </row>
    <row r="577" spans="1:7" x14ac:dyDescent="0.3">
      <c r="A577">
        <v>45500</v>
      </c>
      <c r="B577" t="s">
        <v>19</v>
      </c>
      <c r="C577" t="s">
        <v>20</v>
      </c>
      <c r="D577" t="s">
        <v>21</v>
      </c>
      <c r="E577">
        <v>500</v>
      </c>
      <c r="F577" t="s">
        <v>32</v>
      </c>
      <c r="G577" t="s">
        <v>47</v>
      </c>
    </row>
    <row r="578" spans="1:7" x14ac:dyDescent="0.3">
      <c r="A578">
        <v>45500</v>
      </c>
      <c r="B578" t="s">
        <v>19</v>
      </c>
      <c r="C578" t="s">
        <v>20</v>
      </c>
      <c r="D578" t="s">
        <v>21</v>
      </c>
      <c r="E578">
        <v>500</v>
      </c>
      <c r="F578" t="s">
        <v>32</v>
      </c>
      <c r="G578" t="s">
        <v>47</v>
      </c>
    </row>
    <row r="579" spans="1:7" x14ac:dyDescent="0.3">
      <c r="A579">
        <v>45513</v>
      </c>
      <c r="B579" t="s">
        <v>19</v>
      </c>
      <c r="C579" t="s">
        <v>20</v>
      </c>
      <c r="D579" t="s">
        <v>21</v>
      </c>
      <c r="E579">
        <v>1000</v>
      </c>
      <c r="F579" t="s">
        <v>22</v>
      </c>
      <c r="G579" t="s">
        <v>23</v>
      </c>
    </row>
    <row r="580" spans="1:7" x14ac:dyDescent="0.3">
      <c r="A580">
        <v>45509</v>
      </c>
      <c r="B580" t="s">
        <v>30</v>
      </c>
      <c r="C580" t="s">
        <v>26</v>
      </c>
      <c r="D580" t="s">
        <v>31</v>
      </c>
      <c r="E580">
        <v>500</v>
      </c>
      <c r="F580" t="s">
        <v>32</v>
      </c>
      <c r="G580" t="s">
        <v>23</v>
      </c>
    </row>
    <row r="581" spans="1:7" x14ac:dyDescent="0.3">
      <c r="A581">
        <v>45501</v>
      </c>
      <c r="B581" t="s">
        <v>25</v>
      </c>
      <c r="C581" t="s">
        <v>26</v>
      </c>
      <c r="D581" t="s">
        <v>27</v>
      </c>
      <c r="E581">
        <v>1000</v>
      </c>
      <c r="F581" t="s">
        <v>22</v>
      </c>
      <c r="G581" t="s">
        <v>28</v>
      </c>
    </row>
    <row r="582" spans="1:7" x14ac:dyDescent="0.3">
      <c r="A582">
        <v>45507</v>
      </c>
      <c r="B582" t="s">
        <v>33</v>
      </c>
      <c r="C582" t="s">
        <v>26</v>
      </c>
      <c r="D582" t="s">
        <v>21</v>
      </c>
      <c r="E582">
        <v>1000</v>
      </c>
      <c r="F582" t="s">
        <v>34</v>
      </c>
      <c r="G582" t="s">
        <v>35</v>
      </c>
    </row>
    <row r="583" spans="1:7" x14ac:dyDescent="0.3">
      <c r="A583">
        <v>45506</v>
      </c>
      <c r="B583" t="s">
        <v>38</v>
      </c>
      <c r="C583" t="s">
        <v>26</v>
      </c>
      <c r="D583" t="s">
        <v>21</v>
      </c>
      <c r="E583">
        <v>1000</v>
      </c>
      <c r="F583" t="s">
        <v>34</v>
      </c>
      <c r="G583" t="s">
        <v>39</v>
      </c>
    </row>
    <row r="584" spans="1:7" x14ac:dyDescent="0.3">
      <c r="A584">
        <v>45507</v>
      </c>
      <c r="B584" t="s">
        <v>33</v>
      </c>
      <c r="C584" t="s">
        <v>26</v>
      </c>
      <c r="D584" t="s">
        <v>21</v>
      </c>
      <c r="E584">
        <v>1000</v>
      </c>
      <c r="F584" t="s">
        <v>34</v>
      </c>
      <c r="G584" t="s">
        <v>35</v>
      </c>
    </row>
    <row r="585" spans="1:7" x14ac:dyDescent="0.3">
      <c r="A585">
        <v>45500</v>
      </c>
      <c r="B585" t="s">
        <v>19</v>
      </c>
      <c r="C585" t="s">
        <v>20</v>
      </c>
      <c r="D585" t="s">
        <v>21</v>
      </c>
      <c r="E585">
        <v>500</v>
      </c>
      <c r="F585" t="s">
        <v>32</v>
      </c>
      <c r="G585" t="s">
        <v>47</v>
      </c>
    </row>
    <row r="586" spans="1:7" x14ac:dyDescent="0.3">
      <c r="A586">
        <v>45507</v>
      </c>
      <c r="B586" t="s">
        <v>33</v>
      </c>
      <c r="C586" t="s">
        <v>26</v>
      </c>
      <c r="D586" t="s">
        <v>21</v>
      </c>
      <c r="E586">
        <v>1000</v>
      </c>
      <c r="F586" t="s">
        <v>34</v>
      </c>
      <c r="G586" t="s">
        <v>35</v>
      </c>
    </row>
    <row r="587" spans="1:7" x14ac:dyDescent="0.3">
      <c r="A587">
        <v>45504</v>
      </c>
      <c r="B587" t="s">
        <v>29</v>
      </c>
      <c r="C587" t="s">
        <v>26</v>
      </c>
      <c r="D587" t="s">
        <v>27</v>
      </c>
      <c r="E587">
        <v>1000</v>
      </c>
      <c r="F587" t="s">
        <v>22</v>
      </c>
      <c r="G587" t="s">
        <v>28</v>
      </c>
    </row>
    <row r="588" spans="1:7" x14ac:dyDescent="0.3">
      <c r="A588">
        <v>45500</v>
      </c>
      <c r="B588" t="s">
        <v>19</v>
      </c>
      <c r="C588" t="s">
        <v>20</v>
      </c>
      <c r="D588" t="s">
        <v>21</v>
      </c>
      <c r="E588">
        <v>500</v>
      </c>
      <c r="F588" t="s">
        <v>32</v>
      </c>
      <c r="G588" t="s">
        <v>47</v>
      </c>
    </row>
    <row r="589" spans="1:7" x14ac:dyDescent="0.3">
      <c r="A589">
        <v>45507</v>
      </c>
      <c r="B589" t="s">
        <v>33</v>
      </c>
      <c r="C589" t="s">
        <v>26</v>
      </c>
      <c r="D589" t="s">
        <v>21</v>
      </c>
      <c r="E589">
        <v>1000</v>
      </c>
      <c r="F589" t="s">
        <v>34</v>
      </c>
      <c r="G589" t="s">
        <v>35</v>
      </c>
    </row>
    <row r="590" spans="1:7" x14ac:dyDescent="0.3">
      <c r="A590">
        <v>45514</v>
      </c>
      <c r="B590" t="s">
        <v>43</v>
      </c>
      <c r="C590" t="s">
        <v>20</v>
      </c>
      <c r="D590" t="s">
        <v>31</v>
      </c>
      <c r="E590">
        <v>1000</v>
      </c>
      <c r="F590" t="s">
        <v>41</v>
      </c>
      <c r="G590" t="s">
        <v>47</v>
      </c>
    </row>
    <row r="591" spans="1:7" x14ac:dyDescent="0.3">
      <c r="A591">
        <v>45513</v>
      </c>
      <c r="B591" t="s">
        <v>19</v>
      </c>
      <c r="C591" t="s">
        <v>20</v>
      </c>
      <c r="D591" t="s">
        <v>21</v>
      </c>
      <c r="E591">
        <v>1000</v>
      </c>
      <c r="F591" t="s">
        <v>22</v>
      </c>
      <c r="G591" t="s">
        <v>23</v>
      </c>
    </row>
    <row r="592" spans="1:7" x14ac:dyDescent="0.3">
      <c r="A592">
        <v>45504</v>
      </c>
      <c r="B592" t="s">
        <v>29</v>
      </c>
      <c r="C592" t="s">
        <v>26</v>
      </c>
      <c r="D592" t="s">
        <v>27</v>
      </c>
      <c r="E592">
        <v>1000</v>
      </c>
      <c r="F592" t="s">
        <v>22</v>
      </c>
      <c r="G592" t="s">
        <v>28</v>
      </c>
    </row>
    <row r="593" spans="1:7" x14ac:dyDescent="0.3">
      <c r="A593">
        <v>45506</v>
      </c>
      <c r="B593" t="s">
        <v>38</v>
      </c>
      <c r="C593" t="s">
        <v>26</v>
      </c>
      <c r="D593" t="s">
        <v>21</v>
      </c>
      <c r="E593">
        <v>1000</v>
      </c>
      <c r="F593" t="s">
        <v>34</v>
      </c>
      <c r="G593" t="s">
        <v>39</v>
      </c>
    </row>
    <row r="594" spans="1:7" x14ac:dyDescent="0.3">
      <c r="A594">
        <v>45502</v>
      </c>
      <c r="B594" t="s">
        <v>40</v>
      </c>
      <c r="C594" t="s">
        <v>20</v>
      </c>
      <c r="D594" t="s">
        <v>31</v>
      </c>
      <c r="E594">
        <v>800</v>
      </c>
      <c r="F594" t="s">
        <v>41</v>
      </c>
      <c r="G594" t="s">
        <v>23</v>
      </c>
    </row>
    <row r="595" spans="1:7" x14ac:dyDescent="0.3">
      <c r="A595">
        <v>45505</v>
      </c>
      <c r="B595" t="s">
        <v>49</v>
      </c>
      <c r="C595" t="s">
        <v>20</v>
      </c>
      <c r="D595" t="s">
        <v>31</v>
      </c>
      <c r="E595">
        <v>800</v>
      </c>
      <c r="F595" t="s">
        <v>41</v>
      </c>
      <c r="G595" t="s">
        <v>39</v>
      </c>
    </row>
    <row r="596" spans="1:7" x14ac:dyDescent="0.3">
      <c r="A596">
        <v>45504</v>
      </c>
      <c r="B596" t="s">
        <v>29</v>
      </c>
      <c r="C596" t="s">
        <v>26</v>
      </c>
      <c r="D596" t="s">
        <v>27</v>
      </c>
      <c r="E596">
        <v>1000</v>
      </c>
      <c r="F596" t="s">
        <v>22</v>
      </c>
      <c r="G596" t="s">
        <v>28</v>
      </c>
    </row>
    <row r="597" spans="1:7" x14ac:dyDescent="0.3">
      <c r="A597">
        <v>45503</v>
      </c>
      <c r="B597" t="s">
        <v>43</v>
      </c>
      <c r="C597" t="s">
        <v>20</v>
      </c>
      <c r="D597" t="s">
        <v>31</v>
      </c>
      <c r="E597">
        <v>500</v>
      </c>
      <c r="F597" t="s">
        <v>44</v>
      </c>
      <c r="G597" t="s">
        <v>45</v>
      </c>
    </row>
    <row r="598" spans="1:7" x14ac:dyDescent="0.3">
      <c r="A598">
        <v>45502</v>
      </c>
      <c r="B598" t="s">
        <v>40</v>
      </c>
      <c r="C598" t="s">
        <v>20</v>
      </c>
      <c r="D598" t="s">
        <v>31</v>
      </c>
      <c r="E598">
        <v>800</v>
      </c>
      <c r="F598" t="s">
        <v>41</v>
      </c>
      <c r="G598" t="s">
        <v>23</v>
      </c>
    </row>
    <row r="599" spans="1:7" x14ac:dyDescent="0.3">
      <c r="A599">
        <v>45507</v>
      </c>
      <c r="B599" t="s">
        <v>33</v>
      </c>
      <c r="C599" t="s">
        <v>26</v>
      </c>
      <c r="D599" t="s">
        <v>21</v>
      </c>
      <c r="E599">
        <v>1000</v>
      </c>
      <c r="F599" t="s">
        <v>34</v>
      </c>
      <c r="G599" t="s">
        <v>35</v>
      </c>
    </row>
    <row r="600" spans="1:7" x14ac:dyDescent="0.3">
      <c r="A600">
        <v>45500</v>
      </c>
      <c r="B600" t="s">
        <v>19</v>
      </c>
      <c r="C600" t="s">
        <v>20</v>
      </c>
      <c r="D600" t="s">
        <v>21</v>
      </c>
      <c r="E600">
        <v>500</v>
      </c>
      <c r="F600" t="s">
        <v>32</v>
      </c>
      <c r="G600" t="s">
        <v>47</v>
      </c>
    </row>
    <row r="601" spans="1:7" x14ac:dyDescent="0.3">
      <c r="A601">
        <v>45510</v>
      </c>
      <c r="B601" t="s">
        <v>48</v>
      </c>
      <c r="C601" t="s">
        <v>20</v>
      </c>
      <c r="D601" t="s">
        <v>27</v>
      </c>
      <c r="E601">
        <v>1000</v>
      </c>
      <c r="F601" t="s">
        <v>22</v>
      </c>
      <c r="G601" t="s">
        <v>28</v>
      </c>
    </row>
    <row r="602" spans="1:7" x14ac:dyDescent="0.3">
      <c r="A602">
        <v>45508</v>
      </c>
      <c r="B602" t="s">
        <v>42</v>
      </c>
      <c r="C602" t="s">
        <v>20</v>
      </c>
      <c r="D602" t="s">
        <v>31</v>
      </c>
      <c r="E602">
        <v>1000</v>
      </c>
      <c r="F602" t="s">
        <v>22</v>
      </c>
      <c r="G602" t="s">
        <v>28</v>
      </c>
    </row>
    <row r="603" spans="1:7" x14ac:dyDescent="0.3">
      <c r="A603">
        <v>45511</v>
      </c>
      <c r="B603" t="s">
        <v>46</v>
      </c>
      <c r="C603" t="s">
        <v>20</v>
      </c>
      <c r="D603" t="s">
        <v>27</v>
      </c>
      <c r="E603">
        <v>1000</v>
      </c>
      <c r="F603" t="s">
        <v>22</v>
      </c>
      <c r="G603" t="s">
        <v>28</v>
      </c>
    </row>
    <row r="604" spans="1:7" x14ac:dyDescent="0.3">
      <c r="A604">
        <v>45514</v>
      </c>
      <c r="B604" t="s">
        <v>43</v>
      </c>
      <c r="C604" t="s">
        <v>20</v>
      </c>
      <c r="D604" t="s">
        <v>31</v>
      </c>
      <c r="E604">
        <v>1000</v>
      </c>
      <c r="F604" t="s">
        <v>41</v>
      </c>
      <c r="G604" t="s">
        <v>47</v>
      </c>
    </row>
    <row r="605" spans="1:7" x14ac:dyDescent="0.3">
      <c r="A605">
        <v>45500</v>
      </c>
      <c r="B605" t="s">
        <v>19</v>
      </c>
      <c r="C605" t="s">
        <v>20</v>
      </c>
      <c r="D605" t="s">
        <v>21</v>
      </c>
      <c r="E605">
        <v>500</v>
      </c>
      <c r="F605" t="s">
        <v>32</v>
      </c>
      <c r="G605" t="s">
        <v>47</v>
      </c>
    </row>
    <row r="606" spans="1:7" x14ac:dyDescent="0.3">
      <c r="A606">
        <v>45513</v>
      </c>
      <c r="B606" t="s">
        <v>19</v>
      </c>
      <c r="C606" t="s">
        <v>20</v>
      </c>
      <c r="D606" t="s">
        <v>21</v>
      </c>
      <c r="E606">
        <v>1000</v>
      </c>
      <c r="F606" t="s">
        <v>22</v>
      </c>
      <c r="G606" t="s">
        <v>23</v>
      </c>
    </row>
    <row r="607" spans="1:7" x14ac:dyDescent="0.3">
      <c r="A607">
        <v>45500</v>
      </c>
      <c r="B607" t="s">
        <v>19</v>
      </c>
      <c r="C607" t="s">
        <v>20</v>
      </c>
      <c r="D607" t="s">
        <v>21</v>
      </c>
      <c r="E607">
        <v>500</v>
      </c>
      <c r="F607" t="s">
        <v>32</v>
      </c>
      <c r="G607" t="s">
        <v>47</v>
      </c>
    </row>
    <row r="608" spans="1:7" x14ac:dyDescent="0.3">
      <c r="A608">
        <v>45506</v>
      </c>
      <c r="B608" t="s">
        <v>38</v>
      </c>
      <c r="C608" t="s">
        <v>26</v>
      </c>
      <c r="D608" t="s">
        <v>21</v>
      </c>
      <c r="E608">
        <v>1000</v>
      </c>
      <c r="F608" t="s">
        <v>34</v>
      </c>
      <c r="G608" t="s">
        <v>39</v>
      </c>
    </row>
    <row r="609" spans="1:7" x14ac:dyDescent="0.3">
      <c r="A609">
        <v>45500</v>
      </c>
      <c r="B609" t="s">
        <v>19</v>
      </c>
      <c r="C609" t="s">
        <v>20</v>
      </c>
      <c r="D609" t="s">
        <v>21</v>
      </c>
      <c r="E609">
        <v>500</v>
      </c>
      <c r="F609" t="s">
        <v>32</v>
      </c>
      <c r="G609" t="s">
        <v>47</v>
      </c>
    </row>
    <row r="610" spans="1:7" x14ac:dyDescent="0.3">
      <c r="A610">
        <v>45506</v>
      </c>
      <c r="B610" t="s">
        <v>38</v>
      </c>
      <c r="C610" t="s">
        <v>26</v>
      </c>
      <c r="D610" t="s">
        <v>21</v>
      </c>
      <c r="E610">
        <v>1000</v>
      </c>
      <c r="F610" t="s">
        <v>34</v>
      </c>
      <c r="G610" t="s">
        <v>39</v>
      </c>
    </row>
    <row r="611" spans="1:7" x14ac:dyDescent="0.3">
      <c r="A611">
        <v>45507</v>
      </c>
      <c r="B611" t="s">
        <v>33</v>
      </c>
      <c r="C611" t="s">
        <v>26</v>
      </c>
      <c r="D611" t="s">
        <v>21</v>
      </c>
      <c r="E611">
        <v>1000</v>
      </c>
      <c r="F611" t="s">
        <v>34</v>
      </c>
      <c r="G611" t="s">
        <v>35</v>
      </c>
    </row>
    <row r="612" spans="1:7" x14ac:dyDescent="0.3">
      <c r="A612">
        <v>45503</v>
      </c>
      <c r="B612" t="s">
        <v>43</v>
      </c>
      <c r="C612" t="s">
        <v>20</v>
      </c>
      <c r="D612" t="s">
        <v>31</v>
      </c>
      <c r="E612">
        <v>500</v>
      </c>
      <c r="F612" t="s">
        <v>44</v>
      </c>
      <c r="G612" t="s">
        <v>45</v>
      </c>
    </row>
    <row r="613" spans="1:7" x14ac:dyDescent="0.3">
      <c r="A613">
        <v>45511</v>
      </c>
      <c r="B613" t="s">
        <v>46</v>
      </c>
      <c r="C613" t="s">
        <v>20</v>
      </c>
      <c r="D613" t="s">
        <v>27</v>
      </c>
      <c r="E613">
        <v>1000</v>
      </c>
      <c r="F613" t="s">
        <v>22</v>
      </c>
      <c r="G613" t="s">
        <v>28</v>
      </c>
    </row>
    <row r="614" spans="1:7" x14ac:dyDescent="0.3">
      <c r="A614">
        <v>45514</v>
      </c>
      <c r="B614" t="s">
        <v>43</v>
      </c>
      <c r="C614" t="s">
        <v>20</v>
      </c>
      <c r="D614" t="s">
        <v>31</v>
      </c>
      <c r="E614">
        <v>1000</v>
      </c>
      <c r="F614" t="s">
        <v>41</v>
      </c>
      <c r="G614" t="s">
        <v>47</v>
      </c>
    </row>
    <row r="615" spans="1:7" x14ac:dyDescent="0.3">
      <c r="A615">
        <v>45507</v>
      </c>
      <c r="B615" t="s">
        <v>33</v>
      </c>
      <c r="C615" t="s">
        <v>26</v>
      </c>
      <c r="D615" t="s">
        <v>21</v>
      </c>
      <c r="E615">
        <v>1000</v>
      </c>
      <c r="F615" t="s">
        <v>34</v>
      </c>
      <c r="G615" t="s">
        <v>35</v>
      </c>
    </row>
    <row r="616" spans="1:7" x14ac:dyDescent="0.3">
      <c r="A616">
        <v>45509</v>
      </c>
      <c r="B616" t="s">
        <v>30</v>
      </c>
      <c r="C616" t="s">
        <v>26</v>
      </c>
      <c r="D616" t="s">
        <v>31</v>
      </c>
      <c r="E616">
        <v>500</v>
      </c>
      <c r="F616" t="s">
        <v>32</v>
      </c>
      <c r="G616" t="s">
        <v>23</v>
      </c>
    </row>
    <row r="617" spans="1:7" x14ac:dyDescent="0.3">
      <c r="A617">
        <v>45507</v>
      </c>
      <c r="B617" t="s">
        <v>33</v>
      </c>
      <c r="C617" t="s">
        <v>26</v>
      </c>
      <c r="D617" t="s">
        <v>21</v>
      </c>
      <c r="E617">
        <v>1000</v>
      </c>
      <c r="F617" t="s">
        <v>34</v>
      </c>
      <c r="G617" t="s">
        <v>35</v>
      </c>
    </row>
    <row r="618" spans="1:7" x14ac:dyDescent="0.3">
      <c r="A618">
        <v>45509</v>
      </c>
      <c r="B618" t="s">
        <v>30</v>
      </c>
      <c r="C618" t="s">
        <v>26</v>
      </c>
      <c r="D618" t="s">
        <v>31</v>
      </c>
      <c r="E618">
        <v>500</v>
      </c>
      <c r="F618" t="s">
        <v>32</v>
      </c>
      <c r="G618" t="s">
        <v>23</v>
      </c>
    </row>
    <row r="619" spans="1:7" x14ac:dyDescent="0.3">
      <c r="A619">
        <v>45514</v>
      </c>
      <c r="B619" t="s">
        <v>43</v>
      </c>
      <c r="C619" t="s">
        <v>20</v>
      </c>
      <c r="D619" t="s">
        <v>31</v>
      </c>
      <c r="E619">
        <v>1000</v>
      </c>
      <c r="F619" t="s">
        <v>41</v>
      </c>
      <c r="G619" t="s">
        <v>47</v>
      </c>
    </row>
    <row r="620" spans="1:7" x14ac:dyDescent="0.3">
      <c r="A620">
        <v>45500</v>
      </c>
      <c r="B620" t="s">
        <v>19</v>
      </c>
      <c r="C620" t="s">
        <v>20</v>
      </c>
      <c r="D620" t="s">
        <v>21</v>
      </c>
      <c r="E620">
        <v>500</v>
      </c>
      <c r="F620" t="s">
        <v>32</v>
      </c>
      <c r="G620" t="s">
        <v>47</v>
      </c>
    </row>
    <row r="621" spans="1:7" x14ac:dyDescent="0.3">
      <c r="A621">
        <v>45506</v>
      </c>
      <c r="B621" t="s">
        <v>38</v>
      </c>
      <c r="C621" t="s">
        <v>26</v>
      </c>
      <c r="D621" t="s">
        <v>21</v>
      </c>
      <c r="E621">
        <v>1000</v>
      </c>
      <c r="F621" t="s">
        <v>34</v>
      </c>
      <c r="G621" t="s">
        <v>39</v>
      </c>
    </row>
    <row r="622" spans="1:7" x14ac:dyDescent="0.3">
      <c r="A622">
        <v>45513</v>
      </c>
      <c r="B622" t="s">
        <v>19</v>
      </c>
      <c r="C622" t="s">
        <v>20</v>
      </c>
      <c r="D622" t="s">
        <v>21</v>
      </c>
      <c r="E622">
        <v>1000</v>
      </c>
      <c r="F622" t="s">
        <v>22</v>
      </c>
      <c r="G622" t="s">
        <v>23</v>
      </c>
    </row>
    <row r="623" spans="1:7" x14ac:dyDescent="0.3">
      <c r="A623">
        <v>45503</v>
      </c>
      <c r="B623" t="s">
        <v>43</v>
      </c>
      <c r="C623" t="s">
        <v>20</v>
      </c>
      <c r="D623" t="s">
        <v>31</v>
      </c>
      <c r="E623">
        <v>500</v>
      </c>
      <c r="F623" t="s">
        <v>44</v>
      </c>
      <c r="G623" t="s">
        <v>45</v>
      </c>
    </row>
    <row r="624" spans="1:7" x14ac:dyDescent="0.3">
      <c r="A624">
        <v>45507</v>
      </c>
      <c r="B624" t="s">
        <v>33</v>
      </c>
      <c r="C624" t="s">
        <v>26</v>
      </c>
      <c r="D624" t="s">
        <v>21</v>
      </c>
      <c r="E624">
        <v>1000</v>
      </c>
      <c r="F624" t="s">
        <v>34</v>
      </c>
      <c r="G624" t="s">
        <v>35</v>
      </c>
    </row>
    <row r="625" spans="1:7" x14ac:dyDescent="0.3">
      <c r="A625">
        <v>45513</v>
      </c>
      <c r="B625" t="s">
        <v>19</v>
      </c>
      <c r="C625" t="s">
        <v>20</v>
      </c>
      <c r="D625" t="s">
        <v>21</v>
      </c>
      <c r="E625">
        <v>1000</v>
      </c>
      <c r="F625" t="s">
        <v>22</v>
      </c>
      <c r="G625" t="s">
        <v>23</v>
      </c>
    </row>
    <row r="626" spans="1:7" x14ac:dyDescent="0.3">
      <c r="A626">
        <v>45505</v>
      </c>
      <c r="B626" t="s">
        <v>49</v>
      </c>
      <c r="C626" t="s">
        <v>20</v>
      </c>
      <c r="D626" t="s">
        <v>31</v>
      </c>
      <c r="E626">
        <v>800</v>
      </c>
      <c r="F626" t="s">
        <v>41</v>
      </c>
      <c r="G626" t="s">
        <v>39</v>
      </c>
    </row>
    <row r="627" spans="1:7" x14ac:dyDescent="0.3">
      <c r="A627">
        <v>45501</v>
      </c>
      <c r="B627" t="s">
        <v>25</v>
      </c>
      <c r="C627" t="s">
        <v>26</v>
      </c>
      <c r="D627" t="s">
        <v>27</v>
      </c>
      <c r="E627">
        <v>1000</v>
      </c>
      <c r="F627" t="s">
        <v>22</v>
      </c>
      <c r="G627" t="s">
        <v>28</v>
      </c>
    </row>
    <row r="628" spans="1:7" x14ac:dyDescent="0.3">
      <c r="A628">
        <v>45510</v>
      </c>
      <c r="B628" t="s">
        <v>48</v>
      </c>
      <c r="C628" t="s">
        <v>20</v>
      </c>
      <c r="D628" t="s">
        <v>27</v>
      </c>
      <c r="E628">
        <v>1000</v>
      </c>
      <c r="F628" t="s">
        <v>22</v>
      </c>
      <c r="G628" t="s">
        <v>28</v>
      </c>
    </row>
    <row r="629" spans="1:7" x14ac:dyDescent="0.3">
      <c r="A629">
        <v>45505</v>
      </c>
      <c r="B629" t="s">
        <v>49</v>
      </c>
      <c r="C629" t="s">
        <v>20</v>
      </c>
      <c r="D629" t="s">
        <v>31</v>
      </c>
      <c r="E629">
        <v>800</v>
      </c>
      <c r="F629" t="s">
        <v>41</v>
      </c>
      <c r="G629" t="s">
        <v>39</v>
      </c>
    </row>
    <row r="630" spans="1:7" x14ac:dyDescent="0.3">
      <c r="A630">
        <v>45506</v>
      </c>
      <c r="B630" t="s">
        <v>38</v>
      </c>
      <c r="C630" t="s">
        <v>26</v>
      </c>
      <c r="D630" t="s">
        <v>21</v>
      </c>
      <c r="E630">
        <v>1000</v>
      </c>
      <c r="F630" t="s">
        <v>34</v>
      </c>
      <c r="G630" t="s">
        <v>39</v>
      </c>
    </row>
    <row r="631" spans="1:7" x14ac:dyDescent="0.3">
      <c r="A631">
        <v>45504</v>
      </c>
      <c r="B631" t="s">
        <v>29</v>
      </c>
      <c r="C631" t="s">
        <v>26</v>
      </c>
      <c r="D631" t="s">
        <v>27</v>
      </c>
      <c r="E631">
        <v>1000</v>
      </c>
      <c r="F631" t="s">
        <v>22</v>
      </c>
      <c r="G631" t="s">
        <v>28</v>
      </c>
    </row>
    <row r="632" spans="1:7" x14ac:dyDescent="0.3">
      <c r="A632">
        <v>45511</v>
      </c>
      <c r="B632" t="s">
        <v>46</v>
      </c>
      <c r="C632" t="s">
        <v>20</v>
      </c>
      <c r="D632" t="s">
        <v>27</v>
      </c>
      <c r="E632">
        <v>1000</v>
      </c>
      <c r="F632" t="s">
        <v>22</v>
      </c>
      <c r="G632" t="s">
        <v>28</v>
      </c>
    </row>
    <row r="633" spans="1:7" x14ac:dyDescent="0.3">
      <c r="A633">
        <v>45514</v>
      </c>
      <c r="B633" t="s">
        <v>43</v>
      </c>
      <c r="C633" t="s">
        <v>20</v>
      </c>
      <c r="D633" t="s">
        <v>31</v>
      </c>
      <c r="E633">
        <v>1000</v>
      </c>
      <c r="F633" t="s">
        <v>41</v>
      </c>
      <c r="G633" t="s">
        <v>47</v>
      </c>
    </row>
    <row r="634" spans="1:7" x14ac:dyDescent="0.3">
      <c r="A634">
        <v>45504</v>
      </c>
      <c r="B634" t="s">
        <v>29</v>
      </c>
      <c r="C634" t="s">
        <v>26</v>
      </c>
      <c r="D634" t="s">
        <v>27</v>
      </c>
      <c r="E634">
        <v>1000</v>
      </c>
      <c r="F634" t="s">
        <v>22</v>
      </c>
      <c r="G634" t="s">
        <v>28</v>
      </c>
    </row>
    <row r="635" spans="1:7" x14ac:dyDescent="0.3">
      <c r="A635">
        <v>45501</v>
      </c>
      <c r="B635" t="s">
        <v>25</v>
      </c>
      <c r="C635" t="s">
        <v>26</v>
      </c>
      <c r="D635" t="s">
        <v>27</v>
      </c>
      <c r="E635">
        <v>1000</v>
      </c>
      <c r="F635" t="s">
        <v>22</v>
      </c>
      <c r="G635" t="s">
        <v>28</v>
      </c>
    </row>
    <row r="636" spans="1:7" x14ac:dyDescent="0.3">
      <c r="A636">
        <v>45512</v>
      </c>
      <c r="B636" t="s">
        <v>36</v>
      </c>
      <c r="C636" t="s">
        <v>26</v>
      </c>
      <c r="D636" t="s">
        <v>21</v>
      </c>
      <c r="E636">
        <v>1000</v>
      </c>
      <c r="F636" t="s">
        <v>37</v>
      </c>
      <c r="G636" t="s">
        <v>28</v>
      </c>
    </row>
    <row r="637" spans="1:7" x14ac:dyDescent="0.3">
      <c r="A637">
        <v>45514</v>
      </c>
      <c r="B637" t="s">
        <v>43</v>
      </c>
      <c r="C637" t="s">
        <v>20</v>
      </c>
      <c r="D637" t="s">
        <v>31</v>
      </c>
      <c r="E637">
        <v>1000</v>
      </c>
      <c r="F637" t="s">
        <v>41</v>
      </c>
      <c r="G637" t="s">
        <v>47</v>
      </c>
    </row>
    <row r="638" spans="1:7" x14ac:dyDescent="0.3">
      <c r="A638">
        <v>45503</v>
      </c>
      <c r="B638" t="s">
        <v>43</v>
      </c>
      <c r="C638" t="s">
        <v>20</v>
      </c>
      <c r="D638" t="s">
        <v>31</v>
      </c>
      <c r="E638">
        <v>500</v>
      </c>
      <c r="F638" t="s">
        <v>44</v>
      </c>
      <c r="G638" t="s">
        <v>45</v>
      </c>
    </row>
    <row r="639" spans="1:7" x14ac:dyDescent="0.3">
      <c r="A639">
        <v>45509</v>
      </c>
      <c r="B639" t="s">
        <v>30</v>
      </c>
      <c r="C639" t="s">
        <v>26</v>
      </c>
      <c r="D639" t="s">
        <v>31</v>
      </c>
      <c r="E639">
        <v>500</v>
      </c>
      <c r="F639" t="s">
        <v>32</v>
      </c>
      <c r="G639" t="s">
        <v>23</v>
      </c>
    </row>
    <row r="640" spans="1:7" x14ac:dyDescent="0.3">
      <c r="A640">
        <v>45502</v>
      </c>
      <c r="B640" t="s">
        <v>40</v>
      </c>
      <c r="C640" t="s">
        <v>20</v>
      </c>
      <c r="D640" t="s">
        <v>31</v>
      </c>
      <c r="E640">
        <v>800</v>
      </c>
      <c r="F640" t="s">
        <v>41</v>
      </c>
      <c r="G640" t="s">
        <v>23</v>
      </c>
    </row>
    <row r="641" spans="1:7" x14ac:dyDescent="0.3">
      <c r="A641">
        <v>45511</v>
      </c>
      <c r="B641" t="s">
        <v>46</v>
      </c>
      <c r="C641" t="s">
        <v>20</v>
      </c>
      <c r="D641" t="s">
        <v>27</v>
      </c>
      <c r="E641">
        <v>1000</v>
      </c>
      <c r="F641" t="s">
        <v>22</v>
      </c>
      <c r="G641" t="s">
        <v>28</v>
      </c>
    </row>
    <row r="642" spans="1:7" x14ac:dyDescent="0.3">
      <c r="A642">
        <v>45510</v>
      </c>
      <c r="B642" t="s">
        <v>48</v>
      </c>
      <c r="C642" t="s">
        <v>20</v>
      </c>
      <c r="D642" t="s">
        <v>27</v>
      </c>
      <c r="E642">
        <v>1000</v>
      </c>
      <c r="F642" t="s">
        <v>22</v>
      </c>
      <c r="G642" t="s">
        <v>28</v>
      </c>
    </row>
    <row r="643" spans="1:7" x14ac:dyDescent="0.3">
      <c r="A643">
        <v>45514</v>
      </c>
      <c r="B643" t="s">
        <v>43</v>
      </c>
      <c r="C643" t="s">
        <v>20</v>
      </c>
      <c r="D643" t="s">
        <v>31</v>
      </c>
      <c r="E643">
        <v>1000</v>
      </c>
      <c r="F643" t="s">
        <v>41</v>
      </c>
      <c r="G643" t="s">
        <v>47</v>
      </c>
    </row>
    <row r="644" spans="1:7" x14ac:dyDescent="0.3">
      <c r="A644">
        <v>45509</v>
      </c>
      <c r="B644" t="s">
        <v>30</v>
      </c>
      <c r="C644" t="s">
        <v>26</v>
      </c>
      <c r="D644" t="s">
        <v>31</v>
      </c>
      <c r="E644">
        <v>500</v>
      </c>
      <c r="F644" t="s">
        <v>32</v>
      </c>
      <c r="G644" t="s">
        <v>23</v>
      </c>
    </row>
    <row r="645" spans="1:7" x14ac:dyDescent="0.3">
      <c r="A645">
        <v>45501</v>
      </c>
      <c r="B645" t="s">
        <v>25</v>
      </c>
      <c r="C645" t="s">
        <v>26</v>
      </c>
      <c r="D645" t="s">
        <v>27</v>
      </c>
      <c r="E645">
        <v>1000</v>
      </c>
      <c r="F645" t="s">
        <v>22</v>
      </c>
      <c r="G645" t="s">
        <v>28</v>
      </c>
    </row>
    <row r="646" spans="1:7" x14ac:dyDescent="0.3">
      <c r="A646">
        <v>45509</v>
      </c>
      <c r="B646" t="s">
        <v>30</v>
      </c>
      <c r="C646" t="s">
        <v>26</v>
      </c>
      <c r="D646" t="s">
        <v>31</v>
      </c>
      <c r="E646">
        <v>500</v>
      </c>
      <c r="F646" t="s">
        <v>32</v>
      </c>
      <c r="G646" t="s">
        <v>23</v>
      </c>
    </row>
    <row r="647" spans="1:7" x14ac:dyDescent="0.3">
      <c r="A647">
        <v>45512</v>
      </c>
      <c r="B647" t="s">
        <v>36</v>
      </c>
      <c r="C647" t="s">
        <v>26</v>
      </c>
      <c r="D647" t="s">
        <v>21</v>
      </c>
      <c r="E647">
        <v>1000</v>
      </c>
      <c r="F647" t="s">
        <v>37</v>
      </c>
      <c r="G647" t="s">
        <v>28</v>
      </c>
    </row>
    <row r="648" spans="1:7" x14ac:dyDescent="0.3">
      <c r="A648">
        <v>45501</v>
      </c>
      <c r="B648" t="s">
        <v>25</v>
      </c>
      <c r="C648" t="s">
        <v>26</v>
      </c>
      <c r="D648" t="s">
        <v>27</v>
      </c>
      <c r="E648">
        <v>1000</v>
      </c>
      <c r="F648" t="s">
        <v>22</v>
      </c>
      <c r="G648" t="s">
        <v>28</v>
      </c>
    </row>
    <row r="649" spans="1:7" x14ac:dyDescent="0.3">
      <c r="A649">
        <v>45503</v>
      </c>
      <c r="B649" t="s">
        <v>43</v>
      </c>
      <c r="C649" t="s">
        <v>20</v>
      </c>
      <c r="D649" t="s">
        <v>31</v>
      </c>
      <c r="E649">
        <v>500</v>
      </c>
      <c r="F649" t="s">
        <v>44</v>
      </c>
      <c r="G649" t="s">
        <v>45</v>
      </c>
    </row>
    <row r="650" spans="1:7" x14ac:dyDescent="0.3">
      <c r="A650">
        <v>45505</v>
      </c>
      <c r="B650" t="s">
        <v>49</v>
      </c>
      <c r="C650" t="s">
        <v>20</v>
      </c>
      <c r="D650" t="s">
        <v>31</v>
      </c>
      <c r="E650">
        <v>800</v>
      </c>
      <c r="F650" t="s">
        <v>41</v>
      </c>
      <c r="G650" t="s">
        <v>39</v>
      </c>
    </row>
    <row r="651" spans="1:7" x14ac:dyDescent="0.3">
      <c r="A651">
        <v>45506</v>
      </c>
      <c r="B651" t="s">
        <v>38</v>
      </c>
      <c r="C651" t="s">
        <v>26</v>
      </c>
      <c r="D651" t="s">
        <v>21</v>
      </c>
      <c r="E651">
        <v>1000</v>
      </c>
      <c r="F651" t="s">
        <v>34</v>
      </c>
      <c r="G651" t="s">
        <v>39</v>
      </c>
    </row>
    <row r="652" spans="1:7" x14ac:dyDescent="0.3">
      <c r="A652">
        <v>45501</v>
      </c>
      <c r="B652" t="s">
        <v>25</v>
      </c>
      <c r="C652" t="s">
        <v>26</v>
      </c>
      <c r="D652" t="s">
        <v>27</v>
      </c>
      <c r="E652">
        <v>1000</v>
      </c>
      <c r="F652" t="s">
        <v>22</v>
      </c>
      <c r="G652" t="s">
        <v>28</v>
      </c>
    </row>
    <row r="653" spans="1:7" x14ac:dyDescent="0.3">
      <c r="A653">
        <v>45503</v>
      </c>
      <c r="B653" t="s">
        <v>43</v>
      </c>
      <c r="C653" t="s">
        <v>20</v>
      </c>
      <c r="D653" t="s">
        <v>31</v>
      </c>
      <c r="E653">
        <v>500</v>
      </c>
      <c r="F653" t="s">
        <v>44</v>
      </c>
      <c r="G653" t="s">
        <v>45</v>
      </c>
    </row>
    <row r="654" spans="1:7" x14ac:dyDescent="0.3">
      <c r="A654">
        <v>45510</v>
      </c>
      <c r="B654" t="s">
        <v>48</v>
      </c>
      <c r="C654" t="s">
        <v>20</v>
      </c>
      <c r="D654" t="s">
        <v>27</v>
      </c>
      <c r="E654">
        <v>1000</v>
      </c>
      <c r="F654" t="s">
        <v>22</v>
      </c>
      <c r="G654" t="s">
        <v>28</v>
      </c>
    </row>
    <row r="655" spans="1:7" x14ac:dyDescent="0.3">
      <c r="A655">
        <v>45512</v>
      </c>
      <c r="B655" t="s">
        <v>36</v>
      </c>
      <c r="C655" t="s">
        <v>26</v>
      </c>
      <c r="D655" t="s">
        <v>21</v>
      </c>
      <c r="E655">
        <v>1000</v>
      </c>
      <c r="F655" t="s">
        <v>37</v>
      </c>
      <c r="G655" t="s">
        <v>28</v>
      </c>
    </row>
    <row r="656" spans="1:7" x14ac:dyDescent="0.3">
      <c r="A656">
        <v>45514</v>
      </c>
      <c r="B656" t="s">
        <v>43</v>
      </c>
      <c r="C656" t="s">
        <v>20</v>
      </c>
      <c r="D656" t="s">
        <v>31</v>
      </c>
      <c r="E656">
        <v>1000</v>
      </c>
      <c r="F656" t="s">
        <v>41</v>
      </c>
      <c r="G656" t="s">
        <v>47</v>
      </c>
    </row>
    <row r="657" spans="1:7" x14ac:dyDescent="0.3">
      <c r="A657">
        <v>45514</v>
      </c>
      <c r="B657" t="s">
        <v>43</v>
      </c>
      <c r="C657" t="s">
        <v>20</v>
      </c>
      <c r="D657" t="s">
        <v>31</v>
      </c>
      <c r="E657">
        <v>1000</v>
      </c>
      <c r="F657" t="s">
        <v>41</v>
      </c>
      <c r="G657" t="s">
        <v>47</v>
      </c>
    </row>
    <row r="658" spans="1:7" x14ac:dyDescent="0.3">
      <c r="A658">
        <v>45505</v>
      </c>
      <c r="B658" t="s">
        <v>49</v>
      </c>
      <c r="C658" t="s">
        <v>20</v>
      </c>
      <c r="D658" t="s">
        <v>31</v>
      </c>
      <c r="E658">
        <v>800</v>
      </c>
      <c r="F658" t="s">
        <v>41</v>
      </c>
      <c r="G658" t="s">
        <v>39</v>
      </c>
    </row>
    <row r="659" spans="1:7" x14ac:dyDescent="0.3">
      <c r="A659">
        <v>45508</v>
      </c>
      <c r="B659" t="s">
        <v>42</v>
      </c>
      <c r="C659" t="s">
        <v>20</v>
      </c>
      <c r="D659" t="s">
        <v>31</v>
      </c>
      <c r="E659">
        <v>1000</v>
      </c>
      <c r="F659" t="s">
        <v>22</v>
      </c>
      <c r="G659" t="s">
        <v>28</v>
      </c>
    </row>
    <row r="660" spans="1:7" x14ac:dyDescent="0.3">
      <c r="A660">
        <v>45503</v>
      </c>
      <c r="B660" t="s">
        <v>43</v>
      </c>
      <c r="C660" t="s">
        <v>20</v>
      </c>
      <c r="D660" t="s">
        <v>31</v>
      </c>
      <c r="E660">
        <v>500</v>
      </c>
      <c r="F660" t="s">
        <v>44</v>
      </c>
      <c r="G660" t="s">
        <v>45</v>
      </c>
    </row>
    <row r="661" spans="1:7" x14ac:dyDescent="0.3">
      <c r="A661">
        <v>45514</v>
      </c>
      <c r="B661" t="s">
        <v>43</v>
      </c>
      <c r="C661" t="s">
        <v>20</v>
      </c>
      <c r="D661" t="s">
        <v>31</v>
      </c>
      <c r="E661">
        <v>1000</v>
      </c>
      <c r="F661" t="s">
        <v>41</v>
      </c>
      <c r="G661" t="s">
        <v>47</v>
      </c>
    </row>
    <row r="662" spans="1:7" x14ac:dyDescent="0.3">
      <c r="A662">
        <v>45503</v>
      </c>
      <c r="B662" t="s">
        <v>43</v>
      </c>
      <c r="C662" t="s">
        <v>20</v>
      </c>
      <c r="D662" t="s">
        <v>31</v>
      </c>
      <c r="E662">
        <v>500</v>
      </c>
      <c r="F662" t="s">
        <v>44</v>
      </c>
      <c r="G662" t="s">
        <v>45</v>
      </c>
    </row>
    <row r="663" spans="1:7" x14ac:dyDescent="0.3">
      <c r="A663">
        <v>45512</v>
      </c>
      <c r="B663" t="s">
        <v>36</v>
      </c>
      <c r="C663" t="s">
        <v>26</v>
      </c>
      <c r="D663" t="s">
        <v>21</v>
      </c>
      <c r="E663">
        <v>1000</v>
      </c>
      <c r="F663" t="s">
        <v>37</v>
      </c>
      <c r="G663" t="s">
        <v>28</v>
      </c>
    </row>
    <row r="664" spans="1:7" x14ac:dyDescent="0.3">
      <c r="A664">
        <v>45505</v>
      </c>
      <c r="B664" t="s">
        <v>49</v>
      </c>
      <c r="C664" t="s">
        <v>20</v>
      </c>
      <c r="D664" t="s">
        <v>31</v>
      </c>
      <c r="E664">
        <v>800</v>
      </c>
      <c r="F664" t="s">
        <v>41</v>
      </c>
      <c r="G664" t="s">
        <v>39</v>
      </c>
    </row>
    <row r="665" spans="1:7" x14ac:dyDescent="0.3">
      <c r="A665">
        <v>45509</v>
      </c>
      <c r="B665" t="s">
        <v>30</v>
      </c>
      <c r="C665" t="s">
        <v>26</v>
      </c>
      <c r="D665" t="s">
        <v>31</v>
      </c>
      <c r="E665">
        <v>500</v>
      </c>
      <c r="F665" t="s">
        <v>32</v>
      </c>
      <c r="G665" t="s">
        <v>23</v>
      </c>
    </row>
    <row r="666" spans="1:7" x14ac:dyDescent="0.3">
      <c r="A666">
        <v>45503</v>
      </c>
      <c r="B666" t="s">
        <v>43</v>
      </c>
      <c r="C666" t="s">
        <v>20</v>
      </c>
      <c r="D666" t="s">
        <v>31</v>
      </c>
      <c r="E666">
        <v>500</v>
      </c>
      <c r="F666" t="s">
        <v>44</v>
      </c>
      <c r="G666" t="s">
        <v>45</v>
      </c>
    </row>
    <row r="667" spans="1:7" x14ac:dyDescent="0.3">
      <c r="A667">
        <v>45501</v>
      </c>
      <c r="B667" t="s">
        <v>25</v>
      </c>
      <c r="C667" t="s">
        <v>26</v>
      </c>
      <c r="D667" t="s">
        <v>27</v>
      </c>
      <c r="E667">
        <v>1000</v>
      </c>
      <c r="F667" t="s">
        <v>22</v>
      </c>
      <c r="G667" t="s">
        <v>28</v>
      </c>
    </row>
    <row r="668" spans="1:7" x14ac:dyDescent="0.3">
      <c r="A668">
        <v>45511</v>
      </c>
      <c r="B668" t="s">
        <v>46</v>
      </c>
      <c r="C668" t="s">
        <v>20</v>
      </c>
      <c r="D668" t="s">
        <v>27</v>
      </c>
      <c r="E668">
        <v>1000</v>
      </c>
      <c r="F668" t="s">
        <v>22</v>
      </c>
      <c r="G668" t="s">
        <v>28</v>
      </c>
    </row>
    <row r="669" spans="1:7" x14ac:dyDescent="0.3">
      <c r="A669">
        <v>45506</v>
      </c>
      <c r="B669" t="s">
        <v>38</v>
      </c>
      <c r="C669" t="s">
        <v>26</v>
      </c>
      <c r="D669" t="s">
        <v>21</v>
      </c>
      <c r="E669">
        <v>1000</v>
      </c>
      <c r="F669" t="s">
        <v>34</v>
      </c>
      <c r="G669" t="s">
        <v>39</v>
      </c>
    </row>
    <row r="670" spans="1:7" x14ac:dyDescent="0.3">
      <c r="A670">
        <v>45504</v>
      </c>
      <c r="B670" t="s">
        <v>29</v>
      </c>
      <c r="C670" t="s">
        <v>26</v>
      </c>
      <c r="D670" t="s">
        <v>27</v>
      </c>
      <c r="E670">
        <v>1000</v>
      </c>
      <c r="F670" t="s">
        <v>22</v>
      </c>
      <c r="G670" t="s">
        <v>28</v>
      </c>
    </row>
    <row r="671" spans="1:7" x14ac:dyDescent="0.3">
      <c r="A671">
        <v>45503</v>
      </c>
      <c r="B671" t="s">
        <v>43</v>
      </c>
      <c r="C671" t="s">
        <v>20</v>
      </c>
      <c r="D671" t="s">
        <v>31</v>
      </c>
      <c r="E671">
        <v>500</v>
      </c>
      <c r="F671" t="s">
        <v>44</v>
      </c>
      <c r="G671" t="s">
        <v>45</v>
      </c>
    </row>
    <row r="672" spans="1:7" x14ac:dyDescent="0.3">
      <c r="A672">
        <v>45505</v>
      </c>
      <c r="B672" t="s">
        <v>49</v>
      </c>
      <c r="C672" t="s">
        <v>20</v>
      </c>
      <c r="D672" t="s">
        <v>31</v>
      </c>
      <c r="E672">
        <v>800</v>
      </c>
      <c r="F672" t="s">
        <v>41</v>
      </c>
      <c r="G672" t="s">
        <v>39</v>
      </c>
    </row>
    <row r="673" spans="1:7" x14ac:dyDescent="0.3">
      <c r="A673">
        <v>45505</v>
      </c>
      <c r="B673" t="s">
        <v>49</v>
      </c>
      <c r="C673" t="s">
        <v>20</v>
      </c>
      <c r="D673" t="s">
        <v>31</v>
      </c>
      <c r="E673">
        <v>800</v>
      </c>
      <c r="F673" t="s">
        <v>41</v>
      </c>
      <c r="G673" t="s">
        <v>39</v>
      </c>
    </row>
    <row r="674" spans="1:7" x14ac:dyDescent="0.3">
      <c r="A674">
        <v>45502</v>
      </c>
      <c r="B674" t="s">
        <v>40</v>
      </c>
      <c r="C674" t="s">
        <v>20</v>
      </c>
      <c r="D674" t="s">
        <v>31</v>
      </c>
      <c r="E674">
        <v>800</v>
      </c>
      <c r="F674" t="s">
        <v>41</v>
      </c>
      <c r="G674" t="s">
        <v>23</v>
      </c>
    </row>
    <row r="675" spans="1:7" x14ac:dyDescent="0.3">
      <c r="A675">
        <v>45504</v>
      </c>
      <c r="B675" t="s">
        <v>29</v>
      </c>
      <c r="C675" t="s">
        <v>26</v>
      </c>
      <c r="D675" t="s">
        <v>27</v>
      </c>
      <c r="E675">
        <v>1000</v>
      </c>
      <c r="F675" t="s">
        <v>22</v>
      </c>
      <c r="G675" t="s">
        <v>28</v>
      </c>
    </row>
    <row r="676" spans="1:7" x14ac:dyDescent="0.3">
      <c r="A676">
        <v>45500</v>
      </c>
      <c r="B676" t="s">
        <v>19</v>
      </c>
      <c r="C676" t="s">
        <v>20</v>
      </c>
      <c r="D676" t="s">
        <v>21</v>
      </c>
      <c r="E676">
        <v>500</v>
      </c>
      <c r="F676" t="s">
        <v>32</v>
      </c>
      <c r="G676" t="s">
        <v>47</v>
      </c>
    </row>
    <row r="677" spans="1:7" x14ac:dyDescent="0.3">
      <c r="A677">
        <v>45500</v>
      </c>
      <c r="B677" t="s">
        <v>19</v>
      </c>
      <c r="C677" t="s">
        <v>20</v>
      </c>
      <c r="D677" t="s">
        <v>21</v>
      </c>
      <c r="E677">
        <v>500</v>
      </c>
      <c r="F677" t="s">
        <v>32</v>
      </c>
      <c r="G677" t="s">
        <v>47</v>
      </c>
    </row>
    <row r="678" spans="1:7" x14ac:dyDescent="0.3">
      <c r="A678">
        <v>45509</v>
      </c>
      <c r="B678" t="s">
        <v>30</v>
      </c>
      <c r="C678" t="s">
        <v>26</v>
      </c>
      <c r="D678" t="s">
        <v>31</v>
      </c>
      <c r="E678">
        <v>500</v>
      </c>
      <c r="F678" t="s">
        <v>32</v>
      </c>
      <c r="G678" t="s">
        <v>23</v>
      </c>
    </row>
    <row r="679" spans="1:7" x14ac:dyDescent="0.3">
      <c r="A679">
        <v>45501</v>
      </c>
      <c r="B679" t="s">
        <v>25</v>
      </c>
      <c r="C679" t="s">
        <v>26</v>
      </c>
      <c r="D679" t="s">
        <v>27</v>
      </c>
      <c r="E679">
        <v>1000</v>
      </c>
      <c r="F679" t="s">
        <v>22</v>
      </c>
      <c r="G679" t="s">
        <v>28</v>
      </c>
    </row>
    <row r="680" spans="1:7" x14ac:dyDescent="0.3">
      <c r="A680">
        <v>45501</v>
      </c>
      <c r="B680" t="s">
        <v>25</v>
      </c>
      <c r="C680" t="s">
        <v>26</v>
      </c>
      <c r="D680" t="s">
        <v>27</v>
      </c>
      <c r="E680">
        <v>1000</v>
      </c>
      <c r="F680" t="s">
        <v>22</v>
      </c>
      <c r="G680" t="s">
        <v>28</v>
      </c>
    </row>
    <row r="681" spans="1:7" x14ac:dyDescent="0.3">
      <c r="A681">
        <v>45513</v>
      </c>
      <c r="B681" t="s">
        <v>19</v>
      </c>
      <c r="C681" t="s">
        <v>20</v>
      </c>
      <c r="D681" t="s">
        <v>21</v>
      </c>
      <c r="E681">
        <v>1000</v>
      </c>
      <c r="F681" t="s">
        <v>22</v>
      </c>
      <c r="G681" t="s">
        <v>23</v>
      </c>
    </row>
    <row r="682" spans="1:7" x14ac:dyDescent="0.3">
      <c r="A682">
        <v>45504</v>
      </c>
      <c r="B682" t="s">
        <v>29</v>
      </c>
      <c r="C682" t="s">
        <v>26</v>
      </c>
      <c r="D682" t="s">
        <v>27</v>
      </c>
      <c r="E682">
        <v>1000</v>
      </c>
      <c r="F682" t="s">
        <v>22</v>
      </c>
      <c r="G682" t="s">
        <v>28</v>
      </c>
    </row>
    <row r="683" spans="1:7" x14ac:dyDescent="0.3">
      <c r="A683">
        <v>45514</v>
      </c>
      <c r="B683" t="s">
        <v>43</v>
      </c>
      <c r="C683" t="s">
        <v>20</v>
      </c>
      <c r="D683" t="s">
        <v>31</v>
      </c>
      <c r="E683">
        <v>1000</v>
      </c>
      <c r="F683" t="s">
        <v>41</v>
      </c>
      <c r="G683" t="s">
        <v>47</v>
      </c>
    </row>
    <row r="684" spans="1:7" x14ac:dyDescent="0.3">
      <c r="A684">
        <v>45513</v>
      </c>
      <c r="B684" t="s">
        <v>19</v>
      </c>
      <c r="C684" t="s">
        <v>20</v>
      </c>
      <c r="D684" t="s">
        <v>21</v>
      </c>
      <c r="E684">
        <v>1000</v>
      </c>
      <c r="F684" t="s">
        <v>22</v>
      </c>
      <c r="G684" t="s">
        <v>23</v>
      </c>
    </row>
    <row r="685" spans="1:7" x14ac:dyDescent="0.3">
      <c r="A685">
        <v>45504</v>
      </c>
      <c r="B685" t="s">
        <v>29</v>
      </c>
      <c r="C685" t="s">
        <v>26</v>
      </c>
      <c r="D685" t="s">
        <v>27</v>
      </c>
      <c r="E685">
        <v>1000</v>
      </c>
      <c r="F685" t="s">
        <v>22</v>
      </c>
      <c r="G685" t="s">
        <v>28</v>
      </c>
    </row>
    <row r="686" spans="1:7" x14ac:dyDescent="0.3">
      <c r="A686">
        <v>45506</v>
      </c>
      <c r="B686" t="s">
        <v>38</v>
      </c>
      <c r="C686" t="s">
        <v>26</v>
      </c>
      <c r="D686" t="s">
        <v>21</v>
      </c>
      <c r="E686">
        <v>1000</v>
      </c>
      <c r="F686" t="s">
        <v>34</v>
      </c>
      <c r="G686" t="s">
        <v>39</v>
      </c>
    </row>
    <row r="687" spans="1:7" x14ac:dyDescent="0.3">
      <c r="A687">
        <v>45510</v>
      </c>
      <c r="B687" t="s">
        <v>48</v>
      </c>
      <c r="C687" t="s">
        <v>20</v>
      </c>
      <c r="D687" t="s">
        <v>27</v>
      </c>
      <c r="E687">
        <v>1000</v>
      </c>
      <c r="F687" t="s">
        <v>22</v>
      </c>
      <c r="G687" t="s">
        <v>28</v>
      </c>
    </row>
    <row r="688" spans="1:7" x14ac:dyDescent="0.3">
      <c r="A688">
        <v>45501</v>
      </c>
      <c r="B688" t="s">
        <v>25</v>
      </c>
      <c r="C688" t="s">
        <v>26</v>
      </c>
      <c r="D688" t="s">
        <v>27</v>
      </c>
      <c r="E688">
        <v>1000</v>
      </c>
      <c r="F688" t="s">
        <v>22</v>
      </c>
      <c r="G688" t="s">
        <v>28</v>
      </c>
    </row>
    <row r="689" spans="1:7" x14ac:dyDescent="0.3">
      <c r="A689">
        <v>45511</v>
      </c>
      <c r="B689" t="s">
        <v>46</v>
      </c>
      <c r="C689" t="s">
        <v>20</v>
      </c>
      <c r="D689" t="s">
        <v>27</v>
      </c>
      <c r="E689">
        <v>1000</v>
      </c>
      <c r="F689" t="s">
        <v>22</v>
      </c>
      <c r="G689" t="s">
        <v>28</v>
      </c>
    </row>
    <row r="690" spans="1:7" x14ac:dyDescent="0.3">
      <c r="A690">
        <v>45512</v>
      </c>
      <c r="B690" t="s">
        <v>36</v>
      </c>
      <c r="C690" t="s">
        <v>26</v>
      </c>
      <c r="D690" t="s">
        <v>21</v>
      </c>
      <c r="E690">
        <v>1000</v>
      </c>
      <c r="F690" t="s">
        <v>37</v>
      </c>
      <c r="G690" t="s">
        <v>28</v>
      </c>
    </row>
    <row r="691" spans="1:7" x14ac:dyDescent="0.3">
      <c r="A691">
        <v>45514</v>
      </c>
      <c r="B691" t="s">
        <v>43</v>
      </c>
      <c r="C691" t="s">
        <v>20</v>
      </c>
      <c r="D691" t="s">
        <v>31</v>
      </c>
      <c r="E691">
        <v>1000</v>
      </c>
      <c r="F691" t="s">
        <v>41</v>
      </c>
      <c r="G691" t="s">
        <v>47</v>
      </c>
    </row>
    <row r="692" spans="1:7" x14ac:dyDescent="0.3">
      <c r="A692">
        <v>45505</v>
      </c>
      <c r="B692" t="s">
        <v>49</v>
      </c>
      <c r="C692" t="s">
        <v>20</v>
      </c>
      <c r="D692" t="s">
        <v>31</v>
      </c>
      <c r="E692">
        <v>800</v>
      </c>
      <c r="F692" t="s">
        <v>41</v>
      </c>
      <c r="G692" t="s">
        <v>39</v>
      </c>
    </row>
    <row r="693" spans="1:7" x14ac:dyDescent="0.3">
      <c r="A693">
        <v>45503</v>
      </c>
      <c r="B693" t="s">
        <v>43</v>
      </c>
      <c r="C693" t="s">
        <v>20</v>
      </c>
      <c r="D693" t="s">
        <v>31</v>
      </c>
      <c r="E693">
        <v>500</v>
      </c>
      <c r="F693" t="s">
        <v>44</v>
      </c>
      <c r="G693" t="s">
        <v>45</v>
      </c>
    </row>
    <row r="694" spans="1:7" x14ac:dyDescent="0.3">
      <c r="A694">
        <v>45508</v>
      </c>
      <c r="B694" t="s">
        <v>42</v>
      </c>
      <c r="C694" t="s">
        <v>20</v>
      </c>
      <c r="D694" t="s">
        <v>31</v>
      </c>
      <c r="E694">
        <v>1000</v>
      </c>
      <c r="F694" t="s">
        <v>22</v>
      </c>
      <c r="G694" t="s">
        <v>28</v>
      </c>
    </row>
    <row r="695" spans="1:7" x14ac:dyDescent="0.3">
      <c r="A695">
        <v>45513</v>
      </c>
      <c r="B695" t="s">
        <v>19</v>
      </c>
      <c r="C695" t="s">
        <v>20</v>
      </c>
      <c r="D695" t="s">
        <v>21</v>
      </c>
      <c r="E695">
        <v>1000</v>
      </c>
      <c r="F695" t="s">
        <v>22</v>
      </c>
      <c r="G695" t="s">
        <v>23</v>
      </c>
    </row>
    <row r="696" spans="1:7" x14ac:dyDescent="0.3">
      <c r="A696">
        <v>45509</v>
      </c>
      <c r="B696" t="s">
        <v>30</v>
      </c>
      <c r="C696" t="s">
        <v>26</v>
      </c>
      <c r="D696" t="s">
        <v>31</v>
      </c>
      <c r="E696">
        <v>500</v>
      </c>
      <c r="F696" t="s">
        <v>32</v>
      </c>
      <c r="G696" t="s">
        <v>23</v>
      </c>
    </row>
    <row r="697" spans="1:7" x14ac:dyDescent="0.3">
      <c r="A697">
        <v>45501</v>
      </c>
      <c r="B697" t="s">
        <v>25</v>
      </c>
      <c r="C697" t="s">
        <v>26</v>
      </c>
      <c r="D697" t="s">
        <v>27</v>
      </c>
      <c r="E697">
        <v>1000</v>
      </c>
      <c r="F697" t="s">
        <v>22</v>
      </c>
      <c r="G697" t="s">
        <v>28</v>
      </c>
    </row>
    <row r="698" spans="1:7" x14ac:dyDescent="0.3">
      <c r="A698">
        <v>45514</v>
      </c>
      <c r="B698" t="s">
        <v>43</v>
      </c>
      <c r="C698" t="s">
        <v>20</v>
      </c>
      <c r="D698" t="s">
        <v>31</v>
      </c>
      <c r="E698">
        <v>1000</v>
      </c>
      <c r="F698" t="s">
        <v>41</v>
      </c>
      <c r="G698" t="s">
        <v>47</v>
      </c>
    </row>
    <row r="699" spans="1:7" x14ac:dyDescent="0.3">
      <c r="A699">
        <v>45503</v>
      </c>
      <c r="B699" t="s">
        <v>43</v>
      </c>
      <c r="C699" t="s">
        <v>20</v>
      </c>
      <c r="D699" t="s">
        <v>31</v>
      </c>
      <c r="E699">
        <v>500</v>
      </c>
      <c r="F699" t="s">
        <v>44</v>
      </c>
      <c r="G699" t="s">
        <v>45</v>
      </c>
    </row>
    <row r="700" spans="1:7" x14ac:dyDescent="0.3">
      <c r="A700">
        <v>45505</v>
      </c>
      <c r="B700" t="s">
        <v>49</v>
      </c>
      <c r="C700" t="s">
        <v>20</v>
      </c>
      <c r="D700" t="s">
        <v>31</v>
      </c>
      <c r="E700">
        <v>800</v>
      </c>
      <c r="F700" t="s">
        <v>41</v>
      </c>
      <c r="G700" t="s">
        <v>39</v>
      </c>
    </row>
    <row r="701" spans="1:7" x14ac:dyDescent="0.3">
      <c r="A701">
        <v>45512</v>
      </c>
      <c r="B701" t="s">
        <v>36</v>
      </c>
      <c r="C701" t="s">
        <v>26</v>
      </c>
      <c r="D701" t="s">
        <v>21</v>
      </c>
      <c r="E701">
        <v>1000</v>
      </c>
      <c r="F701" t="s">
        <v>37</v>
      </c>
      <c r="G701" t="s">
        <v>28</v>
      </c>
    </row>
    <row r="702" spans="1:7" x14ac:dyDescent="0.3">
      <c r="A702">
        <v>45508</v>
      </c>
      <c r="B702" t="s">
        <v>42</v>
      </c>
      <c r="C702" t="s">
        <v>20</v>
      </c>
      <c r="D702" t="s">
        <v>31</v>
      </c>
      <c r="E702">
        <v>1000</v>
      </c>
      <c r="F702" t="s">
        <v>22</v>
      </c>
      <c r="G702" t="s">
        <v>28</v>
      </c>
    </row>
    <row r="703" spans="1:7" x14ac:dyDescent="0.3">
      <c r="A703">
        <v>45506</v>
      </c>
      <c r="B703" t="s">
        <v>38</v>
      </c>
      <c r="C703" t="s">
        <v>26</v>
      </c>
      <c r="D703" t="s">
        <v>21</v>
      </c>
      <c r="E703">
        <v>1000</v>
      </c>
      <c r="F703" t="s">
        <v>34</v>
      </c>
      <c r="G703" t="s">
        <v>39</v>
      </c>
    </row>
    <row r="704" spans="1:7" x14ac:dyDescent="0.3">
      <c r="A704">
        <v>45500</v>
      </c>
      <c r="B704" t="s">
        <v>19</v>
      </c>
      <c r="C704" t="s">
        <v>20</v>
      </c>
      <c r="D704" t="s">
        <v>21</v>
      </c>
      <c r="E704">
        <v>500</v>
      </c>
      <c r="F704" t="s">
        <v>32</v>
      </c>
      <c r="G704" t="s">
        <v>47</v>
      </c>
    </row>
    <row r="705" spans="1:7" x14ac:dyDescent="0.3">
      <c r="A705">
        <v>45505</v>
      </c>
      <c r="B705" t="s">
        <v>49</v>
      </c>
      <c r="C705" t="s">
        <v>20</v>
      </c>
      <c r="D705" t="s">
        <v>31</v>
      </c>
      <c r="E705">
        <v>800</v>
      </c>
      <c r="F705" t="s">
        <v>41</v>
      </c>
      <c r="G705" t="s">
        <v>39</v>
      </c>
    </row>
    <row r="706" spans="1:7" x14ac:dyDescent="0.3">
      <c r="A706">
        <v>45502</v>
      </c>
      <c r="B706" t="s">
        <v>40</v>
      </c>
      <c r="C706" t="s">
        <v>20</v>
      </c>
      <c r="D706" t="s">
        <v>31</v>
      </c>
      <c r="E706">
        <v>800</v>
      </c>
      <c r="F706" t="s">
        <v>41</v>
      </c>
      <c r="G706" t="s">
        <v>23</v>
      </c>
    </row>
    <row r="707" spans="1:7" x14ac:dyDescent="0.3">
      <c r="A707">
        <v>45502</v>
      </c>
      <c r="B707" t="s">
        <v>40</v>
      </c>
      <c r="C707" t="s">
        <v>20</v>
      </c>
      <c r="D707" t="s">
        <v>31</v>
      </c>
      <c r="E707">
        <v>800</v>
      </c>
      <c r="F707" t="s">
        <v>41</v>
      </c>
      <c r="G707" t="s">
        <v>23</v>
      </c>
    </row>
    <row r="708" spans="1:7" x14ac:dyDescent="0.3">
      <c r="A708">
        <v>45501</v>
      </c>
      <c r="B708" t="s">
        <v>25</v>
      </c>
      <c r="C708" t="s">
        <v>26</v>
      </c>
      <c r="D708" t="s">
        <v>27</v>
      </c>
      <c r="E708">
        <v>1000</v>
      </c>
      <c r="F708" t="s">
        <v>22</v>
      </c>
      <c r="G708" t="s">
        <v>28</v>
      </c>
    </row>
    <row r="709" spans="1:7" x14ac:dyDescent="0.3">
      <c r="A709">
        <v>45507</v>
      </c>
      <c r="B709" t="s">
        <v>33</v>
      </c>
      <c r="C709" t="s">
        <v>26</v>
      </c>
      <c r="D709" t="s">
        <v>21</v>
      </c>
      <c r="E709">
        <v>1000</v>
      </c>
      <c r="F709" t="s">
        <v>34</v>
      </c>
      <c r="G709" t="s">
        <v>35</v>
      </c>
    </row>
    <row r="710" spans="1:7" x14ac:dyDescent="0.3">
      <c r="A710">
        <v>45505</v>
      </c>
      <c r="B710" t="s">
        <v>49</v>
      </c>
      <c r="C710" t="s">
        <v>20</v>
      </c>
      <c r="D710" t="s">
        <v>31</v>
      </c>
      <c r="E710">
        <v>800</v>
      </c>
      <c r="F710" t="s">
        <v>41</v>
      </c>
      <c r="G710" t="s">
        <v>39</v>
      </c>
    </row>
    <row r="711" spans="1:7" x14ac:dyDescent="0.3">
      <c r="A711">
        <v>45512</v>
      </c>
      <c r="B711" t="s">
        <v>36</v>
      </c>
      <c r="C711" t="s">
        <v>26</v>
      </c>
      <c r="D711" t="s">
        <v>21</v>
      </c>
      <c r="E711">
        <v>1000</v>
      </c>
      <c r="F711" t="s">
        <v>37</v>
      </c>
      <c r="G711" t="s">
        <v>28</v>
      </c>
    </row>
    <row r="712" spans="1:7" x14ac:dyDescent="0.3">
      <c r="A712">
        <v>45501</v>
      </c>
      <c r="B712" t="s">
        <v>25</v>
      </c>
      <c r="C712" t="s">
        <v>26</v>
      </c>
      <c r="D712" t="s">
        <v>27</v>
      </c>
      <c r="E712">
        <v>1000</v>
      </c>
      <c r="F712" t="s">
        <v>22</v>
      </c>
      <c r="G712" t="s">
        <v>28</v>
      </c>
    </row>
    <row r="713" spans="1:7" x14ac:dyDescent="0.3">
      <c r="A713">
        <v>45510</v>
      </c>
      <c r="B713" t="s">
        <v>48</v>
      </c>
      <c r="C713" t="s">
        <v>20</v>
      </c>
      <c r="D713" t="s">
        <v>27</v>
      </c>
      <c r="E713">
        <v>1000</v>
      </c>
      <c r="F713" t="s">
        <v>22</v>
      </c>
      <c r="G713" t="s">
        <v>28</v>
      </c>
    </row>
    <row r="714" spans="1:7" x14ac:dyDescent="0.3">
      <c r="A714">
        <v>45502</v>
      </c>
      <c r="B714" t="s">
        <v>40</v>
      </c>
      <c r="C714" t="s">
        <v>20</v>
      </c>
      <c r="D714" t="s">
        <v>31</v>
      </c>
      <c r="E714">
        <v>800</v>
      </c>
      <c r="F714" t="s">
        <v>41</v>
      </c>
      <c r="G714" t="s">
        <v>23</v>
      </c>
    </row>
    <row r="715" spans="1:7" x14ac:dyDescent="0.3">
      <c r="A715">
        <v>45500</v>
      </c>
      <c r="B715" t="s">
        <v>19</v>
      </c>
      <c r="C715" t="s">
        <v>20</v>
      </c>
      <c r="D715" t="s">
        <v>21</v>
      </c>
      <c r="E715">
        <v>500</v>
      </c>
      <c r="F715" t="s">
        <v>32</v>
      </c>
      <c r="G715" t="s">
        <v>47</v>
      </c>
    </row>
    <row r="716" spans="1:7" x14ac:dyDescent="0.3">
      <c r="A716">
        <v>45506</v>
      </c>
      <c r="B716" t="s">
        <v>38</v>
      </c>
      <c r="C716" t="s">
        <v>26</v>
      </c>
      <c r="D716" t="s">
        <v>21</v>
      </c>
      <c r="E716">
        <v>1000</v>
      </c>
      <c r="F716" t="s">
        <v>34</v>
      </c>
      <c r="G716" t="s">
        <v>39</v>
      </c>
    </row>
    <row r="717" spans="1:7" x14ac:dyDescent="0.3">
      <c r="A717">
        <v>45511</v>
      </c>
      <c r="B717" t="s">
        <v>46</v>
      </c>
      <c r="C717" t="s">
        <v>20</v>
      </c>
      <c r="D717" t="s">
        <v>27</v>
      </c>
      <c r="E717">
        <v>1000</v>
      </c>
      <c r="F717" t="s">
        <v>22</v>
      </c>
      <c r="G717" t="s">
        <v>28</v>
      </c>
    </row>
    <row r="718" spans="1:7" x14ac:dyDescent="0.3">
      <c r="A718">
        <v>45505</v>
      </c>
      <c r="B718" t="s">
        <v>49</v>
      </c>
      <c r="C718" t="s">
        <v>20</v>
      </c>
      <c r="D718" t="s">
        <v>31</v>
      </c>
      <c r="E718">
        <v>800</v>
      </c>
      <c r="F718" t="s">
        <v>41</v>
      </c>
      <c r="G718" t="s">
        <v>39</v>
      </c>
    </row>
    <row r="719" spans="1:7" x14ac:dyDescent="0.3">
      <c r="A719">
        <v>45501</v>
      </c>
      <c r="B719" t="s">
        <v>25</v>
      </c>
      <c r="C719" t="s">
        <v>26</v>
      </c>
      <c r="D719" t="s">
        <v>27</v>
      </c>
      <c r="E719">
        <v>1000</v>
      </c>
      <c r="F719" t="s">
        <v>22</v>
      </c>
      <c r="G719" t="s">
        <v>28</v>
      </c>
    </row>
    <row r="720" spans="1:7" x14ac:dyDescent="0.3">
      <c r="A720">
        <v>45507</v>
      </c>
      <c r="B720" t="s">
        <v>33</v>
      </c>
      <c r="C720" t="s">
        <v>26</v>
      </c>
      <c r="D720" t="s">
        <v>21</v>
      </c>
      <c r="E720">
        <v>1000</v>
      </c>
      <c r="F720" t="s">
        <v>34</v>
      </c>
      <c r="G720" t="s">
        <v>35</v>
      </c>
    </row>
    <row r="721" spans="1:7" x14ac:dyDescent="0.3">
      <c r="A721">
        <v>45514</v>
      </c>
      <c r="B721" t="s">
        <v>43</v>
      </c>
      <c r="C721" t="s">
        <v>20</v>
      </c>
      <c r="D721" t="s">
        <v>31</v>
      </c>
      <c r="E721">
        <v>1000</v>
      </c>
      <c r="F721" t="s">
        <v>41</v>
      </c>
      <c r="G721" t="s">
        <v>47</v>
      </c>
    </row>
    <row r="722" spans="1:7" x14ac:dyDescent="0.3">
      <c r="A722">
        <v>45512</v>
      </c>
      <c r="B722" t="s">
        <v>36</v>
      </c>
      <c r="C722" t="s">
        <v>26</v>
      </c>
      <c r="D722" t="s">
        <v>21</v>
      </c>
      <c r="E722">
        <v>1000</v>
      </c>
      <c r="F722" t="s">
        <v>37</v>
      </c>
      <c r="G722" t="s">
        <v>28</v>
      </c>
    </row>
    <row r="723" spans="1:7" x14ac:dyDescent="0.3">
      <c r="A723">
        <v>45504</v>
      </c>
      <c r="B723" t="s">
        <v>29</v>
      </c>
      <c r="C723" t="s">
        <v>26</v>
      </c>
      <c r="D723" t="s">
        <v>27</v>
      </c>
      <c r="E723">
        <v>1000</v>
      </c>
      <c r="F723" t="s">
        <v>22</v>
      </c>
      <c r="G723" t="s">
        <v>28</v>
      </c>
    </row>
    <row r="724" spans="1:7" x14ac:dyDescent="0.3">
      <c r="A724">
        <v>45503</v>
      </c>
      <c r="B724" t="s">
        <v>43</v>
      </c>
      <c r="C724" t="s">
        <v>20</v>
      </c>
      <c r="D724" t="s">
        <v>31</v>
      </c>
      <c r="E724">
        <v>500</v>
      </c>
      <c r="F724" t="s">
        <v>44</v>
      </c>
      <c r="G724" t="s">
        <v>45</v>
      </c>
    </row>
    <row r="725" spans="1:7" x14ac:dyDescent="0.3">
      <c r="A725">
        <v>45506</v>
      </c>
      <c r="B725" t="s">
        <v>38</v>
      </c>
      <c r="C725" t="s">
        <v>26</v>
      </c>
      <c r="D725" t="s">
        <v>21</v>
      </c>
      <c r="E725">
        <v>1000</v>
      </c>
      <c r="F725" t="s">
        <v>34</v>
      </c>
      <c r="G725" t="s">
        <v>39</v>
      </c>
    </row>
    <row r="726" spans="1:7" x14ac:dyDescent="0.3">
      <c r="A726">
        <v>45506</v>
      </c>
      <c r="B726" t="s">
        <v>38</v>
      </c>
      <c r="C726" t="s">
        <v>26</v>
      </c>
      <c r="D726" t="s">
        <v>21</v>
      </c>
      <c r="E726">
        <v>1000</v>
      </c>
      <c r="F726" t="s">
        <v>34</v>
      </c>
      <c r="G726" t="s">
        <v>39</v>
      </c>
    </row>
    <row r="727" spans="1:7" x14ac:dyDescent="0.3">
      <c r="A727">
        <v>45503</v>
      </c>
      <c r="B727" t="s">
        <v>43</v>
      </c>
      <c r="C727" t="s">
        <v>20</v>
      </c>
      <c r="D727" t="s">
        <v>31</v>
      </c>
      <c r="E727">
        <v>500</v>
      </c>
      <c r="F727" t="s">
        <v>44</v>
      </c>
      <c r="G727" t="s">
        <v>45</v>
      </c>
    </row>
    <row r="728" spans="1:7" x14ac:dyDescent="0.3">
      <c r="A728">
        <v>45513</v>
      </c>
      <c r="B728" t="s">
        <v>19</v>
      </c>
      <c r="C728" t="s">
        <v>20</v>
      </c>
      <c r="D728" t="s">
        <v>21</v>
      </c>
      <c r="E728">
        <v>1000</v>
      </c>
      <c r="F728" t="s">
        <v>22</v>
      </c>
      <c r="G728" t="s">
        <v>23</v>
      </c>
    </row>
    <row r="729" spans="1:7" x14ac:dyDescent="0.3">
      <c r="A729">
        <v>45513</v>
      </c>
      <c r="B729" t="s">
        <v>19</v>
      </c>
      <c r="C729" t="s">
        <v>20</v>
      </c>
      <c r="D729" t="s">
        <v>21</v>
      </c>
      <c r="E729">
        <v>1000</v>
      </c>
      <c r="F729" t="s">
        <v>22</v>
      </c>
      <c r="G729" t="s">
        <v>23</v>
      </c>
    </row>
    <row r="730" spans="1:7" x14ac:dyDescent="0.3">
      <c r="A730">
        <v>45514</v>
      </c>
      <c r="B730" t="s">
        <v>43</v>
      </c>
      <c r="C730" t="s">
        <v>20</v>
      </c>
      <c r="D730" t="s">
        <v>31</v>
      </c>
      <c r="E730">
        <v>1000</v>
      </c>
      <c r="F730" t="s">
        <v>41</v>
      </c>
      <c r="G730" t="s">
        <v>47</v>
      </c>
    </row>
    <row r="731" spans="1:7" x14ac:dyDescent="0.3">
      <c r="A731">
        <v>45512</v>
      </c>
      <c r="B731" t="s">
        <v>36</v>
      </c>
      <c r="C731" t="s">
        <v>26</v>
      </c>
      <c r="D731" t="s">
        <v>21</v>
      </c>
      <c r="E731">
        <v>1000</v>
      </c>
      <c r="F731" t="s">
        <v>37</v>
      </c>
      <c r="G731" t="s">
        <v>28</v>
      </c>
    </row>
    <row r="732" spans="1:7" x14ac:dyDescent="0.3">
      <c r="A732">
        <v>45506</v>
      </c>
      <c r="B732" t="s">
        <v>38</v>
      </c>
      <c r="C732" t="s">
        <v>26</v>
      </c>
      <c r="D732" t="s">
        <v>21</v>
      </c>
      <c r="E732">
        <v>1000</v>
      </c>
      <c r="F732" t="s">
        <v>34</v>
      </c>
      <c r="G732" t="s">
        <v>39</v>
      </c>
    </row>
    <row r="733" spans="1:7" x14ac:dyDescent="0.3">
      <c r="A733">
        <v>45502</v>
      </c>
      <c r="B733" t="s">
        <v>40</v>
      </c>
      <c r="C733" t="s">
        <v>20</v>
      </c>
      <c r="D733" t="s">
        <v>31</v>
      </c>
      <c r="E733">
        <v>800</v>
      </c>
      <c r="F733" t="s">
        <v>41</v>
      </c>
      <c r="G733" t="s">
        <v>23</v>
      </c>
    </row>
    <row r="734" spans="1:7" x14ac:dyDescent="0.3">
      <c r="A734">
        <v>45504</v>
      </c>
      <c r="B734" t="s">
        <v>29</v>
      </c>
      <c r="C734" t="s">
        <v>26</v>
      </c>
      <c r="D734" t="s">
        <v>27</v>
      </c>
      <c r="E734">
        <v>1000</v>
      </c>
      <c r="F734" t="s">
        <v>22</v>
      </c>
      <c r="G734" t="s">
        <v>28</v>
      </c>
    </row>
    <row r="735" spans="1:7" x14ac:dyDescent="0.3">
      <c r="A735">
        <v>45510</v>
      </c>
      <c r="B735" t="s">
        <v>48</v>
      </c>
      <c r="C735" t="s">
        <v>20</v>
      </c>
      <c r="D735" t="s">
        <v>27</v>
      </c>
      <c r="E735">
        <v>1000</v>
      </c>
      <c r="F735" t="s">
        <v>22</v>
      </c>
      <c r="G735" t="s">
        <v>28</v>
      </c>
    </row>
    <row r="736" spans="1:7" x14ac:dyDescent="0.3">
      <c r="A736">
        <v>45503</v>
      </c>
      <c r="B736" t="s">
        <v>43</v>
      </c>
      <c r="C736" t="s">
        <v>20</v>
      </c>
      <c r="D736" t="s">
        <v>31</v>
      </c>
      <c r="E736">
        <v>500</v>
      </c>
      <c r="F736" t="s">
        <v>44</v>
      </c>
      <c r="G736" t="s">
        <v>45</v>
      </c>
    </row>
    <row r="737" spans="1:7" x14ac:dyDescent="0.3">
      <c r="A737">
        <v>45506</v>
      </c>
      <c r="B737" t="s">
        <v>38</v>
      </c>
      <c r="C737" t="s">
        <v>26</v>
      </c>
      <c r="D737" t="s">
        <v>21</v>
      </c>
      <c r="E737">
        <v>1000</v>
      </c>
      <c r="F737" t="s">
        <v>34</v>
      </c>
      <c r="G737" t="s">
        <v>39</v>
      </c>
    </row>
    <row r="738" spans="1:7" x14ac:dyDescent="0.3">
      <c r="A738">
        <v>45514</v>
      </c>
      <c r="B738" t="s">
        <v>43</v>
      </c>
      <c r="C738" t="s">
        <v>20</v>
      </c>
      <c r="D738" t="s">
        <v>31</v>
      </c>
      <c r="E738">
        <v>1000</v>
      </c>
      <c r="F738" t="s">
        <v>41</v>
      </c>
      <c r="G738" t="s">
        <v>47</v>
      </c>
    </row>
    <row r="739" spans="1:7" x14ac:dyDescent="0.3">
      <c r="A739">
        <v>45502</v>
      </c>
      <c r="B739" t="s">
        <v>40</v>
      </c>
      <c r="C739" t="s">
        <v>20</v>
      </c>
      <c r="D739" t="s">
        <v>31</v>
      </c>
      <c r="E739">
        <v>800</v>
      </c>
      <c r="F739" t="s">
        <v>41</v>
      </c>
      <c r="G739" t="s">
        <v>23</v>
      </c>
    </row>
    <row r="740" spans="1:7" x14ac:dyDescent="0.3">
      <c r="A740">
        <v>45512</v>
      </c>
      <c r="B740" t="s">
        <v>36</v>
      </c>
      <c r="C740" t="s">
        <v>26</v>
      </c>
      <c r="D740" t="s">
        <v>21</v>
      </c>
      <c r="E740">
        <v>1000</v>
      </c>
      <c r="F740" t="s">
        <v>37</v>
      </c>
      <c r="G740" t="s">
        <v>28</v>
      </c>
    </row>
    <row r="741" spans="1:7" x14ac:dyDescent="0.3">
      <c r="A741">
        <v>45501</v>
      </c>
      <c r="B741" t="s">
        <v>25</v>
      </c>
      <c r="C741" t="s">
        <v>26</v>
      </c>
      <c r="D741" t="s">
        <v>27</v>
      </c>
      <c r="E741">
        <v>1000</v>
      </c>
      <c r="F741" t="s">
        <v>22</v>
      </c>
      <c r="G741" t="s">
        <v>28</v>
      </c>
    </row>
    <row r="742" spans="1:7" x14ac:dyDescent="0.3">
      <c r="A742">
        <v>45514</v>
      </c>
      <c r="B742" t="s">
        <v>43</v>
      </c>
      <c r="C742" t="s">
        <v>20</v>
      </c>
      <c r="D742" t="s">
        <v>31</v>
      </c>
      <c r="E742">
        <v>1000</v>
      </c>
      <c r="F742" t="s">
        <v>41</v>
      </c>
      <c r="G742" t="s">
        <v>47</v>
      </c>
    </row>
    <row r="743" spans="1:7" x14ac:dyDescent="0.3">
      <c r="A743">
        <v>45503</v>
      </c>
      <c r="B743" t="s">
        <v>43</v>
      </c>
      <c r="C743" t="s">
        <v>20</v>
      </c>
      <c r="D743" t="s">
        <v>31</v>
      </c>
      <c r="E743">
        <v>500</v>
      </c>
      <c r="F743" t="s">
        <v>44</v>
      </c>
      <c r="G743" t="s">
        <v>45</v>
      </c>
    </row>
    <row r="744" spans="1:7" x14ac:dyDescent="0.3">
      <c r="A744">
        <v>45513</v>
      </c>
      <c r="B744" t="s">
        <v>19</v>
      </c>
      <c r="C744" t="s">
        <v>20</v>
      </c>
      <c r="D744" t="s">
        <v>21</v>
      </c>
      <c r="E744">
        <v>1000</v>
      </c>
      <c r="F744" t="s">
        <v>22</v>
      </c>
      <c r="G744" t="s">
        <v>23</v>
      </c>
    </row>
    <row r="745" spans="1:7" x14ac:dyDescent="0.3">
      <c r="A745">
        <v>45513</v>
      </c>
      <c r="B745" t="s">
        <v>19</v>
      </c>
      <c r="C745" t="s">
        <v>20</v>
      </c>
      <c r="D745" t="s">
        <v>21</v>
      </c>
      <c r="E745">
        <v>1000</v>
      </c>
      <c r="F745" t="s">
        <v>22</v>
      </c>
      <c r="G745" t="s">
        <v>23</v>
      </c>
    </row>
    <row r="746" spans="1:7" x14ac:dyDescent="0.3">
      <c r="A746">
        <v>45508</v>
      </c>
      <c r="B746" t="s">
        <v>42</v>
      </c>
      <c r="C746" t="s">
        <v>20</v>
      </c>
      <c r="D746" t="s">
        <v>31</v>
      </c>
      <c r="E746">
        <v>1000</v>
      </c>
      <c r="F746" t="s">
        <v>22</v>
      </c>
      <c r="G746" t="s">
        <v>28</v>
      </c>
    </row>
    <row r="747" spans="1:7" x14ac:dyDescent="0.3">
      <c r="A747">
        <v>45500</v>
      </c>
      <c r="B747" t="s">
        <v>19</v>
      </c>
      <c r="C747" t="s">
        <v>20</v>
      </c>
      <c r="D747" t="s">
        <v>21</v>
      </c>
      <c r="E747">
        <v>500</v>
      </c>
      <c r="F747" t="s">
        <v>32</v>
      </c>
      <c r="G747" t="s">
        <v>47</v>
      </c>
    </row>
    <row r="748" spans="1:7" x14ac:dyDescent="0.3">
      <c r="A748">
        <v>45501</v>
      </c>
      <c r="B748" t="s">
        <v>25</v>
      </c>
      <c r="C748" t="s">
        <v>26</v>
      </c>
      <c r="D748" t="s">
        <v>27</v>
      </c>
      <c r="E748">
        <v>1000</v>
      </c>
      <c r="F748" t="s">
        <v>22</v>
      </c>
      <c r="G748" t="s">
        <v>28</v>
      </c>
    </row>
    <row r="749" spans="1:7" x14ac:dyDescent="0.3">
      <c r="A749">
        <v>45508</v>
      </c>
      <c r="B749" t="s">
        <v>42</v>
      </c>
      <c r="C749" t="s">
        <v>20</v>
      </c>
      <c r="D749" t="s">
        <v>31</v>
      </c>
      <c r="E749">
        <v>1000</v>
      </c>
      <c r="F749" t="s">
        <v>22</v>
      </c>
      <c r="G749" t="s">
        <v>28</v>
      </c>
    </row>
    <row r="750" spans="1:7" x14ac:dyDescent="0.3">
      <c r="A750">
        <v>45505</v>
      </c>
      <c r="B750" t="s">
        <v>49</v>
      </c>
      <c r="C750" t="s">
        <v>20</v>
      </c>
      <c r="D750" t="s">
        <v>31</v>
      </c>
      <c r="E750">
        <v>800</v>
      </c>
      <c r="F750" t="s">
        <v>41</v>
      </c>
      <c r="G750" t="s">
        <v>39</v>
      </c>
    </row>
    <row r="751" spans="1:7" x14ac:dyDescent="0.3">
      <c r="A751">
        <v>45503</v>
      </c>
      <c r="B751" t="s">
        <v>43</v>
      </c>
      <c r="C751" t="s">
        <v>20</v>
      </c>
      <c r="D751" t="s">
        <v>31</v>
      </c>
      <c r="E751">
        <v>500</v>
      </c>
      <c r="F751" t="s">
        <v>44</v>
      </c>
      <c r="G751" t="s">
        <v>45</v>
      </c>
    </row>
    <row r="752" spans="1:7" x14ac:dyDescent="0.3">
      <c r="A752">
        <v>45511</v>
      </c>
      <c r="B752" t="s">
        <v>46</v>
      </c>
      <c r="C752" t="s">
        <v>20</v>
      </c>
      <c r="D752" t="s">
        <v>27</v>
      </c>
      <c r="E752">
        <v>1000</v>
      </c>
      <c r="F752" t="s">
        <v>22</v>
      </c>
      <c r="G752" t="s">
        <v>28</v>
      </c>
    </row>
    <row r="753" spans="1:7" x14ac:dyDescent="0.3">
      <c r="A753">
        <v>45509</v>
      </c>
      <c r="B753" t="s">
        <v>30</v>
      </c>
      <c r="C753" t="s">
        <v>26</v>
      </c>
      <c r="D753" t="s">
        <v>31</v>
      </c>
      <c r="E753">
        <v>500</v>
      </c>
      <c r="F753" t="s">
        <v>32</v>
      </c>
      <c r="G753" t="s">
        <v>23</v>
      </c>
    </row>
    <row r="754" spans="1:7" x14ac:dyDescent="0.3">
      <c r="A754">
        <v>45509</v>
      </c>
      <c r="B754" t="s">
        <v>30</v>
      </c>
      <c r="C754" t="s">
        <v>26</v>
      </c>
      <c r="D754" t="s">
        <v>31</v>
      </c>
      <c r="E754">
        <v>500</v>
      </c>
      <c r="F754" t="s">
        <v>32</v>
      </c>
      <c r="G754" t="s">
        <v>23</v>
      </c>
    </row>
    <row r="755" spans="1:7" x14ac:dyDescent="0.3">
      <c r="A755">
        <v>45500</v>
      </c>
      <c r="B755" t="s">
        <v>19</v>
      </c>
      <c r="C755" t="s">
        <v>20</v>
      </c>
      <c r="D755" t="s">
        <v>21</v>
      </c>
      <c r="E755">
        <v>500</v>
      </c>
      <c r="F755" t="s">
        <v>32</v>
      </c>
      <c r="G755" t="s">
        <v>47</v>
      </c>
    </row>
    <row r="756" spans="1:7" x14ac:dyDescent="0.3">
      <c r="A756">
        <v>45513</v>
      </c>
      <c r="B756" t="s">
        <v>19</v>
      </c>
      <c r="C756" t="s">
        <v>20</v>
      </c>
      <c r="D756" t="s">
        <v>21</v>
      </c>
      <c r="E756">
        <v>1000</v>
      </c>
      <c r="F756" t="s">
        <v>22</v>
      </c>
      <c r="G756" t="s">
        <v>23</v>
      </c>
    </row>
    <row r="757" spans="1:7" x14ac:dyDescent="0.3">
      <c r="A757">
        <v>45510</v>
      </c>
      <c r="B757" t="s">
        <v>48</v>
      </c>
      <c r="C757" t="s">
        <v>20</v>
      </c>
      <c r="D757" t="s">
        <v>27</v>
      </c>
      <c r="E757">
        <v>1000</v>
      </c>
      <c r="F757" t="s">
        <v>22</v>
      </c>
      <c r="G757" t="s">
        <v>28</v>
      </c>
    </row>
    <row r="758" spans="1:7" x14ac:dyDescent="0.3">
      <c r="A758">
        <v>45502</v>
      </c>
      <c r="B758" t="s">
        <v>40</v>
      </c>
      <c r="C758" t="s">
        <v>20</v>
      </c>
      <c r="D758" t="s">
        <v>31</v>
      </c>
      <c r="E758">
        <v>800</v>
      </c>
      <c r="F758" t="s">
        <v>41</v>
      </c>
      <c r="G758" t="s">
        <v>23</v>
      </c>
    </row>
    <row r="759" spans="1:7" x14ac:dyDescent="0.3">
      <c r="A759">
        <v>45512</v>
      </c>
      <c r="B759" t="s">
        <v>36</v>
      </c>
      <c r="C759" t="s">
        <v>26</v>
      </c>
      <c r="D759" t="s">
        <v>21</v>
      </c>
      <c r="E759">
        <v>1000</v>
      </c>
      <c r="F759" t="s">
        <v>37</v>
      </c>
      <c r="G759" t="s">
        <v>28</v>
      </c>
    </row>
    <row r="760" spans="1:7" x14ac:dyDescent="0.3">
      <c r="A760">
        <v>45501</v>
      </c>
      <c r="B760" t="s">
        <v>25</v>
      </c>
      <c r="C760" t="s">
        <v>26</v>
      </c>
      <c r="D760" t="s">
        <v>27</v>
      </c>
      <c r="E760">
        <v>1000</v>
      </c>
      <c r="F760" t="s">
        <v>22</v>
      </c>
      <c r="G760" t="s">
        <v>28</v>
      </c>
    </row>
    <row r="761" spans="1:7" x14ac:dyDescent="0.3">
      <c r="A761">
        <v>45502</v>
      </c>
      <c r="B761" t="s">
        <v>40</v>
      </c>
      <c r="C761" t="s">
        <v>20</v>
      </c>
      <c r="D761" t="s">
        <v>31</v>
      </c>
      <c r="E761">
        <v>800</v>
      </c>
      <c r="F761" t="s">
        <v>41</v>
      </c>
      <c r="G761" t="s">
        <v>23</v>
      </c>
    </row>
    <row r="762" spans="1:7" x14ac:dyDescent="0.3">
      <c r="A762">
        <v>45512</v>
      </c>
      <c r="B762" t="s">
        <v>36</v>
      </c>
      <c r="C762" t="s">
        <v>26</v>
      </c>
      <c r="D762" t="s">
        <v>21</v>
      </c>
      <c r="E762">
        <v>1000</v>
      </c>
      <c r="F762" t="s">
        <v>37</v>
      </c>
      <c r="G762" t="s">
        <v>28</v>
      </c>
    </row>
    <row r="763" spans="1:7" x14ac:dyDescent="0.3">
      <c r="A763">
        <v>45509</v>
      </c>
      <c r="B763" t="s">
        <v>30</v>
      </c>
      <c r="C763" t="s">
        <v>26</v>
      </c>
      <c r="D763" t="s">
        <v>31</v>
      </c>
      <c r="E763">
        <v>500</v>
      </c>
      <c r="F763" t="s">
        <v>32</v>
      </c>
      <c r="G763" t="s">
        <v>23</v>
      </c>
    </row>
    <row r="764" spans="1:7" x14ac:dyDescent="0.3">
      <c r="A764">
        <v>45510</v>
      </c>
      <c r="B764" t="s">
        <v>48</v>
      </c>
      <c r="C764" t="s">
        <v>20</v>
      </c>
      <c r="D764" t="s">
        <v>27</v>
      </c>
      <c r="E764">
        <v>1000</v>
      </c>
      <c r="F764" t="s">
        <v>22</v>
      </c>
      <c r="G764" t="s">
        <v>28</v>
      </c>
    </row>
    <row r="765" spans="1:7" x14ac:dyDescent="0.3">
      <c r="A765">
        <v>45506</v>
      </c>
      <c r="B765" t="s">
        <v>38</v>
      </c>
      <c r="C765" t="s">
        <v>26</v>
      </c>
      <c r="D765" t="s">
        <v>21</v>
      </c>
      <c r="E765">
        <v>1000</v>
      </c>
      <c r="F765" t="s">
        <v>34</v>
      </c>
      <c r="G765" t="s">
        <v>39</v>
      </c>
    </row>
    <row r="766" spans="1:7" x14ac:dyDescent="0.3">
      <c r="A766">
        <v>45504</v>
      </c>
      <c r="B766" t="s">
        <v>29</v>
      </c>
      <c r="C766" t="s">
        <v>26</v>
      </c>
      <c r="D766" t="s">
        <v>27</v>
      </c>
      <c r="E766">
        <v>1000</v>
      </c>
      <c r="F766" t="s">
        <v>22</v>
      </c>
      <c r="G766" t="s">
        <v>28</v>
      </c>
    </row>
    <row r="767" spans="1:7" x14ac:dyDescent="0.3">
      <c r="A767">
        <v>45505</v>
      </c>
      <c r="B767" t="s">
        <v>49</v>
      </c>
      <c r="C767" t="s">
        <v>20</v>
      </c>
      <c r="D767" t="s">
        <v>31</v>
      </c>
      <c r="E767">
        <v>800</v>
      </c>
      <c r="F767" t="s">
        <v>41</v>
      </c>
      <c r="G767" t="s">
        <v>39</v>
      </c>
    </row>
    <row r="768" spans="1:7" x14ac:dyDescent="0.3">
      <c r="A768">
        <v>45514</v>
      </c>
      <c r="B768" t="s">
        <v>43</v>
      </c>
      <c r="C768" t="s">
        <v>20</v>
      </c>
      <c r="D768" t="s">
        <v>31</v>
      </c>
      <c r="E768">
        <v>1000</v>
      </c>
      <c r="F768" t="s">
        <v>41</v>
      </c>
      <c r="G768" t="s">
        <v>47</v>
      </c>
    </row>
    <row r="769" spans="1:7" x14ac:dyDescent="0.3">
      <c r="A769">
        <v>45506</v>
      </c>
      <c r="B769" t="s">
        <v>38</v>
      </c>
      <c r="C769" t="s">
        <v>26</v>
      </c>
      <c r="D769" t="s">
        <v>21</v>
      </c>
      <c r="E769">
        <v>1000</v>
      </c>
      <c r="F769" t="s">
        <v>34</v>
      </c>
      <c r="G769" t="s">
        <v>39</v>
      </c>
    </row>
    <row r="770" spans="1:7" x14ac:dyDescent="0.3">
      <c r="A770">
        <v>45514</v>
      </c>
      <c r="B770" t="s">
        <v>43</v>
      </c>
      <c r="C770" t="s">
        <v>20</v>
      </c>
      <c r="D770" t="s">
        <v>31</v>
      </c>
      <c r="E770">
        <v>1000</v>
      </c>
      <c r="F770" t="s">
        <v>41</v>
      </c>
      <c r="G770" t="s">
        <v>47</v>
      </c>
    </row>
    <row r="771" spans="1:7" x14ac:dyDescent="0.3">
      <c r="A771">
        <v>45510</v>
      </c>
      <c r="B771" t="s">
        <v>48</v>
      </c>
      <c r="C771" t="s">
        <v>20</v>
      </c>
      <c r="D771" t="s">
        <v>27</v>
      </c>
      <c r="E771">
        <v>1000</v>
      </c>
      <c r="F771" t="s">
        <v>22</v>
      </c>
      <c r="G771" t="s">
        <v>28</v>
      </c>
    </row>
    <row r="772" spans="1:7" x14ac:dyDescent="0.3">
      <c r="A772">
        <v>45505</v>
      </c>
      <c r="B772" t="s">
        <v>49</v>
      </c>
      <c r="C772" t="s">
        <v>20</v>
      </c>
      <c r="D772" t="s">
        <v>31</v>
      </c>
      <c r="E772">
        <v>800</v>
      </c>
      <c r="F772" t="s">
        <v>41</v>
      </c>
      <c r="G772" t="s">
        <v>39</v>
      </c>
    </row>
    <row r="773" spans="1:7" x14ac:dyDescent="0.3">
      <c r="A773">
        <v>45502</v>
      </c>
      <c r="B773" t="s">
        <v>40</v>
      </c>
      <c r="C773" t="s">
        <v>20</v>
      </c>
      <c r="D773" t="s">
        <v>31</v>
      </c>
      <c r="E773">
        <v>800</v>
      </c>
      <c r="F773" t="s">
        <v>41</v>
      </c>
      <c r="G773" t="s">
        <v>23</v>
      </c>
    </row>
    <row r="774" spans="1:7" x14ac:dyDescent="0.3">
      <c r="A774">
        <v>45513</v>
      </c>
      <c r="B774" t="s">
        <v>19</v>
      </c>
      <c r="C774" t="s">
        <v>20</v>
      </c>
      <c r="D774" t="s">
        <v>21</v>
      </c>
      <c r="E774">
        <v>1000</v>
      </c>
      <c r="F774" t="s">
        <v>22</v>
      </c>
      <c r="G774" t="s">
        <v>23</v>
      </c>
    </row>
    <row r="775" spans="1:7" x14ac:dyDescent="0.3">
      <c r="A775">
        <v>45512</v>
      </c>
      <c r="B775" t="s">
        <v>36</v>
      </c>
      <c r="C775" t="s">
        <v>26</v>
      </c>
      <c r="D775" t="s">
        <v>21</v>
      </c>
      <c r="E775">
        <v>1000</v>
      </c>
      <c r="F775" t="s">
        <v>37</v>
      </c>
      <c r="G775" t="s">
        <v>28</v>
      </c>
    </row>
    <row r="776" spans="1:7" x14ac:dyDescent="0.3">
      <c r="A776">
        <v>45510</v>
      </c>
      <c r="B776" t="s">
        <v>48</v>
      </c>
      <c r="C776" t="s">
        <v>20</v>
      </c>
      <c r="D776" t="s">
        <v>27</v>
      </c>
      <c r="E776">
        <v>1000</v>
      </c>
      <c r="F776" t="s">
        <v>22</v>
      </c>
      <c r="G776" t="s">
        <v>28</v>
      </c>
    </row>
    <row r="777" spans="1:7" x14ac:dyDescent="0.3">
      <c r="A777">
        <v>45508</v>
      </c>
      <c r="B777" t="s">
        <v>42</v>
      </c>
      <c r="C777" t="s">
        <v>20</v>
      </c>
      <c r="D777" t="s">
        <v>31</v>
      </c>
      <c r="E777">
        <v>1000</v>
      </c>
      <c r="F777" t="s">
        <v>22</v>
      </c>
      <c r="G777" t="s">
        <v>28</v>
      </c>
    </row>
    <row r="778" spans="1:7" x14ac:dyDescent="0.3">
      <c r="A778">
        <v>45504</v>
      </c>
      <c r="B778" t="s">
        <v>29</v>
      </c>
      <c r="C778" t="s">
        <v>26</v>
      </c>
      <c r="D778" t="s">
        <v>27</v>
      </c>
      <c r="E778">
        <v>1000</v>
      </c>
      <c r="F778" t="s">
        <v>22</v>
      </c>
      <c r="G778" t="s">
        <v>28</v>
      </c>
    </row>
    <row r="779" spans="1:7" x14ac:dyDescent="0.3">
      <c r="A779">
        <v>45512</v>
      </c>
      <c r="B779" t="s">
        <v>36</v>
      </c>
      <c r="C779" t="s">
        <v>26</v>
      </c>
      <c r="D779" t="s">
        <v>21</v>
      </c>
      <c r="E779">
        <v>1000</v>
      </c>
      <c r="F779" t="s">
        <v>37</v>
      </c>
      <c r="G779" t="s">
        <v>28</v>
      </c>
    </row>
    <row r="780" spans="1:7" x14ac:dyDescent="0.3">
      <c r="A780">
        <v>45510</v>
      </c>
      <c r="B780" t="s">
        <v>48</v>
      </c>
      <c r="C780" t="s">
        <v>20</v>
      </c>
      <c r="D780" t="s">
        <v>27</v>
      </c>
      <c r="E780">
        <v>1000</v>
      </c>
      <c r="F780" t="s">
        <v>22</v>
      </c>
      <c r="G780" t="s">
        <v>28</v>
      </c>
    </row>
    <row r="781" spans="1:7" x14ac:dyDescent="0.3">
      <c r="A781">
        <v>45506</v>
      </c>
      <c r="B781" t="s">
        <v>38</v>
      </c>
      <c r="C781" t="s">
        <v>26</v>
      </c>
      <c r="D781" t="s">
        <v>21</v>
      </c>
      <c r="E781">
        <v>1000</v>
      </c>
      <c r="F781" t="s">
        <v>34</v>
      </c>
      <c r="G781" t="s">
        <v>39</v>
      </c>
    </row>
    <row r="782" spans="1:7" x14ac:dyDescent="0.3">
      <c r="A782">
        <v>45500</v>
      </c>
      <c r="B782" t="s">
        <v>19</v>
      </c>
      <c r="C782" t="s">
        <v>20</v>
      </c>
      <c r="D782" t="s">
        <v>21</v>
      </c>
      <c r="E782">
        <v>500</v>
      </c>
      <c r="F782" t="s">
        <v>32</v>
      </c>
      <c r="G782" t="s">
        <v>47</v>
      </c>
    </row>
    <row r="783" spans="1:7" x14ac:dyDescent="0.3">
      <c r="A783">
        <v>45507</v>
      </c>
      <c r="B783" t="s">
        <v>33</v>
      </c>
      <c r="C783" t="s">
        <v>26</v>
      </c>
      <c r="D783" t="s">
        <v>21</v>
      </c>
      <c r="E783">
        <v>1000</v>
      </c>
      <c r="F783" t="s">
        <v>34</v>
      </c>
      <c r="G783" t="s">
        <v>35</v>
      </c>
    </row>
    <row r="784" spans="1:7" x14ac:dyDescent="0.3">
      <c r="A784">
        <v>45503</v>
      </c>
      <c r="B784" t="s">
        <v>43</v>
      </c>
      <c r="C784" t="s">
        <v>20</v>
      </c>
      <c r="D784" t="s">
        <v>31</v>
      </c>
      <c r="E784">
        <v>500</v>
      </c>
      <c r="F784" t="s">
        <v>44</v>
      </c>
      <c r="G784" t="s">
        <v>45</v>
      </c>
    </row>
    <row r="785" spans="1:7" x14ac:dyDescent="0.3">
      <c r="A785">
        <v>45505</v>
      </c>
      <c r="B785" t="s">
        <v>49</v>
      </c>
      <c r="C785" t="s">
        <v>20</v>
      </c>
      <c r="D785" t="s">
        <v>31</v>
      </c>
      <c r="E785">
        <v>800</v>
      </c>
      <c r="F785" t="s">
        <v>41</v>
      </c>
      <c r="G785" t="s">
        <v>39</v>
      </c>
    </row>
    <row r="786" spans="1:7" x14ac:dyDescent="0.3">
      <c r="A786">
        <v>45506</v>
      </c>
      <c r="B786" t="s">
        <v>38</v>
      </c>
      <c r="C786" t="s">
        <v>26</v>
      </c>
      <c r="D786" t="s">
        <v>21</v>
      </c>
      <c r="E786">
        <v>1000</v>
      </c>
      <c r="F786" t="s">
        <v>34</v>
      </c>
      <c r="G786" t="s">
        <v>39</v>
      </c>
    </row>
    <row r="787" spans="1:7" x14ac:dyDescent="0.3">
      <c r="A787">
        <v>45514</v>
      </c>
      <c r="B787" t="s">
        <v>43</v>
      </c>
      <c r="C787" t="s">
        <v>20</v>
      </c>
      <c r="D787" t="s">
        <v>31</v>
      </c>
      <c r="E787">
        <v>1000</v>
      </c>
      <c r="F787" t="s">
        <v>41</v>
      </c>
      <c r="G787" t="s">
        <v>47</v>
      </c>
    </row>
    <row r="788" spans="1:7" x14ac:dyDescent="0.3">
      <c r="A788">
        <v>45500</v>
      </c>
      <c r="B788" t="s">
        <v>19</v>
      </c>
      <c r="C788" t="s">
        <v>20</v>
      </c>
      <c r="D788" t="s">
        <v>21</v>
      </c>
      <c r="E788">
        <v>500</v>
      </c>
      <c r="F788" t="s">
        <v>32</v>
      </c>
      <c r="G788" t="s">
        <v>47</v>
      </c>
    </row>
    <row r="789" spans="1:7" x14ac:dyDescent="0.3">
      <c r="A789">
        <v>45504</v>
      </c>
      <c r="B789" t="s">
        <v>29</v>
      </c>
      <c r="C789" t="s">
        <v>26</v>
      </c>
      <c r="D789" t="s">
        <v>27</v>
      </c>
      <c r="E789">
        <v>1000</v>
      </c>
      <c r="F789" t="s">
        <v>22</v>
      </c>
      <c r="G789" t="s">
        <v>28</v>
      </c>
    </row>
    <row r="790" spans="1:7" x14ac:dyDescent="0.3">
      <c r="A790">
        <v>45500</v>
      </c>
      <c r="B790" t="s">
        <v>19</v>
      </c>
      <c r="C790" t="s">
        <v>20</v>
      </c>
      <c r="D790" t="s">
        <v>21</v>
      </c>
      <c r="E790">
        <v>500</v>
      </c>
      <c r="F790" t="s">
        <v>32</v>
      </c>
      <c r="G790" t="s">
        <v>47</v>
      </c>
    </row>
    <row r="791" spans="1:7" x14ac:dyDescent="0.3">
      <c r="A791">
        <v>45503</v>
      </c>
      <c r="B791" t="s">
        <v>43</v>
      </c>
      <c r="C791" t="s">
        <v>20</v>
      </c>
      <c r="D791" t="s">
        <v>31</v>
      </c>
      <c r="E791">
        <v>500</v>
      </c>
      <c r="F791" t="s">
        <v>44</v>
      </c>
      <c r="G791" t="s">
        <v>45</v>
      </c>
    </row>
    <row r="792" spans="1:7" x14ac:dyDescent="0.3">
      <c r="A792">
        <v>45505</v>
      </c>
      <c r="B792" t="s">
        <v>49</v>
      </c>
      <c r="C792" t="s">
        <v>20</v>
      </c>
      <c r="D792" t="s">
        <v>31</v>
      </c>
      <c r="E792">
        <v>800</v>
      </c>
      <c r="F792" t="s">
        <v>41</v>
      </c>
      <c r="G792" t="s">
        <v>39</v>
      </c>
    </row>
    <row r="793" spans="1:7" x14ac:dyDescent="0.3">
      <c r="A793">
        <v>45505</v>
      </c>
      <c r="B793" t="s">
        <v>49</v>
      </c>
      <c r="C793" t="s">
        <v>20</v>
      </c>
      <c r="D793" t="s">
        <v>31</v>
      </c>
      <c r="E793">
        <v>800</v>
      </c>
      <c r="F793" t="s">
        <v>41</v>
      </c>
      <c r="G793" t="s">
        <v>39</v>
      </c>
    </row>
    <row r="794" spans="1:7" x14ac:dyDescent="0.3">
      <c r="A794">
        <v>45510</v>
      </c>
      <c r="B794" t="s">
        <v>48</v>
      </c>
      <c r="C794" t="s">
        <v>20</v>
      </c>
      <c r="D794" t="s">
        <v>27</v>
      </c>
      <c r="E794">
        <v>1000</v>
      </c>
      <c r="F794" t="s">
        <v>22</v>
      </c>
      <c r="G794" t="s">
        <v>28</v>
      </c>
    </row>
    <row r="795" spans="1:7" x14ac:dyDescent="0.3">
      <c r="A795">
        <v>45500</v>
      </c>
      <c r="B795" t="s">
        <v>19</v>
      </c>
      <c r="C795" t="s">
        <v>20</v>
      </c>
      <c r="D795" t="s">
        <v>21</v>
      </c>
      <c r="E795">
        <v>500</v>
      </c>
      <c r="F795" t="s">
        <v>32</v>
      </c>
      <c r="G795" t="s">
        <v>47</v>
      </c>
    </row>
    <row r="796" spans="1:7" x14ac:dyDescent="0.3">
      <c r="A796">
        <v>45507</v>
      </c>
      <c r="B796" t="s">
        <v>33</v>
      </c>
      <c r="C796" t="s">
        <v>26</v>
      </c>
      <c r="D796" t="s">
        <v>21</v>
      </c>
      <c r="E796">
        <v>1000</v>
      </c>
      <c r="F796" t="s">
        <v>34</v>
      </c>
      <c r="G796" t="s">
        <v>35</v>
      </c>
    </row>
    <row r="797" spans="1:7" x14ac:dyDescent="0.3">
      <c r="A797">
        <v>45501</v>
      </c>
      <c r="B797" t="s">
        <v>25</v>
      </c>
      <c r="C797" t="s">
        <v>26</v>
      </c>
      <c r="D797" t="s">
        <v>27</v>
      </c>
      <c r="E797">
        <v>1000</v>
      </c>
      <c r="F797" t="s">
        <v>22</v>
      </c>
      <c r="G797" t="s">
        <v>28</v>
      </c>
    </row>
    <row r="798" spans="1:7" x14ac:dyDescent="0.3">
      <c r="A798">
        <v>45506</v>
      </c>
      <c r="B798" t="s">
        <v>38</v>
      </c>
      <c r="C798" t="s">
        <v>26</v>
      </c>
      <c r="D798" t="s">
        <v>21</v>
      </c>
      <c r="E798">
        <v>1000</v>
      </c>
      <c r="F798" t="s">
        <v>34</v>
      </c>
      <c r="G798" t="s">
        <v>39</v>
      </c>
    </row>
    <row r="799" spans="1:7" x14ac:dyDescent="0.3">
      <c r="A799">
        <v>45502</v>
      </c>
      <c r="B799" t="s">
        <v>40</v>
      </c>
      <c r="C799" t="s">
        <v>20</v>
      </c>
      <c r="D799" t="s">
        <v>31</v>
      </c>
      <c r="E799">
        <v>800</v>
      </c>
      <c r="F799" t="s">
        <v>41</v>
      </c>
      <c r="G799" t="s">
        <v>23</v>
      </c>
    </row>
    <row r="800" spans="1:7" x14ac:dyDescent="0.3">
      <c r="A800">
        <v>45510</v>
      </c>
      <c r="B800" t="s">
        <v>48</v>
      </c>
      <c r="C800" t="s">
        <v>20</v>
      </c>
      <c r="D800" t="s">
        <v>27</v>
      </c>
      <c r="E800">
        <v>1000</v>
      </c>
      <c r="F800" t="s">
        <v>22</v>
      </c>
      <c r="G800" t="s">
        <v>28</v>
      </c>
    </row>
    <row r="801" spans="1:7" x14ac:dyDescent="0.3">
      <c r="A801">
        <v>45512</v>
      </c>
      <c r="B801" t="s">
        <v>36</v>
      </c>
      <c r="C801" t="s">
        <v>26</v>
      </c>
      <c r="D801" t="s">
        <v>21</v>
      </c>
      <c r="E801">
        <v>1000</v>
      </c>
      <c r="F801" t="s">
        <v>37</v>
      </c>
      <c r="G801" t="s">
        <v>28</v>
      </c>
    </row>
    <row r="802" spans="1:7" x14ac:dyDescent="0.3">
      <c r="A802">
        <v>45504</v>
      </c>
      <c r="B802" t="s">
        <v>29</v>
      </c>
      <c r="C802" t="s">
        <v>26</v>
      </c>
      <c r="D802" t="s">
        <v>27</v>
      </c>
      <c r="E802">
        <v>1000</v>
      </c>
      <c r="F802" t="s">
        <v>22</v>
      </c>
      <c r="G802" t="s">
        <v>28</v>
      </c>
    </row>
    <row r="803" spans="1:7" x14ac:dyDescent="0.3">
      <c r="A803">
        <v>45505</v>
      </c>
      <c r="B803" t="s">
        <v>49</v>
      </c>
      <c r="C803" t="s">
        <v>20</v>
      </c>
      <c r="D803" t="s">
        <v>31</v>
      </c>
      <c r="E803">
        <v>800</v>
      </c>
      <c r="F803" t="s">
        <v>41</v>
      </c>
      <c r="G803" t="s">
        <v>39</v>
      </c>
    </row>
    <row r="804" spans="1:7" x14ac:dyDescent="0.3">
      <c r="A804">
        <v>45505</v>
      </c>
      <c r="B804" t="s">
        <v>49</v>
      </c>
      <c r="C804" t="s">
        <v>20</v>
      </c>
      <c r="D804" t="s">
        <v>31</v>
      </c>
      <c r="E804">
        <v>800</v>
      </c>
      <c r="F804" t="s">
        <v>41</v>
      </c>
      <c r="G804" t="s">
        <v>39</v>
      </c>
    </row>
    <row r="805" spans="1:7" x14ac:dyDescent="0.3">
      <c r="A805">
        <v>45508</v>
      </c>
      <c r="B805" t="s">
        <v>42</v>
      </c>
      <c r="C805" t="s">
        <v>20</v>
      </c>
      <c r="D805" t="s">
        <v>31</v>
      </c>
      <c r="E805">
        <v>1000</v>
      </c>
      <c r="F805" t="s">
        <v>22</v>
      </c>
      <c r="G805" t="s">
        <v>28</v>
      </c>
    </row>
    <row r="806" spans="1:7" x14ac:dyDescent="0.3">
      <c r="A806">
        <v>45503</v>
      </c>
      <c r="B806" t="s">
        <v>43</v>
      </c>
      <c r="C806" t="s">
        <v>20</v>
      </c>
      <c r="D806" t="s">
        <v>31</v>
      </c>
      <c r="E806">
        <v>500</v>
      </c>
      <c r="F806" t="s">
        <v>44</v>
      </c>
      <c r="G806" t="s">
        <v>45</v>
      </c>
    </row>
    <row r="807" spans="1:7" x14ac:dyDescent="0.3">
      <c r="A807">
        <v>45506</v>
      </c>
      <c r="B807" t="s">
        <v>38</v>
      </c>
      <c r="C807" t="s">
        <v>26</v>
      </c>
      <c r="D807" t="s">
        <v>21</v>
      </c>
      <c r="E807">
        <v>1000</v>
      </c>
      <c r="F807" t="s">
        <v>34</v>
      </c>
      <c r="G807" t="s">
        <v>39</v>
      </c>
    </row>
    <row r="808" spans="1:7" x14ac:dyDescent="0.3">
      <c r="A808">
        <v>45506</v>
      </c>
      <c r="B808" t="s">
        <v>38</v>
      </c>
      <c r="C808" t="s">
        <v>26</v>
      </c>
      <c r="D808" t="s">
        <v>21</v>
      </c>
      <c r="E808">
        <v>1000</v>
      </c>
      <c r="F808" t="s">
        <v>34</v>
      </c>
      <c r="G808" t="s">
        <v>39</v>
      </c>
    </row>
    <row r="809" spans="1:7" x14ac:dyDescent="0.3">
      <c r="A809">
        <v>45501</v>
      </c>
      <c r="B809" t="s">
        <v>25</v>
      </c>
      <c r="C809" t="s">
        <v>26</v>
      </c>
      <c r="D809" t="s">
        <v>27</v>
      </c>
      <c r="E809">
        <v>1000</v>
      </c>
      <c r="F809" t="s">
        <v>22</v>
      </c>
      <c r="G809" t="s">
        <v>28</v>
      </c>
    </row>
    <row r="810" spans="1:7" x14ac:dyDescent="0.3">
      <c r="A810">
        <v>45500</v>
      </c>
      <c r="B810" t="s">
        <v>19</v>
      </c>
      <c r="C810" t="s">
        <v>20</v>
      </c>
      <c r="D810" t="s">
        <v>21</v>
      </c>
      <c r="E810">
        <v>500</v>
      </c>
      <c r="F810" t="s">
        <v>32</v>
      </c>
      <c r="G810" t="s">
        <v>47</v>
      </c>
    </row>
    <row r="811" spans="1:7" x14ac:dyDescent="0.3">
      <c r="A811">
        <v>45509</v>
      </c>
      <c r="B811" t="s">
        <v>30</v>
      </c>
      <c r="C811" t="s">
        <v>26</v>
      </c>
      <c r="D811" t="s">
        <v>31</v>
      </c>
      <c r="E811">
        <v>500</v>
      </c>
      <c r="F811" t="s">
        <v>32</v>
      </c>
      <c r="G811" t="s">
        <v>23</v>
      </c>
    </row>
    <row r="812" spans="1:7" x14ac:dyDescent="0.3">
      <c r="A812">
        <v>45500</v>
      </c>
      <c r="B812" t="s">
        <v>19</v>
      </c>
      <c r="C812" t="s">
        <v>20</v>
      </c>
      <c r="D812" t="s">
        <v>21</v>
      </c>
      <c r="E812">
        <v>500</v>
      </c>
      <c r="F812" t="s">
        <v>32</v>
      </c>
      <c r="G812" t="s">
        <v>47</v>
      </c>
    </row>
    <row r="813" spans="1:7" x14ac:dyDescent="0.3">
      <c r="A813">
        <v>45509</v>
      </c>
      <c r="B813" t="s">
        <v>30</v>
      </c>
      <c r="C813" t="s">
        <v>26</v>
      </c>
      <c r="D813" t="s">
        <v>31</v>
      </c>
      <c r="E813">
        <v>500</v>
      </c>
      <c r="F813" t="s">
        <v>32</v>
      </c>
      <c r="G813" t="s">
        <v>23</v>
      </c>
    </row>
    <row r="814" spans="1:7" x14ac:dyDescent="0.3">
      <c r="A814">
        <v>45504</v>
      </c>
      <c r="B814" t="s">
        <v>29</v>
      </c>
      <c r="C814" t="s">
        <v>26</v>
      </c>
      <c r="D814" t="s">
        <v>27</v>
      </c>
      <c r="E814">
        <v>1000</v>
      </c>
      <c r="F814" t="s">
        <v>22</v>
      </c>
      <c r="G814" t="s">
        <v>28</v>
      </c>
    </row>
    <row r="815" spans="1:7" x14ac:dyDescent="0.3">
      <c r="A815">
        <v>45514</v>
      </c>
      <c r="B815" t="s">
        <v>43</v>
      </c>
      <c r="C815" t="s">
        <v>20</v>
      </c>
      <c r="D815" t="s">
        <v>31</v>
      </c>
      <c r="E815">
        <v>1000</v>
      </c>
      <c r="F815" t="s">
        <v>41</v>
      </c>
      <c r="G815" t="s">
        <v>47</v>
      </c>
    </row>
    <row r="816" spans="1:7" x14ac:dyDescent="0.3">
      <c r="A816">
        <v>45501</v>
      </c>
      <c r="B816" t="s">
        <v>25</v>
      </c>
      <c r="C816" t="s">
        <v>26</v>
      </c>
      <c r="D816" t="s">
        <v>27</v>
      </c>
      <c r="E816">
        <v>1000</v>
      </c>
      <c r="F816" t="s">
        <v>22</v>
      </c>
      <c r="G816" t="s">
        <v>28</v>
      </c>
    </row>
    <row r="817" spans="1:7" x14ac:dyDescent="0.3">
      <c r="A817">
        <v>45510</v>
      </c>
      <c r="B817" t="s">
        <v>48</v>
      </c>
      <c r="C817" t="s">
        <v>20</v>
      </c>
      <c r="D817" t="s">
        <v>27</v>
      </c>
      <c r="E817">
        <v>1000</v>
      </c>
      <c r="F817" t="s">
        <v>22</v>
      </c>
      <c r="G817" t="s">
        <v>28</v>
      </c>
    </row>
    <row r="818" spans="1:7" x14ac:dyDescent="0.3">
      <c r="A818">
        <v>45512</v>
      </c>
      <c r="B818" t="s">
        <v>36</v>
      </c>
      <c r="C818" t="s">
        <v>26</v>
      </c>
      <c r="D818" t="s">
        <v>21</v>
      </c>
      <c r="E818">
        <v>1000</v>
      </c>
      <c r="F818" t="s">
        <v>37</v>
      </c>
      <c r="G818" t="s">
        <v>28</v>
      </c>
    </row>
    <row r="819" spans="1:7" x14ac:dyDescent="0.3">
      <c r="A819">
        <v>45507</v>
      </c>
      <c r="B819" t="s">
        <v>33</v>
      </c>
      <c r="C819" t="s">
        <v>26</v>
      </c>
      <c r="D819" t="s">
        <v>21</v>
      </c>
      <c r="E819">
        <v>1000</v>
      </c>
      <c r="F819" t="s">
        <v>34</v>
      </c>
      <c r="G819" t="s">
        <v>35</v>
      </c>
    </row>
    <row r="820" spans="1:7" x14ac:dyDescent="0.3">
      <c r="A820">
        <v>45509</v>
      </c>
      <c r="B820" t="s">
        <v>30</v>
      </c>
      <c r="C820" t="s">
        <v>26</v>
      </c>
      <c r="D820" t="s">
        <v>31</v>
      </c>
      <c r="E820">
        <v>500</v>
      </c>
      <c r="F820" t="s">
        <v>32</v>
      </c>
      <c r="G820" t="s">
        <v>23</v>
      </c>
    </row>
    <row r="821" spans="1:7" x14ac:dyDescent="0.3">
      <c r="A821">
        <v>45501</v>
      </c>
      <c r="B821" t="s">
        <v>25</v>
      </c>
      <c r="C821" t="s">
        <v>26</v>
      </c>
      <c r="D821" t="s">
        <v>27</v>
      </c>
      <c r="E821">
        <v>1000</v>
      </c>
      <c r="F821" t="s">
        <v>22</v>
      </c>
      <c r="G821" t="s">
        <v>28</v>
      </c>
    </row>
    <row r="822" spans="1:7" x14ac:dyDescent="0.3">
      <c r="A822">
        <v>45510</v>
      </c>
      <c r="B822" t="s">
        <v>48</v>
      </c>
      <c r="C822" t="s">
        <v>20</v>
      </c>
      <c r="D822" t="s">
        <v>27</v>
      </c>
      <c r="E822">
        <v>1000</v>
      </c>
      <c r="F822" t="s">
        <v>22</v>
      </c>
      <c r="G822" t="s">
        <v>28</v>
      </c>
    </row>
    <row r="823" spans="1:7" x14ac:dyDescent="0.3">
      <c r="A823">
        <v>45510</v>
      </c>
      <c r="B823" t="s">
        <v>48</v>
      </c>
      <c r="C823" t="s">
        <v>20</v>
      </c>
      <c r="D823" t="s">
        <v>27</v>
      </c>
      <c r="E823">
        <v>1000</v>
      </c>
      <c r="F823" t="s">
        <v>22</v>
      </c>
      <c r="G823" t="s">
        <v>28</v>
      </c>
    </row>
    <row r="824" spans="1:7" x14ac:dyDescent="0.3">
      <c r="A824">
        <v>45502</v>
      </c>
      <c r="B824" t="s">
        <v>40</v>
      </c>
      <c r="C824" t="s">
        <v>20</v>
      </c>
      <c r="D824" t="s">
        <v>31</v>
      </c>
      <c r="E824">
        <v>800</v>
      </c>
      <c r="F824" t="s">
        <v>41</v>
      </c>
      <c r="G824" t="s">
        <v>23</v>
      </c>
    </row>
    <row r="825" spans="1:7" x14ac:dyDescent="0.3">
      <c r="A825">
        <v>45504</v>
      </c>
      <c r="B825" t="s">
        <v>29</v>
      </c>
      <c r="C825" t="s">
        <v>26</v>
      </c>
      <c r="D825" t="s">
        <v>27</v>
      </c>
      <c r="E825">
        <v>1000</v>
      </c>
      <c r="F825" t="s">
        <v>22</v>
      </c>
      <c r="G825" t="s">
        <v>28</v>
      </c>
    </row>
    <row r="826" spans="1:7" x14ac:dyDescent="0.3">
      <c r="A826">
        <v>45501</v>
      </c>
      <c r="B826" t="s">
        <v>25</v>
      </c>
      <c r="C826" t="s">
        <v>26</v>
      </c>
      <c r="D826" t="s">
        <v>27</v>
      </c>
      <c r="E826">
        <v>1000</v>
      </c>
      <c r="F826" t="s">
        <v>22</v>
      </c>
      <c r="G826" t="s">
        <v>28</v>
      </c>
    </row>
    <row r="827" spans="1:7" x14ac:dyDescent="0.3">
      <c r="A827">
        <v>45503</v>
      </c>
      <c r="B827" t="s">
        <v>43</v>
      </c>
      <c r="C827" t="s">
        <v>20</v>
      </c>
      <c r="D827" t="s">
        <v>31</v>
      </c>
      <c r="E827">
        <v>500</v>
      </c>
      <c r="F827" t="s">
        <v>44</v>
      </c>
      <c r="G827" t="s">
        <v>45</v>
      </c>
    </row>
    <row r="828" spans="1:7" x14ac:dyDescent="0.3">
      <c r="A828">
        <v>45510</v>
      </c>
      <c r="B828" t="s">
        <v>48</v>
      </c>
      <c r="C828" t="s">
        <v>20</v>
      </c>
      <c r="D828" t="s">
        <v>27</v>
      </c>
      <c r="E828">
        <v>1000</v>
      </c>
      <c r="F828" t="s">
        <v>22</v>
      </c>
      <c r="G828" t="s">
        <v>28</v>
      </c>
    </row>
    <row r="829" spans="1:7" x14ac:dyDescent="0.3">
      <c r="A829">
        <v>45500</v>
      </c>
      <c r="B829" t="s">
        <v>19</v>
      </c>
      <c r="C829" t="s">
        <v>20</v>
      </c>
      <c r="D829" t="s">
        <v>21</v>
      </c>
      <c r="E829">
        <v>500</v>
      </c>
      <c r="F829" t="s">
        <v>32</v>
      </c>
      <c r="G829" t="s">
        <v>47</v>
      </c>
    </row>
    <row r="830" spans="1:7" x14ac:dyDescent="0.3">
      <c r="A830">
        <v>45507</v>
      </c>
      <c r="B830" t="s">
        <v>33</v>
      </c>
      <c r="C830" t="s">
        <v>26</v>
      </c>
      <c r="D830" t="s">
        <v>21</v>
      </c>
      <c r="E830">
        <v>1000</v>
      </c>
      <c r="F830" t="s">
        <v>34</v>
      </c>
      <c r="G830" t="s">
        <v>35</v>
      </c>
    </row>
    <row r="831" spans="1:7" x14ac:dyDescent="0.3">
      <c r="A831">
        <v>45500</v>
      </c>
      <c r="B831" t="s">
        <v>19</v>
      </c>
      <c r="C831" t="s">
        <v>20</v>
      </c>
      <c r="D831" t="s">
        <v>21</v>
      </c>
      <c r="E831">
        <v>500</v>
      </c>
      <c r="F831" t="s">
        <v>32</v>
      </c>
      <c r="G831" t="s">
        <v>47</v>
      </c>
    </row>
    <row r="832" spans="1:7" x14ac:dyDescent="0.3">
      <c r="A832">
        <v>45511</v>
      </c>
      <c r="B832" t="s">
        <v>46</v>
      </c>
      <c r="C832" t="s">
        <v>20</v>
      </c>
      <c r="D832" t="s">
        <v>27</v>
      </c>
      <c r="E832">
        <v>1000</v>
      </c>
      <c r="F832" t="s">
        <v>22</v>
      </c>
      <c r="G832" t="s">
        <v>28</v>
      </c>
    </row>
    <row r="833" spans="1:7" x14ac:dyDescent="0.3">
      <c r="A833">
        <v>45507</v>
      </c>
      <c r="B833" t="s">
        <v>33</v>
      </c>
      <c r="C833" t="s">
        <v>26</v>
      </c>
      <c r="D833" t="s">
        <v>21</v>
      </c>
      <c r="E833">
        <v>1000</v>
      </c>
      <c r="F833" t="s">
        <v>34</v>
      </c>
      <c r="G833" t="s">
        <v>35</v>
      </c>
    </row>
    <row r="834" spans="1:7" x14ac:dyDescent="0.3">
      <c r="A834">
        <v>45500</v>
      </c>
      <c r="B834" t="s">
        <v>19</v>
      </c>
      <c r="C834" t="s">
        <v>20</v>
      </c>
      <c r="D834" t="s">
        <v>21</v>
      </c>
      <c r="E834">
        <v>500</v>
      </c>
      <c r="F834" t="s">
        <v>32</v>
      </c>
      <c r="G834" t="s">
        <v>47</v>
      </c>
    </row>
    <row r="835" spans="1:7" x14ac:dyDescent="0.3">
      <c r="A835">
        <v>45512</v>
      </c>
      <c r="B835" t="s">
        <v>36</v>
      </c>
      <c r="C835" t="s">
        <v>26</v>
      </c>
      <c r="D835" t="s">
        <v>21</v>
      </c>
      <c r="E835">
        <v>1000</v>
      </c>
      <c r="F835" t="s">
        <v>37</v>
      </c>
      <c r="G835" t="s">
        <v>28</v>
      </c>
    </row>
    <row r="836" spans="1:7" x14ac:dyDescent="0.3">
      <c r="A836">
        <v>45509</v>
      </c>
      <c r="B836" t="s">
        <v>30</v>
      </c>
      <c r="C836" t="s">
        <v>26</v>
      </c>
      <c r="D836" t="s">
        <v>31</v>
      </c>
      <c r="E836">
        <v>500</v>
      </c>
      <c r="F836" t="s">
        <v>32</v>
      </c>
      <c r="G836" t="s">
        <v>23</v>
      </c>
    </row>
    <row r="837" spans="1:7" x14ac:dyDescent="0.3">
      <c r="A837">
        <v>45504</v>
      </c>
      <c r="B837" t="s">
        <v>29</v>
      </c>
      <c r="C837" t="s">
        <v>26</v>
      </c>
      <c r="D837" t="s">
        <v>27</v>
      </c>
      <c r="E837">
        <v>1000</v>
      </c>
      <c r="F837" t="s">
        <v>22</v>
      </c>
      <c r="G837" t="s">
        <v>28</v>
      </c>
    </row>
    <row r="838" spans="1:7" x14ac:dyDescent="0.3">
      <c r="A838">
        <v>45504</v>
      </c>
      <c r="B838" t="s">
        <v>29</v>
      </c>
      <c r="C838" t="s">
        <v>26</v>
      </c>
      <c r="D838" t="s">
        <v>27</v>
      </c>
      <c r="E838">
        <v>1000</v>
      </c>
      <c r="F838" t="s">
        <v>22</v>
      </c>
      <c r="G838" t="s">
        <v>28</v>
      </c>
    </row>
    <row r="839" spans="1:7" x14ac:dyDescent="0.3">
      <c r="A839">
        <v>45500</v>
      </c>
      <c r="B839" t="s">
        <v>19</v>
      </c>
      <c r="C839" t="s">
        <v>20</v>
      </c>
      <c r="D839" t="s">
        <v>21</v>
      </c>
      <c r="E839">
        <v>500</v>
      </c>
      <c r="F839" t="s">
        <v>32</v>
      </c>
      <c r="G839" t="s">
        <v>47</v>
      </c>
    </row>
    <row r="840" spans="1:7" x14ac:dyDescent="0.3">
      <c r="A840">
        <v>45503</v>
      </c>
      <c r="B840" t="s">
        <v>43</v>
      </c>
      <c r="C840" t="s">
        <v>20</v>
      </c>
      <c r="D840" t="s">
        <v>31</v>
      </c>
      <c r="E840">
        <v>500</v>
      </c>
      <c r="F840" t="s">
        <v>44</v>
      </c>
      <c r="G840" t="s">
        <v>45</v>
      </c>
    </row>
    <row r="841" spans="1:7" x14ac:dyDescent="0.3">
      <c r="A841">
        <v>45507</v>
      </c>
      <c r="B841" t="s">
        <v>33</v>
      </c>
      <c r="C841" t="s">
        <v>26</v>
      </c>
      <c r="D841" t="s">
        <v>21</v>
      </c>
      <c r="E841">
        <v>1000</v>
      </c>
      <c r="F841" t="s">
        <v>34</v>
      </c>
      <c r="G841" t="s">
        <v>35</v>
      </c>
    </row>
    <row r="842" spans="1:7" x14ac:dyDescent="0.3">
      <c r="A842">
        <v>45504</v>
      </c>
      <c r="B842" t="s">
        <v>29</v>
      </c>
      <c r="C842" t="s">
        <v>26</v>
      </c>
      <c r="D842" t="s">
        <v>27</v>
      </c>
      <c r="E842">
        <v>1000</v>
      </c>
      <c r="F842" t="s">
        <v>22</v>
      </c>
      <c r="G842" t="s">
        <v>28</v>
      </c>
    </row>
    <row r="843" spans="1:7" x14ac:dyDescent="0.3">
      <c r="A843">
        <v>45504</v>
      </c>
      <c r="B843" t="s">
        <v>29</v>
      </c>
      <c r="C843" t="s">
        <v>26</v>
      </c>
      <c r="D843" t="s">
        <v>27</v>
      </c>
      <c r="E843">
        <v>1000</v>
      </c>
      <c r="F843" t="s">
        <v>22</v>
      </c>
      <c r="G843" t="s">
        <v>28</v>
      </c>
    </row>
    <row r="844" spans="1:7" x14ac:dyDescent="0.3">
      <c r="A844">
        <v>45503</v>
      </c>
      <c r="B844" t="s">
        <v>43</v>
      </c>
      <c r="C844" t="s">
        <v>20</v>
      </c>
      <c r="D844" t="s">
        <v>31</v>
      </c>
      <c r="E844">
        <v>500</v>
      </c>
      <c r="F844" t="s">
        <v>44</v>
      </c>
      <c r="G844" t="s">
        <v>45</v>
      </c>
    </row>
    <row r="845" spans="1:7" x14ac:dyDescent="0.3">
      <c r="A845">
        <v>45512</v>
      </c>
      <c r="B845" t="s">
        <v>36</v>
      </c>
      <c r="C845" t="s">
        <v>26</v>
      </c>
      <c r="D845" t="s">
        <v>21</v>
      </c>
      <c r="E845">
        <v>1000</v>
      </c>
      <c r="F845" t="s">
        <v>37</v>
      </c>
      <c r="G845" t="s">
        <v>28</v>
      </c>
    </row>
    <row r="846" spans="1:7" x14ac:dyDescent="0.3">
      <c r="A846">
        <v>45509</v>
      </c>
      <c r="B846" t="s">
        <v>30</v>
      </c>
      <c r="C846" t="s">
        <v>26</v>
      </c>
      <c r="D846" t="s">
        <v>31</v>
      </c>
      <c r="E846">
        <v>500</v>
      </c>
      <c r="F846" t="s">
        <v>32</v>
      </c>
      <c r="G846" t="s">
        <v>23</v>
      </c>
    </row>
    <row r="847" spans="1:7" x14ac:dyDescent="0.3">
      <c r="A847">
        <v>45505</v>
      </c>
      <c r="B847" t="s">
        <v>49</v>
      </c>
      <c r="C847" t="s">
        <v>20</v>
      </c>
      <c r="D847" t="s">
        <v>31</v>
      </c>
      <c r="E847">
        <v>800</v>
      </c>
      <c r="F847" t="s">
        <v>41</v>
      </c>
      <c r="G847" t="s">
        <v>39</v>
      </c>
    </row>
    <row r="848" spans="1:7" x14ac:dyDescent="0.3">
      <c r="A848">
        <v>45508</v>
      </c>
      <c r="B848" t="s">
        <v>42</v>
      </c>
      <c r="C848" t="s">
        <v>20</v>
      </c>
      <c r="D848" t="s">
        <v>31</v>
      </c>
      <c r="E848">
        <v>1000</v>
      </c>
      <c r="F848" t="s">
        <v>22</v>
      </c>
      <c r="G848" t="s">
        <v>28</v>
      </c>
    </row>
    <row r="849" spans="1:7" x14ac:dyDescent="0.3">
      <c r="A849">
        <v>45513</v>
      </c>
      <c r="B849" t="s">
        <v>19</v>
      </c>
      <c r="C849" t="s">
        <v>20</v>
      </c>
      <c r="D849" t="s">
        <v>21</v>
      </c>
      <c r="E849">
        <v>1000</v>
      </c>
      <c r="F849" t="s">
        <v>22</v>
      </c>
      <c r="G849" t="s">
        <v>23</v>
      </c>
    </row>
    <row r="850" spans="1:7" x14ac:dyDescent="0.3">
      <c r="A850">
        <v>45508</v>
      </c>
      <c r="B850" t="s">
        <v>42</v>
      </c>
      <c r="C850" t="s">
        <v>20</v>
      </c>
      <c r="D850" t="s">
        <v>31</v>
      </c>
      <c r="E850">
        <v>1000</v>
      </c>
      <c r="F850" t="s">
        <v>22</v>
      </c>
      <c r="G850" t="s">
        <v>28</v>
      </c>
    </row>
    <row r="851" spans="1:7" x14ac:dyDescent="0.3">
      <c r="A851">
        <v>45504</v>
      </c>
      <c r="B851" t="s">
        <v>29</v>
      </c>
      <c r="C851" t="s">
        <v>26</v>
      </c>
      <c r="D851" t="s">
        <v>27</v>
      </c>
      <c r="E851">
        <v>1000</v>
      </c>
      <c r="F851" t="s">
        <v>22</v>
      </c>
      <c r="G851" t="s">
        <v>28</v>
      </c>
    </row>
    <row r="852" spans="1:7" x14ac:dyDescent="0.3">
      <c r="A852">
        <v>45513</v>
      </c>
      <c r="B852" t="s">
        <v>19</v>
      </c>
      <c r="C852" t="s">
        <v>20</v>
      </c>
      <c r="D852" t="s">
        <v>21</v>
      </c>
      <c r="E852">
        <v>1000</v>
      </c>
      <c r="F852" t="s">
        <v>22</v>
      </c>
      <c r="G852" t="s">
        <v>23</v>
      </c>
    </row>
    <row r="853" spans="1:7" x14ac:dyDescent="0.3">
      <c r="A853">
        <v>45512</v>
      </c>
      <c r="B853" t="s">
        <v>36</v>
      </c>
      <c r="C853" t="s">
        <v>26</v>
      </c>
      <c r="D853" t="s">
        <v>21</v>
      </c>
      <c r="E853">
        <v>1000</v>
      </c>
      <c r="F853" t="s">
        <v>37</v>
      </c>
      <c r="G853" t="s">
        <v>28</v>
      </c>
    </row>
    <row r="854" spans="1:7" x14ac:dyDescent="0.3">
      <c r="A854">
        <v>45501</v>
      </c>
      <c r="B854" t="s">
        <v>25</v>
      </c>
      <c r="C854" t="s">
        <v>26</v>
      </c>
      <c r="D854" t="s">
        <v>27</v>
      </c>
      <c r="E854">
        <v>1000</v>
      </c>
      <c r="F854" t="s">
        <v>22</v>
      </c>
      <c r="G854" t="s">
        <v>28</v>
      </c>
    </row>
    <row r="855" spans="1:7" x14ac:dyDescent="0.3">
      <c r="A855">
        <v>45513</v>
      </c>
      <c r="B855" t="s">
        <v>19</v>
      </c>
      <c r="C855" t="s">
        <v>20</v>
      </c>
      <c r="D855" t="s">
        <v>21</v>
      </c>
      <c r="E855">
        <v>1000</v>
      </c>
      <c r="F855" t="s">
        <v>22</v>
      </c>
      <c r="G855" t="s">
        <v>23</v>
      </c>
    </row>
    <row r="856" spans="1:7" x14ac:dyDescent="0.3">
      <c r="A856">
        <v>45511</v>
      </c>
      <c r="B856" t="s">
        <v>46</v>
      </c>
      <c r="C856" t="s">
        <v>20</v>
      </c>
      <c r="D856" t="s">
        <v>27</v>
      </c>
      <c r="E856">
        <v>1000</v>
      </c>
      <c r="F856" t="s">
        <v>22</v>
      </c>
      <c r="G856" t="s">
        <v>28</v>
      </c>
    </row>
    <row r="857" spans="1:7" x14ac:dyDescent="0.3">
      <c r="A857">
        <v>45507</v>
      </c>
      <c r="B857" t="s">
        <v>33</v>
      </c>
      <c r="C857" t="s">
        <v>26</v>
      </c>
      <c r="D857" t="s">
        <v>21</v>
      </c>
      <c r="E857">
        <v>1000</v>
      </c>
      <c r="F857" t="s">
        <v>34</v>
      </c>
      <c r="G857" t="s">
        <v>35</v>
      </c>
    </row>
    <row r="858" spans="1:7" x14ac:dyDescent="0.3">
      <c r="A858">
        <v>45501</v>
      </c>
      <c r="B858" t="s">
        <v>25</v>
      </c>
      <c r="C858" t="s">
        <v>26</v>
      </c>
      <c r="D858" t="s">
        <v>27</v>
      </c>
      <c r="E858">
        <v>1000</v>
      </c>
      <c r="F858" t="s">
        <v>22</v>
      </c>
      <c r="G858" t="s">
        <v>28</v>
      </c>
    </row>
    <row r="859" spans="1:7" x14ac:dyDescent="0.3">
      <c r="A859">
        <v>45506</v>
      </c>
      <c r="B859" t="s">
        <v>38</v>
      </c>
      <c r="C859" t="s">
        <v>26</v>
      </c>
      <c r="D859" t="s">
        <v>21</v>
      </c>
      <c r="E859">
        <v>1000</v>
      </c>
      <c r="F859" t="s">
        <v>34</v>
      </c>
      <c r="G859" t="s">
        <v>39</v>
      </c>
    </row>
    <row r="860" spans="1:7" x14ac:dyDescent="0.3">
      <c r="A860">
        <v>45506</v>
      </c>
      <c r="B860" t="s">
        <v>38</v>
      </c>
      <c r="C860" t="s">
        <v>26</v>
      </c>
      <c r="D860" t="s">
        <v>21</v>
      </c>
      <c r="E860">
        <v>1000</v>
      </c>
      <c r="F860" t="s">
        <v>34</v>
      </c>
      <c r="G860" t="s">
        <v>39</v>
      </c>
    </row>
    <row r="861" spans="1:7" x14ac:dyDescent="0.3">
      <c r="A861">
        <v>45505</v>
      </c>
      <c r="B861" t="s">
        <v>49</v>
      </c>
      <c r="C861" t="s">
        <v>20</v>
      </c>
      <c r="D861" t="s">
        <v>31</v>
      </c>
      <c r="E861">
        <v>800</v>
      </c>
      <c r="F861" t="s">
        <v>41</v>
      </c>
      <c r="G861" t="s">
        <v>39</v>
      </c>
    </row>
    <row r="862" spans="1:7" x14ac:dyDescent="0.3">
      <c r="A862">
        <v>45502</v>
      </c>
      <c r="B862" t="s">
        <v>40</v>
      </c>
      <c r="C862" t="s">
        <v>20</v>
      </c>
      <c r="D862" t="s">
        <v>31</v>
      </c>
      <c r="E862">
        <v>800</v>
      </c>
      <c r="F862" t="s">
        <v>41</v>
      </c>
      <c r="G862" t="s">
        <v>23</v>
      </c>
    </row>
    <row r="863" spans="1:7" x14ac:dyDescent="0.3">
      <c r="A863">
        <v>45500</v>
      </c>
      <c r="B863" t="s">
        <v>19</v>
      </c>
      <c r="C863" t="s">
        <v>20</v>
      </c>
      <c r="D863" t="s">
        <v>21</v>
      </c>
      <c r="E863">
        <v>500</v>
      </c>
      <c r="F863" t="s">
        <v>32</v>
      </c>
      <c r="G863" t="s">
        <v>47</v>
      </c>
    </row>
    <row r="864" spans="1:7" x14ac:dyDescent="0.3">
      <c r="A864">
        <v>45502</v>
      </c>
      <c r="B864" t="s">
        <v>40</v>
      </c>
      <c r="C864" t="s">
        <v>20</v>
      </c>
      <c r="D864" t="s">
        <v>31</v>
      </c>
      <c r="E864">
        <v>800</v>
      </c>
      <c r="F864" t="s">
        <v>41</v>
      </c>
      <c r="G864" t="s">
        <v>23</v>
      </c>
    </row>
    <row r="865" spans="1:7" x14ac:dyDescent="0.3">
      <c r="A865">
        <v>45505</v>
      </c>
      <c r="B865" t="s">
        <v>49</v>
      </c>
      <c r="C865" t="s">
        <v>20</v>
      </c>
      <c r="D865" t="s">
        <v>31</v>
      </c>
      <c r="E865">
        <v>800</v>
      </c>
      <c r="F865" t="s">
        <v>41</v>
      </c>
      <c r="G865" t="s">
        <v>39</v>
      </c>
    </row>
    <row r="866" spans="1:7" x14ac:dyDescent="0.3">
      <c r="A866">
        <v>45512</v>
      </c>
      <c r="B866" t="s">
        <v>36</v>
      </c>
      <c r="C866" t="s">
        <v>26</v>
      </c>
      <c r="D866" t="s">
        <v>21</v>
      </c>
      <c r="E866">
        <v>1000</v>
      </c>
      <c r="F866" t="s">
        <v>37</v>
      </c>
      <c r="G866" t="s">
        <v>28</v>
      </c>
    </row>
    <row r="867" spans="1:7" x14ac:dyDescent="0.3">
      <c r="A867">
        <v>45512</v>
      </c>
      <c r="B867" t="s">
        <v>36</v>
      </c>
      <c r="C867" t="s">
        <v>26</v>
      </c>
      <c r="D867" t="s">
        <v>21</v>
      </c>
      <c r="E867">
        <v>1000</v>
      </c>
      <c r="F867" t="s">
        <v>37</v>
      </c>
      <c r="G867" t="s">
        <v>28</v>
      </c>
    </row>
    <row r="868" spans="1:7" x14ac:dyDescent="0.3">
      <c r="A868">
        <v>45510</v>
      </c>
      <c r="B868" t="s">
        <v>48</v>
      </c>
      <c r="C868" t="s">
        <v>20</v>
      </c>
      <c r="D868" t="s">
        <v>27</v>
      </c>
      <c r="E868">
        <v>1000</v>
      </c>
      <c r="F868" t="s">
        <v>22</v>
      </c>
      <c r="G868" t="s">
        <v>28</v>
      </c>
    </row>
    <row r="869" spans="1:7" x14ac:dyDescent="0.3">
      <c r="A869">
        <v>45508</v>
      </c>
      <c r="B869" t="s">
        <v>42</v>
      </c>
      <c r="C869" t="s">
        <v>20</v>
      </c>
      <c r="D869" t="s">
        <v>31</v>
      </c>
      <c r="E869">
        <v>1000</v>
      </c>
      <c r="F869" t="s">
        <v>22</v>
      </c>
      <c r="G869" t="s">
        <v>28</v>
      </c>
    </row>
    <row r="870" spans="1:7" x14ac:dyDescent="0.3">
      <c r="A870">
        <v>45507</v>
      </c>
      <c r="B870" t="s">
        <v>33</v>
      </c>
      <c r="C870" t="s">
        <v>26</v>
      </c>
      <c r="D870" t="s">
        <v>21</v>
      </c>
      <c r="E870">
        <v>1000</v>
      </c>
      <c r="F870" t="s">
        <v>34</v>
      </c>
      <c r="G870" t="s">
        <v>35</v>
      </c>
    </row>
    <row r="871" spans="1:7" x14ac:dyDescent="0.3">
      <c r="A871">
        <v>45509</v>
      </c>
      <c r="B871" t="s">
        <v>30</v>
      </c>
      <c r="C871" t="s">
        <v>26</v>
      </c>
      <c r="D871" t="s">
        <v>31</v>
      </c>
      <c r="E871">
        <v>500</v>
      </c>
      <c r="F871" t="s">
        <v>32</v>
      </c>
      <c r="G871" t="s">
        <v>23</v>
      </c>
    </row>
    <row r="872" spans="1:7" x14ac:dyDescent="0.3">
      <c r="A872">
        <v>45506</v>
      </c>
      <c r="B872" t="s">
        <v>38</v>
      </c>
      <c r="C872" t="s">
        <v>26</v>
      </c>
      <c r="D872" t="s">
        <v>21</v>
      </c>
      <c r="E872">
        <v>1000</v>
      </c>
      <c r="F872" t="s">
        <v>34</v>
      </c>
      <c r="G872" t="s">
        <v>39</v>
      </c>
    </row>
    <row r="873" spans="1:7" x14ac:dyDescent="0.3">
      <c r="A873">
        <v>45505</v>
      </c>
      <c r="B873" t="s">
        <v>49</v>
      </c>
      <c r="C873" t="s">
        <v>20</v>
      </c>
      <c r="D873" t="s">
        <v>31</v>
      </c>
      <c r="E873">
        <v>800</v>
      </c>
      <c r="F873" t="s">
        <v>41</v>
      </c>
      <c r="G873" t="s">
        <v>39</v>
      </c>
    </row>
    <row r="874" spans="1:7" x14ac:dyDescent="0.3">
      <c r="A874">
        <v>45503</v>
      </c>
      <c r="B874" t="s">
        <v>43</v>
      </c>
      <c r="C874" t="s">
        <v>20</v>
      </c>
      <c r="D874" t="s">
        <v>31</v>
      </c>
      <c r="E874">
        <v>500</v>
      </c>
      <c r="F874" t="s">
        <v>44</v>
      </c>
      <c r="G874" t="s">
        <v>45</v>
      </c>
    </row>
    <row r="875" spans="1:7" x14ac:dyDescent="0.3">
      <c r="A875">
        <v>45501</v>
      </c>
      <c r="B875" t="s">
        <v>25</v>
      </c>
      <c r="C875" t="s">
        <v>26</v>
      </c>
      <c r="D875" t="s">
        <v>27</v>
      </c>
      <c r="E875">
        <v>1000</v>
      </c>
      <c r="F875" t="s">
        <v>22</v>
      </c>
      <c r="G875" t="s">
        <v>28</v>
      </c>
    </row>
    <row r="876" spans="1:7" x14ac:dyDescent="0.3">
      <c r="A876">
        <v>45514</v>
      </c>
      <c r="B876" t="s">
        <v>43</v>
      </c>
      <c r="C876" t="s">
        <v>20</v>
      </c>
      <c r="D876" t="s">
        <v>31</v>
      </c>
      <c r="E876">
        <v>1000</v>
      </c>
      <c r="F876" t="s">
        <v>41</v>
      </c>
      <c r="G876" t="s">
        <v>47</v>
      </c>
    </row>
    <row r="877" spans="1:7" x14ac:dyDescent="0.3">
      <c r="A877">
        <v>45510</v>
      </c>
      <c r="B877" t="s">
        <v>48</v>
      </c>
      <c r="C877" t="s">
        <v>20</v>
      </c>
      <c r="D877" t="s">
        <v>27</v>
      </c>
      <c r="E877">
        <v>1000</v>
      </c>
      <c r="F877" t="s">
        <v>22</v>
      </c>
      <c r="G877" t="s">
        <v>28</v>
      </c>
    </row>
    <row r="878" spans="1:7" x14ac:dyDescent="0.3">
      <c r="A878">
        <v>45507</v>
      </c>
      <c r="B878" t="s">
        <v>33</v>
      </c>
      <c r="C878" t="s">
        <v>26</v>
      </c>
      <c r="D878" t="s">
        <v>21</v>
      </c>
      <c r="E878">
        <v>1000</v>
      </c>
      <c r="F878" t="s">
        <v>34</v>
      </c>
      <c r="G878" t="s">
        <v>35</v>
      </c>
    </row>
    <row r="879" spans="1:7" x14ac:dyDescent="0.3">
      <c r="A879">
        <v>45504</v>
      </c>
      <c r="B879" t="s">
        <v>29</v>
      </c>
      <c r="C879" t="s">
        <v>26</v>
      </c>
      <c r="D879" t="s">
        <v>27</v>
      </c>
      <c r="E879">
        <v>1000</v>
      </c>
      <c r="F879" t="s">
        <v>22</v>
      </c>
      <c r="G879" t="s">
        <v>28</v>
      </c>
    </row>
    <row r="880" spans="1:7" x14ac:dyDescent="0.3">
      <c r="A880">
        <v>45502</v>
      </c>
      <c r="B880" t="s">
        <v>40</v>
      </c>
      <c r="C880" t="s">
        <v>20</v>
      </c>
      <c r="D880" t="s">
        <v>31</v>
      </c>
      <c r="E880">
        <v>800</v>
      </c>
      <c r="F880" t="s">
        <v>41</v>
      </c>
      <c r="G880" t="s">
        <v>23</v>
      </c>
    </row>
    <row r="881" spans="1:7" x14ac:dyDescent="0.3">
      <c r="A881">
        <v>45510</v>
      </c>
      <c r="B881" t="s">
        <v>48</v>
      </c>
      <c r="C881" t="s">
        <v>20</v>
      </c>
      <c r="D881" t="s">
        <v>27</v>
      </c>
      <c r="E881">
        <v>1000</v>
      </c>
      <c r="F881" t="s">
        <v>22</v>
      </c>
      <c r="G881" t="s">
        <v>28</v>
      </c>
    </row>
    <row r="882" spans="1:7" x14ac:dyDescent="0.3">
      <c r="A882">
        <v>45505</v>
      </c>
      <c r="B882" t="s">
        <v>49</v>
      </c>
      <c r="C882" t="s">
        <v>20</v>
      </c>
      <c r="D882" t="s">
        <v>31</v>
      </c>
      <c r="E882">
        <v>800</v>
      </c>
      <c r="F882" t="s">
        <v>41</v>
      </c>
      <c r="G882" t="s">
        <v>39</v>
      </c>
    </row>
    <row r="883" spans="1:7" x14ac:dyDescent="0.3">
      <c r="A883">
        <v>45508</v>
      </c>
      <c r="B883" t="s">
        <v>42</v>
      </c>
      <c r="C883" t="s">
        <v>20</v>
      </c>
      <c r="D883" t="s">
        <v>31</v>
      </c>
      <c r="E883">
        <v>1000</v>
      </c>
      <c r="F883" t="s">
        <v>22</v>
      </c>
      <c r="G883" t="s">
        <v>28</v>
      </c>
    </row>
    <row r="884" spans="1:7" x14ac:dyDescent="0.3">
      <c r="A884">
        <v>45509</v>
      </c>
      <c r="B884" t="s">
        <v>30</v>
      </c>
      <c r="C884" t="s">
        <v>26</v>
      </c>
      <c r="D884" t="s">
        <v>31</v>
      </c>
      <c r="E884">
        <v>500</v>
      </c>
      <c r="F884" t="s">
        <v>32</v>
      </c>
      <c r="G884" t="s">
        <v>23</v>
      </c>
    </row>
    <row r="885" spans="1:7" x14ac:dyDescent="0.3">
      <c r="A885">
        <v>45503</v>
      </c>
      <c r="B885" t="s">
        <v>43</v>
      </c>
      <c r="C885" t="s">
        <v>20</v>
      </c>
      <c r="D885" t="s">
        <v>31</v>
      </c>
      <c r="E885">
        <v>500</v>
      </c>
      <c r="F885" t="s">
        <v>44</v>
      </c>
      <c r="G885" t="s">
        <v>45</v>
      </c>
    </row>
    <row r="886" spans="1:7" x14ac:dyDescent="0.3">
      <c r="A886">
        <v>45504</v>
      </c>
      <c r="B886" t="s">
        <v>29</v>
      </c>
      <c r="C886" t="s">
        <v>26</v>
      </c>
      <c r="D886" t="s">
        <v>27</v>
      </c>
      <c r="E886">
        <v>1000</v>
      </c>
      <c r="F886" t="s">
        <v>22</v>
      </c>
      <c r="G886" t="s">
        <v>28</v>
      </c>
    </row>
    <row r="887" spans="1:7" x14ac:dyDescent="0.3">
      <c r="A887">
        <v>45504</v>
      </c>
      <c r="B887" t="s">
        <v>29</v>
      </c>
      <c r="C887" t="s">
        <v>26</v>
      </c>
      <c r="D887" t="s">
        <v>27</v>
      </c>
      <c r="E887">
        <v>1000</v>
      </c>
      <c r="F887" t="s">
        <v>22</v>
      </c>
      <c r="G887" t="s">
        <v>28</v>
      </c>
    </row>
    <row r="888" spans="1:7" x14ac:dyDescent="0.3">
      <c r="A888">
        <v>45514</v>
      </c>
      <c r="B888" t="s">
        <v>43</v>
      </c>
      <c r="C888" t="s">
        <v>20</v>
      </c>
      <c r="D888" t="s">
        <v>31</v>
      </c>
      <c r="E888">
        <v>1000</v>
      </c>
      <c r="F888" t="s">
        <v>41</v>
      </c>
      <c r="G888" t="s">
        <v>47</v>
      </c>
    </row>
    <row r="889" spans="1:7" x14ac:dyDescent="0.3">
      <c r="A889">
        <v>45508</v>
      </c>
      <c r="B889" t="s">
        <v>42</v>
      </c>
      <c r="C889" t="s">
        <v>20</v>
      </c>
      <c r="D889" t="s">
        <v>31</v>
      </c>
      <c r="E889">
        <v>1000</v>
      </c>
      <c r="F889" t="s">
        <v>22</v>
      </c>
      <c r="G889" t="s">
        <v>28</v>
      </c>
    </row>
    <row r="890" spans="1:7" x14ac:dyDescent="0.3">
      <c r="A890">
        <v>45507</v>
      </c>
      <c r="B890" t="s">
        <v>33</v>
      </c>
      <c r="C890" t="s">
        <v>26</v>
      </c>
      <c r="D890" t="s">
        <v>21</v>
      </c>
      <c r="E890">
        <v>1000</v>
      </c>
      <c r="F890" t="s">
        <v>34</v>
      </c>
      <c r="G890" t="s">
        <v>35</v>
      </c>
    </row>
    <row r="891" spans="1:7" x14ac:dyDescent="0.3">
      <c r="A891">
        <v>45512</v>
      </c>
      <c r="B891" t="s">
        <v>36</v>
      </c>
      <c r="C891" t="s">
        <v>26</v>
      </c>
      <c r="D891" t="s">
        <v>21</v>
      </c>
      <c r="E891">
        <v>1000</v>
      </c>
      <c r="F891" t="s">
        <v>37</v>
      </c>
      <c r="G891" t="s">
        <v>28</v>
      </c>
    </row>
    <row r="892" spans="1:7" x14ac:dyDescent="0.3">
      <c r="A892">
        <v>45512</v>
      </c>
      <c r="B892" t="s">
        <v>36</v>
      </c>
      <c r="C892" t="s">
        <v>26</v>
      </c>
      <c r="D892" t="s">
        <v>21</v>
      </c>
      <c r="E892">
        <v>1000</v>
      </c>
      <c r="F892" t="s">
        <v>37</v>
      </c>
      <c r="G892" t="s">
        <v>28</v>
      </c>
    </row>
    <row r="893" spans="1:7" x14ac:dyDescent="0.3">
      <c r="A893">
        <v>45513</v>
      </c>
      <c r="B893" t="s">
        <v>19</v>
      </c>
      <c r="C893" t="s">
        <v>20</v>
      </c>
      <c r="D893" t="s">
        <v>21</v>
      </c>
      <c r="E893">
        <v>1000</v>
      </c>
      <c r="F893" t="s">
        <v>22</v>
      </c>
      <c r="G893" t="s">
        <v>23</v>
      </c>
    </row>
    <row r="894" spans="1:7" x14ac:dyDescent="0.3">
      <c r="A894">
        <v>45507</v>
      </c>
      <c r="B894" t="s">
        <v>33</v>
      </c>
      <c r="C894" t="s">
        <v>26</v>
      </c>
      <c r="D894" t="s">
        <v>21</v>
      </c>
      <c r="E894">
        <v>1000</v>
      </c>
      <c r="F894" t="s">
        <v>34</v>
      </c>
      <c r="G894" t="s">
        <v>35</v>
      </c>
    </row>
    <row r="895" spans="1:7" x14ac:dyDescent="0.3">
      <c r="A895">
        <v>45510</v>
      </c>
      <c r="B895" t="s">
        <v>48</v>
      </c>
      <c r="C895" t="s">
        <v>20</v>
      </c>
      <c r="D895" t="s">
        <v>27</v>
      </c>
      <c r="E895">
        <v>1000</v>
      </c>
      <c r="F895" t="s">
        <v>22</v>
      </c>
      <c r="G895" t="s">
        <v>28</v>
      </c>
    </row>
    <row r="896" spans="1:7" x14ac:dyDescent="0.3">
      <c r="A896">
        <v>45509</v>
      </c>
      <c r="B896" t="s">
        <v>30</v>
      </c>
      <c r="C896" t="s">
        <v>26</v>
      </c>
      <c r="D896" t="s">
        <v>31</v>
      </c>
      <c r="E896">
        <v>500</v>
      </c>
      <c r="F896" t="s">
        <v>32</v>
      </c>
      <c r="G896" t="s">
        <v>23</v>
      </c>
    </row>
    <row r="897" spans="1:7" x14ac:dyDescent="0.3">
      <c r="A897">
        <v>45509</v>
      </c>
      <c r="B897" t="s">
        <v>30</v>
      </c>
      <c r="C897" t="s">
        <v>26</v>
      </c>
      <c r="D897" t="s">
        <v>31</v>
      </c>
      <c r="E897">
        <v>500</v>
      </c>
      <c r="F897" t="s">
        <v>32</v>
      </c>
      <c r="G897" t="s">
        <v>23</v>
      </c>
    </row>
    <row r="898" spans="1:7" x14ac:dyDescent="0.3">
      <c r="A898">
        <v>45503</v>
      </c>
      <c r="B898" t="s">
        <v>43</v>
      </c>
      <c r="C898" t="s">
        <v>20</v>
      </c>
      <c r="D898" t="s">
        <v>31</v>
      </c>
      <c r="E898">
        <v>500</v>
      </c>
      <c r="F898" t="s">
        <v>44</v>
      </c>
      <c r="G898" t="s">
        <v>45</v>
      </c>
    </row>
    <row r="899" spans="1:7" x14ac:dyDescent="0.3">
      <c r="A899">
        <v>45512</v>
      </c>
      <c r="B899" t="s">
        <v>36</v>
      </c>
      <c r="C899" t="s">
        <v>26</v>
      </c>
      <c r="D899" t="s">
        <v>21</v>
      </c>
      <c r="E899">
        <v>1000</v>
      </c>
      <c r="F899" t="s">
        <v>37</v>
      </c>
      <c r="G899" t="s">
        <v>28</v>
      </c>
    </row>
    <row r="900" spans="1:7" x14ac:dyDescent="0.3">
      <c r="A900">
        <v>45500</v>
      </c>
      <c r="B900" t="s">
        <v>19</v>
      </c>
      <c r="C900" t="s">
        <v>20</v>
      </c>
      <c r="D900" t="s">
        <v>21</v>
      </c>
      <c r="E900">
        <v>500</v>
      </c>
      <c r="F900" t="s">
        <v>32</v>
      </c>
      <c r="G900" t="s">
        <v>47</v>
      </c>
    </row>
    <row r="901" spans="1:7" x14ac:dyDescent="0.3">
      <c r="A901">
        <v>45510</v>
      </c>
      <c r="B901" t="s">
        <v>48</v>
      </c>
      <c r="C901" t="s">
        <v>20</v>
      </c>
      <c r="D901" t="s">
        <v>27</v>
      </c>
      <c r="E901">
        <v>1000</v>
      </c>
      <c r="F901" t="s">
        <v>22</v>
      </c>
      <c r="G901" t="s">
        <v>28</v>
      </c>
    </row>
    <row r="902" spans="1:7" x14ac:dyDescent="0.3">
      <c r="A902">
        <v>45509</v>
      </c>
      <c r="B902" t="s">
        <v>30</v>
      </c>
      <c r="C902" t="s">
        <v>26</v>
      </c>
      <c r="D902" t="s">
        <v>31</v>
      </c>
      <c r="E902">
        <v>500</v>
      </c>
      <c r="F902" t="s">
        <v>32</v>
      </c>
      <c r="G902" t="s">
        <v>23</v>
      </c>
    </row>
    <row r="903" spans="1:7" x14ac:dyDescent="0.3">
      <c r="A903">
        <v>45514</v>
      </c>
      <c r="B903" t="s">
        <v>43</v>
      </c>
      <c r="C903" t="s">
        <v>20</v>
      </c>
      <c r="D903" t="s">
        <v>31</v>
      </c>
      <c r="E903">
        <v>1000</v>
      </c>
      <c r="F903" t="s">
        <v>41</v>
      </c>
      <c r="G903" t="s">
        <v>47</v>
      </c>
    </row>
    <row r="904" spans="1:7" x14ac:dyDescent="0.3">
      <c r="A904">
        <v>45511</v>
      </c>
      <c r="B904" t="s">
        <v>46</v>
      </c>
      <c r="C904" t="s">
        <v>20</v>
      </c>
      <c r="D904" t="s">
        <v>27</v>
      </c>
      <c r="E904">
        <v>1000</v>
      </c>
      <c r="F904" t="s">
        <v>22</v>
      </c>
      <c r="G904" t="s">
        <v>28</v>
      </c>
    </row>
    <row r="905" spans="1:7" x14ac:dyDescent="0.3">
      <c r="A905">
        <v>45508</v>
      </c>
      <c r="B905" t="s">
        <v>42</v>
      </c>
      <c r="C905" t="s">
        <v>20</v>
      </c>
      <c r="D905" t="s">
        <v>31</v>
      </c>
      <c r="E905">
        <v>1000</v>
      </c>
      <c r="F905" t="s">
        <v>22</v>
      </c>
      <c r="G905" t="s">
        <v>28</v>
      </c>
    </row>
    <row r="906" spans="1:7" x14ac:dyDescent="0.3">
      <c r="A906">
        <v>45510</v>
      </c>
      <c r="B906" t="s">
        <v>48</v>
      </c>
      <c r="C906" t="s">
        <v>20</v>
      </c>
      <c r="D906" t="s">
        <v>27</v>
      </c>
      <c r="E906">
        <v>1000</v>
      </c>
      <c r="F906" t="s">
        <v>22</v>
      </c>
      <c r="G906" t="s">
        <v>28</v>
      </c>
    </row>
    <row r="907" spans="1:7" x14ac:dyDescent="0.3">
      <c r="A907">
        <v>45506</v>
      </c>
      <c r="B907" t="s">
        <v>38</v>
      </c>
      <c r="C907" t="s">
        <v>26</v>
      </c>
      <c r="D907" t="s">
        <v>21</v>
      </c>
      <c r="E907">
        <v>1000</v>
      </c>
      <c r="F907" t="s">
        <v>34</v>
      </c>
      <c r="G907" t="s">
        <v>39</v>
      </c>
    </row>
    <row r="908" spans="1:7" x14ac:dyDescent="0.3">
      <c r="A908">
        <v>45511</v>
      </c>
      <c r="B908" t="s">
        <v>46</v>
      </c>
      <c r="C908" t="s">
        <v>20</v>
      </c>
      <c r="D908" t="s">
        <v>27</v>
      </c>
      <c r="E908">
        <v>1000</v>
      </c>
      <c r="F908" t="s">
        <v>22</v>
      </c>
      <c r="G908" t="s">
        <v>28</v>
      </c>
    </row>
    <row r="909" spans="1:7" x14ac:dyDescent="0.3">
      <c r="A909">
        <v>45500</v>
      </c>
      <c r="B909" t="s">
        <v>19</v>
      </c>
      <c r="C909" t="s">
        <v>20</v>
      </c>
      <c r="D909" t="s">
        <v>21</v>
      </c>
      <c r="E909">
        <v>500</v>
      </c>
      <c r="F909" t="s">
        <v>32</v>
      </c>
      <c r="G909" t="s">
        <v>47</v>
      </c>
    </row>
    <row r="910" spans="1:7" x14ac:dyDescent="0.3">
      <c r="A910">
        <v>45501</v>
      </c>
      <c r="B910" t="s">
        <v>25</v>
      </c>
      <c r="C910" t="s">
        <v>26</v>
      </c>
      <c r="D910" t="s">
        <v>27</v>
      </c>
      <c r="E910">
        <v>1000</v>
      </c>
      <c r="F910" t="s">
        <v>22</v>
      </c>
      <c r="G910" t="s">
        <v>28</v>
      </c>
    </row>
    <row r="911" spans="1:7" x14ac:dyDescent="0.3">
      <c r="A911">
        <v>45511</v>
      </c>
      <c r="B911" t="s">
        <v>46</v>
      </c>
      <c r="C911" t="s">
        <v>20</v>
      </c>
      <c r="D911" t="s">
        <v>27</v>
      </c>
      <c r="E911">
        <v>1000</v>
      </c>
      <c r="F911" t="s">
        <v>22</v>
      </c>
      <c r="G911" t="s">
        <v>28</v>
      </c>
    </row>
    <row r="912" spans="1:7" x14ac:dyDescent="0.3">
      <c r="A912">
        <v>45504</v>
      </c>
      <c r="B912" t="s">
        <v>29</v>
      </c>
      <c r="C912" t="s">
        <v>26</v>
      </c>
      <c r="D912" t="s">
        <v>27</v>
      </c>
      <c r="E912">
        <v>1000</v>
      </c>
      <c r="F912" t="s">
        <v>22</v>
      </c>
      <c r="G912" t="s">
        <v>28</v>
      </c>
    </row>
    <row r="913" spans="1:7" x14ac:dyDescent="0.3">
      <c r="A913">
        <v>45512</v>
      </c>
      <c r="B913" t="s">
        <v>36</v>
      </c>
      <c r="C913" t="s">
        <v>26</v>
      </c>
      <c r="D913" t="s">
        <v>21</v>
      </c>
      <c r="E913">
        <v>1000</v>
      </c>
      <c r="F913" t="s">
        <v>37</v>
      </c>
      <c r="G913" t="s">
        <v>28</v>
      </c>
    </row>
    <row r="914" spans="1:7" x14ac:dyDescent="0.3">
      <c r="A914">
        <v>45501</v>
      </c>
      <c r="B914" t="s">
        <v>25</v>
      </c>
      <c r="C914" t="s">
        <v>26</v>
      </c>
      <c r="D914" t="s">
        <v>27</v>
      </c>
      <c r="E914">
        <v>1000</v>
      </c>
      <c r="F914" t="s">
        <v>22</v>
      </c>
      <c r="G914" t="s">
        <v>28</v>
      </c>
    </row>
    <row r="915" spans="1:7" x14ac:dyDescent="0.3">
      <c r="A915">
        <v>45505</v>
      </c>
      <c r="B915" t="s">
        <v>49</v>
      </c>
      <c r="C915" t="s">
        <v>20</v>
      </c>
      <c r="D915" t="s">
        <v>31</v>
      </c>
      <c r="E915">
        <v>800</v>
      </c>
      <c r="F915" t="s">
        <v>41</v>
      </c>
      <c r="G915" t="s">
        <v>39</v>
      </c>
    </row>
    <row r="916" spans="1:7" x14ac:dyDescent="0.3">
      <c r="A916">
        <v>45508</v>
      </c>
      <c r="B916" t="s">
        <v>42</v>
      </c>
      <c r="C916" t="s">
        <v>20</v>
      </c>
      <c r="D916" t="s">
        <v>31</v>
      </c>
      <c r="E916">
        <v>1000</v>
      </c>
      <c r="F916" t="s">
        <v>22</v>
      </c>
      <c r="G916" t="s">
        <v>28</v>
      </c>
    </row>
    <row r="917" spans="1:7" x14ac:dyDescent="0.3">
      <c r="A917">
        <v>45505</v>
      </c>
      <c r="B917" t="s">
        <v>49</v>
      </c>
      <c r="C917" t="s">
        <v>20</v>
      </c>
      <c r="D917" t="s">
        <v>31</v>
      </c>
      <c r="E917">
        <v>800</v>
      </c>
      <c r="F917" t="s">
        <v>41</v>
      </c>
      <c r="G917" t="s">
        <v>39</v>
      </c>
    </row>
    <row r="918" spans="1:7" x14ac:dyDescent="0.3">
      <c r="A918">
        <v>45513</v>
      </c>
      <c r="B918" t="s">
        <v>19</v>
      </c>
      <c r="C918" t="s">
        <v>20</v>
      </c>
      <c r="D918" t="s">
        <v>21</v>
      </c>
      <c r="E918">
        <v>1000</v>
      </c>
      <c r="F918" t="s">
        <v>22</v>
      </c>
      <c r="G918" t="s">
        <v>23</v>
      </c>
    </row>
    <row r="919" spans="1:7" x14ac:dyDescent="0.3">
      <c r="A919">
        <v>45513</v>
      </c>
      <c r="B919" t="s">
        <v>19</v>
      </c>
      <c r="C919" t="s">
        <v>20</v>
      </c>
      <c r="D919" t="s">
        <v>21</v>
      </c>
      <c r="E919">
        <v>1000</v>
      </c>
      <c r="F919" t="s">
        <v>22</v>
      </c>
      <c r="G919" t="s">
        <v>23</v>
      </c>
    </row>
    <row r="920" spans="1:7" x14ac:dyDescent="0.3">
      <c r="A920">
        <v>45506</v>
      </c>
      <c r="B920" t="s">
        <v>38</v>
      </c>
      <c r="C920" t="s">
        <v>26</v>
      </c>
      <c r="D920" t="s">
        <v>21</v>
      </c>
      <c r="E920">
        <v>1000</v>
      </c>
      <c r="F920" t="s">
        <v>34</v>
      </c>
      <c r="G920" t="s">
        <v>39</v>
      </c>
    </row>
    <row r="921" spans="1:7" x14ac:dyDescent="0.3">
      <c r="A921">
        <v>45501</v>
      </c>
      <c r="B921" t="s">
        <v>25</v>
      </c>
      <c r="C921" t="s">
        <v>26</v>
      </c>
      <c r="D921" t="s">
        <v>27</v>
      </c>
      <c r="E921">
        <v>1000</v>
      </c>
      <c r="F921" t="s">
        <v>22</v>
      </c>
      <c r="G921" t="s">
        <v>28</v>
      </c>
    </row>
    <row r="922" spans="1:7" x14ac:dyDescent="0.3">
      <c r="A922">
        <v>45507</v>
      </c>
      <c r="B922" t="s">
        <v>33</v>
      </c>
      <c r="C922" t="s">
        <v>26</v>
      </c>
      <c r="D922" t="s">
        <v>21</v>
      </c>
      <c r="E922">
        <v>1000</v>
      </c>
      <c r="F922" t="s">
        <v>34</v>
      </c>
      <c r="G922" t="s">
        <v>35</v>
      </c>
    </row>
    <row r="923" spans="1:7" x14ac:dyDescent="0.3">
      <c r="A923">
        <v>45502</v>
      </c>
      <c r="B923" t="s">
        <v>40</v>
      </c>
      <c r="C923" t="s">
        <v>20</v>
      </c>
      <c r="D923" t="s">
        <v>31</v>
      </c>
      <c r="E923">
        <v>800</v>
      </c>
      <c r="F923" t="s">
        <v>41</v>
      </c>
      <c r="G923" t="s">
        <v>23</v>
      </c>
    </row>
    <row r="924" spans="1:7" x14ac:dyDescent="0.3">
      <c r="A924">
        <v>45511</v>
      </c>
      <c r="B924" t="s">
        <v>46</v>
      </c>
      <c r="C924" t="s">
        <v>20</v>
      </c>
      <c r="D924" t="s">
        <v>27</v>
      </c>
      <c r="E924">
        <v>1000</v>
      </c>
      <c r="F924" t="s">
        <v>22</v>
      </c>
      <c r="G924" t="s">
        <v>28</v>
      </c>
    </row>
    <row r="925" spans="1:7" x14ac:dyDescent="0.3">
      <c r="A925">
        <v>45511</v>
      </c>
      <c r="B925" t="s">
        <v>46</v>
      </c>
      <c r="C925" t="s">
        <v>20</v>
      </c>
      <c r="D925" t="s">
        <v>27</v>
      </c>
      <c r="E925">
        <v>1000</v>
      </c>
      <c r="F925" t="s">
        <v>22</v>
      </c>
      <c r="G925" t="s">
        <v>28</v>
      </c>
    </row>
    <row r="926" spans="1:7" x14ac:dyDescent="0.3">
      <c r="A926">
        <v>45513</v>
      </c>
      <c r="B926" t="s">
        <v>19</v>
      </c>
      <c r="C926" t="s">
        <v>20</v>
      </c>
      <c r="D926" t="s">
        <v>21</v>
      </c>
      <c r="E926">
        <v>1000</v>
      </c>
      <c r="F926" t="s">
        <v>22</v>
      </c>
      <c r="G926" t="s">
        <v>23</v>
      </c>
    </row>
    <row r="927" spans="1:7" x14ac:dyDescent="0.3">
      <c r="A927">
        <v>45510</v>
      </c>
      <c r="B927" t="s">
        <v>48</v>
      </c>
      <c r="C927" t="s">
        <v>20</v>
      </c>
      <c r="D927" t="s">
        <v>27</v>
      </c>
      <c r="E927">
        <v>1000</v>
      </c>
      <c r="F927" t="s">
        <v>22</v>
      </c>
      <c r="G927" t="s">
        <v>28</v>
      </c>
    </row>
    <row r="928" spans="1:7" x14ac:dyDescent="0.3">
      <c r="A928">
        <v>45501</v>
      </c>
      <c r="B928" t="s">
        <v>25</v>
      </c>
      <c r="C928" t="s">
        <v>26</v>
      </c>
      <c r="D928" t="s">
        <v>27</v>
      </c>
      <c r="E928">
        <v>1000</v>
      </c>
      <c r="F928" t="s">
        <v>22</v>
      </c>
      <c r="G928" t="s">
        <v>28</v>
      </c>
    </row>
    <row r="929" spans="1:7" x14ac:dyDescent="0.3">
      <c r="A929">
        <v>45511</v>
      </c>
      <c r="B929" t="s">
        <v>46</v>
      </c>
      <c r="C929" t="s">
        <v>20</v>
      </c>
      <c r="D929" t="s">
        <v>27</v>
      </c>
      <c r="E929">
        <v>1000</v>
      </c>
      <c r="F929" t="s">
        <v>22</v>
      </c>
      <c r="G929" t="s">
        <v>28</v>
      </c>
    </row>
    <row r="930" spans="1:7" x14ac:dyDescent="0.3">
      <c r="A930">
        <v>45505</v>
      </c>
      <c r="B930" t="s">
        <v>49</v>
      </c>
      <c r="C930" t="s">
        <v>20</v>
      </c>
      <c r="D930" t="s">
        <v>31</v>
      </c>
      <c r="E930">
        <v>800</v>
      </c>
      <c r="F930" t="s">
        <v>41</v>
      </c>
      <c r="G930" t="s">
        <v>39</v>
      </c>
    </row>
    <row r="931" spans="1:7" x14ac:dyDescent="0.3">
      <c r="A931">
        <v>45509</v>
      </c>
      <c r="B931" t="s">
        <v>30</v>
      </c>
      <c r="C931" t="s">
        <v>26</v>
      </c>
      <c r="D931" t="s">
        <v>31</v>
      </c>
      <c r="E931">
        <v>500</v>
      </c>
      <c r="F931" t="s">
        <v>32</v>
      </c>
      <c r="G931" t="s">
        <v>23</v>
      </c>
    </row>
    <row r="932" spans="1:7" x14ac:dyDescent="0.3">
      <c r="A932">
        <v>45505</v>
      </c>
      <c r="B932" t="s">
        <v>49</v>
      </c>
      <c r="C932" t="s">
        <v>20</v>
      </c>
      <c r="D932" t="s">
        <v>31</v>
      </c>
      <c r="E932">
        <v>800</v>
      </c>
      <c r="F932" t="s">
        <v>41</v>
      </c>
      <c r="G932" t="s">
        <v>39</v>
      </c>
    </row>
    <row r="933" spans="1:7" x14ac:dyDescent="0.3">
      <c r="A933">
        <v>45512</v>
      </c>
      <c r="B933" t="s">
        <v>36</v>
      </c>
      <c r="C933" t="s">
        <v>26</v>
      </c>
      <c r="D933" t="s">
        <v>21</v>
      </c>
      <c r="E933">
        <v>1000</v>
      </c>
      <c r="F933" t="s">
        <v>37</v>
      </c>
      <c r="G933" t="s">
        <v>28</v>
      </c>
    </row>
    <row r="934" spans="1:7" x14ac:dyDescent="0.3">
      <c r="A934">
        <v>45513</v>
      </c>
      <c r="B934" t="s">
        <v>19</v>
      </c>
      <c r="C934" t="s">
        <v>20</v>
      </c>
      <c r="D934" t="s">
        <v>21</v>
      </c>
      <c r="E934">
        <v>1000</v>
      </c>
      <c r="F934" t="s">
        <v>22</v>
      </c>
      <c r="G934" t="s">
        <v>23</v>
      </c>
    </row>
    <row r="935" spans="1:7" x14ac:dyDescent="0.3">
      <c r="A935">
        <v>45509</v>
      </c>
      <c r="B935" t="s">
        <v>30</v>
      </c>
      <c r="C935" t="s">
        <v>26</v>
      </c>
      <c r="D935" t="s">
        <v>31</v>
      </c>
      <c r="E935">
        <v>500</v>
      </c>
      <c r="F935" t="s">
        <v>32</v>
      </c>
      <c r="G935" t="s">
        <v>23</v>
      </c>
    </row>
    <row r="936" spans="1:7" x14ac:dyDescent="0.3">
      <c r="A936">
        <v>45501</v>
      </c>
      <c r="B936" t="s">
        <v>25</v>
      </c>
      <c r="C936" t="s">
        <v>26</v>
      </c>
      <c r="D936" t="s">
        <v>27</v>
      </c>
      <c r="E936">
        <v>1000</v>
      </c>
      <c r="F936" t="s">
        <v>22</v>
      </c>
      <c r="G936" t="s">
        <v>28</v>
      </c>
    </row>
    <row r="937" spans="1:7" x14ac:dyDescent="0.3">
      <c r="A937">
        <v>45502</v>
      </c>
      <c r="B937" t="s">
        <v>40</v>
      </c>
      <c r="C937" t="s">
        <v>20</v>
      </c>
      <c r="D937" t="s">
        <v>31</v>
      </c>
      <c r="E937">
        <v>800</v>
      </c>
      <c r="F937" t="s">
        <v>41</v>
      </c>
      <c r="G937" t="s">
        <v>23</v>
      </c>
    </row>
    <row r="938" spans="1:7" x14ac:dyDescent="0.3">
      <c r="A938">
        <v>45508</v>
      </c>
      <c r="B938" t="s">
        <v>42</v>
      </c>
      <c r="C938" t="s">
        <v>20</v>
      </c>
      <c r="D938" t="s">
        <v>31</v>
      </c>
      <c r="E938">
        <v>1000</v>
      </c>
      <c r="F938" t="s">
        <v>22</v>
      </c>
      <c r="G938" t="s">
        <v>28</v>
      </c>
    </row>
    <row r="939" spans="1:7" x14ac:dyDescent="0.3">
      <c r="A939">
        <v>45501</v>
      </c>
      <c r="B939" t="s">
        <v>25</v>
      </c>
      <c r="C939" t="s">
        <v>26</v>
      </c>
      <c r="D939" t="s">
        <v>27</v>
      </c>
      <c r="E939">
        <v>1000</v>
      </c>
      <c r="F939" t="s">
        <v>22</v>
      </c>
      <c r="G939" t="s">
        <v>28</v>
      </c>
    </row>
    <row r="940" spans="1:7" x14ac:dyDescent="0.3">
      <c r="A940">
        <v>45506</v>
      </c>
      <c r="B940" t="s">
        <v>38</v>
      </c>
      <c r="C940" t="s">
        <v>26</v>
      </c>
      <c r="D940" t="s">
        <v>21</v>
      </c>
      <c r="E940">
        <v>1000</v>
      </c>
      <c r="F940" t="s">
        <v>34</v>
      </c>
      <c r="G940" t="s">
        <v>39</v>
      </c>
    </row>
    <row r="941" spans="1:7" x14ac:dyDescent="0.3">
      <c r="A941">
        <v>45509</v>
      </c>
      <c r="B941" t="s">
        <v>30</v>
      </c>
      <c r="C941" t="s">
        <v>26</v>
      </c>
      <c r="D941" t="s">
        <v>31</v>
      </c>
      <c r="E941">
        <v>500</v>
      </c>
      <c r="F941" t="s">
        <v>32</v>
      </c>
      <c r="G941" t="s">
        <v>23</v>
      </c>
    </row>
    <row r="942" spans="1:7" x14ac:dyDescent="0.3">
      <c r="A942">
        <v>45514</v>
      </c>
      <c r="B942" t="s">
        <v>43</v>
      </c>
      <c r="C942" t="s">
        <v>20</v>
      </c>
      <c r="D942" t="s">
        <v>31</v>
      </c>
      <c r="E942">
        <v>1000</v>
      </c>
      <c r="F942" t="s">
        <v>41</v>
      </c>
      <c r="G942" t="s">
        <v>47</v>
      </c>
    </row>
    <row r="943" spans="1:7" x14ac:dyDescent="0.3">
      <c r="A943">
        <v>45504</v>
      </c>
      <c r="B943" t="s">
        <v>29</v>
      </c>
      <c r="C943" t="s">
        <v>26</v>
      </c>
      <c r="D943" t="s">
        <v>27</v>
      </c>
      <c r="E943">
        <v>1000</v>
      </c>
      <c r="F943" t="s">
        <v>22</v>
      </c>
      <c r="G943" t="s">
        <v>28</v>
      </c>
    </row>
    <row r="944" spans="1:7" x14ac:dyDescent="0.3">
      <c r="A944">
        <v>45510</v>
      </c>
      <c r="B944" t="s">
        <v>48</v>
      </c>
      <c r="C944" t="s">
        <v>20</v>
      </c>
      <c r="D944" t="s">
        <v>27</v>
      </c>
      <c r="E944">
        <v>1000</v>
      </c>
      <c r="F944" t="s">
        <v>22</v>
      </c>
      <c r="G944" t="s">
        <v>28</v>
      </c>
    </row>
    <row r="945" spans="1:7" x14ac:dyDescent="0.3">
      <c r="A945">
        <v>45509</v>
      </c>
      <c r="B945" t="s">
        <v>30</v>
      </c>
      <c r="C945" t="s">
        <v>26</v>
      </c>
      <c r="D945" t="s">
        <v>31</v>
      </c>
      <c r="E945">
        <v>500</v>
      </c>
      <c r="F945" t="s">
        <v>32</v>
      </c>
      <c r="G945" t="s">
        <v>23</v>
      </c>
    </row>
    <row r="946" spans="1:7" x14ac:dyDescent="0.3">
      <c r="A946">
        <v>45506</v>
      </c>
      <c r="B946" t="s">
        <v>38</v>
      </c>
      <c r="C946" t="s">
        <v>26</v>
      </c>
      <c r="D946" t="s">
        <v>21</v>
      </c>
      <c r="E946">
        <v>1000</v>
      </c>
      <c r="F946" t="s">
        <v>34</v>
      </c>
      <c r="G946" t="s">
        <v>39</v>
      </c>
    </row>
    <row r="947" spans="1:7" x14ac:dyDescent="0.3">
      <c r="A947">
        <v>45500</v>
      </c>
      <c r="B947" t="s">
        <v>19</v>
      </c>
      <c r="C947" t="s">
        <v>20</v>
      </c>
      <c r="D947" t="s">
        <v>21</v>
      </c>
      <c r="E947">
        <v>500</v>
      </c>
      <c r="F947" t="s">
        <v>32</v>
      </c>
      <c r="G947" t="s">
        <v>47</v>
      </c>
    </row>
    <row r="948" spans="1:7" x14ac:dyDescent="0.3">
      <c r="A948">
        <v>45507</v>
      </c>
      <c r="B948" t="s">
        <v>33</v>
      </c>
      <c r="C948" t="s">
        <v>26</v>
      </c>
      <c r="D948" t="s">
        <v>21</v>
      </c>
      <c r="E948">
        <v>1000</v>
      </c>
      <c r="F948" t="s">
        <v>34</v>
      </c>
      <c r="G948" t="s">
        <v>35</v>
      </c>
    </row>
    <row r="949" spans="1:7" x14ac:dyDescent="0.3">
      <c r="A949">
        <v>45503</v>
      </c>
      <c r="B949" t="s">
        <v>43</v>
      </c>
      <c r="C949" t="s">
        <v>20</v>
      </c>
      <c r="D949" t="s">
        <v>31</v>
      </c>
      <c r="E949">
        <v>500</v>
      </c>
      <c r="F949" t="s">
        <v>44</v>
      </c>
      <c r="G949" t="s">
        <v>45</v>
      </c>
    </row>
    <row r="950" spans="1:7" x14ac:dyDescent="0.3">
      <c r="A950">
        <v>45508</v>
      </c>
      <c r="B950" t="s">
        <v>42</v>
      </c>
      <c r="C950" t="s">
        <v>20</v>
      </c>
      <c r="D950" t="s">
        <v>31</v>
      </c>
      <c r="E950">
        <v>1000</v>
      </c>
      <c r="F950" t="s">
        <v>22</v>
      </c>
      <c r="G950" t="s">
        <v>28</v>
      </c>
    </row>
    <row r="951" spans="1:7" x14ac:dyDescent="0.3">
      <c r="A951">
        <v>45511</v>
      </c>
      <c r="B951" t="s">
        <v>46</v>
      </c>
      <c r="C951" t="s">
        <v>20</v>
      </c>
      <c r="D951" t="s">
        <v>27</v>
      </c>
      <c r="E951">
        <v>1000</v>
      </c>
      <c r="F951" t="s">
        <v>22</v>
      </c>
      <c r="G951" t="s">
        <v>28</v>
      </c>
    </row>
    <row r="952" spans="1:7" x14ac:dyDescent="0.3">
      <c r="A952">
        <v>45505</v>
      </c>
      <c r="B952" t="s">
        <v>49</v>
      </c>
      <c r="C952" t="s">
        <v>20</v>
      </c>
      <c r="D952" t="s">
        <v>31</v>
      </c>
      <c r="E952">
        <v>800</v>
      </c>
      <c r="F952" t="s">
        <v>41</v>
      </c>
      <c r="G952" t="s">
        <v>39</v>
      </c>
    </row>
    <row r="953" spans="1:7" x14ac:dyDescent="0.3">
      <c r="A953">
        <v>45503</v>
      </c>
      <c r="B953" t="s">
        <v>43</v>
      </c>
      <c r="C953" t="s">
        <v>20</v>
      </c>
      <c r="D953" t="s">
        <v>31</v>
      </c>
      <c r="E953">
        <v>500</v>
      </c>
      <c r="F953" t="s">
        <v>44</v>
      </c>
      <c r="G953" t="s">
        <v>45</v>
      </c>
    </row>
    <row r="954" spans="1:7" x14ac:dyDescent="0.3">
      <c r="A954">
        <v>45513</v>
      </c>
      <c r="B954" t="s">
        <v>19</v>
      </c>
      <c r="C954" t="s">
        <v>20</v>
      </c>
      <c r="D954" t="s">
        <v>21</v>
      </c>
      <c r="E954">
        <v>1000</v>
      </c>
      <c r="F954" t="s">
        <v>22</v>
      </c>
      <c r="G954" t="s">
        <v>23</v>
      </c>
    </row>
    <row r="955" spans="1:7" x14ac:dyDescent="0.3">
      <c r="A955">
        <v>45501</v>
      </c>
      <c r="B955" t="s">
        <v>25</v>
      </c>
      <c r="C955" t="s">
        <v>26</v>
      </c>
      <c r="D955" t="s">
        <v>27</v>
      </c>
      <c r="E955">
        <v>1000</v>
      </c>
      <c r="F955" t="s">
        <v>22</v>
      </c>
      <c r="G955" t="s">
        <v>28</v>
      </c>
    </row>
    <row r="956" spans="1:7" x14ac:dyDescent="0.3">
      <c r="A956">
        <v>45508</v>
      </c>
      <c r="B956" t="s">
        <v>42</v>
      </c>
      <c r="C956" t="s">
        <v>20</v>
      </c>
      <c r="D956" t="s">
        <v>31</v>
      </c>
      <c r="E956">
        <v>1000</v>
      </c>
      <c r="F956" t="s">
        <v>22</v>
      </c>
      <c r="G956" t="s">
        <v>28</v>
      </c>
    </row>
    <row r="957" spans="1:7" x14ac:dyDescent="0.3">
      <c r="A957">
        <v>45513</v>
      </c>
      <c r="B957" t="s">
        <v>19</v>
      </c>
      <c r="C957" t="s">
        <v>20</v>
      </c>
      <c r="D957" t="s">
        <v>21</v>
      </c>
      <c r="E957">
        <v>1000</v>
      </c>
      <c r="F957" t="s">
        <v>22</v>
      </c>
      <c r="G957" t="s">
        <v>23</v>
      </c>
    </row>
    <row r="958" spans="1:7" x14ac:dyDescent="0.3">
      <c r="A958">
        <v>45508</v>
      </c>
      <c r="B958" t="s">
        <v>42</v>
      </c>
      <c r="C958" t="s">
        <v>20</v>
      </c>
      <c r="D958" t="s">
        <v>31</v>
      </c>
      <c r="E958">
        <v>1000</v>
      </c>
      <c r="F958" t="s">
        <v>22</v>
      </c>
      <c r="G958" t="s">
        <v>28</v>
      </c>
    </row>
    <row r="959" spans="1:7" x14ac:dyDescent="0.3">
      <c r="A959">
        <v>45513</v>
      </c>
      <c r="B959" t="s">
        <v>19</v>
      </c>
      <c r="C959" t="s">
        <v>20</v>
      </c>
      <c r="D959" t="s">
        <v>21</v>
      </c>
      <c r="E959">
        <v>1000</v>
      </c>
      <c r="F959" t="s">
        <v>22</v>
      </c>
      <c r="G959" t="s">
        <v>23</v>
      </c>
    </row>
    <row r="960" spans="1:7" x14ac:dyDescent="0.3">
      <c r="A960">
        <v>45502</v>
      </c>
      <c r="B960" t="s">
        <v>40</v>
      </c>
      <c r="C960" t="s">
        <v>20</v>
      </c>
      <c r="D960" t="s">
        <v>31</v>
      </c>
      <c r="E960">
        <v>800</v>
      </c>
      <c r="F960" t="s">
        <v>41</v>
      </c>
      <c r="G960" t="s">
        <v>23</v>
      </c>
    </row>
    <row r="961" spans="1:7" x14ac:dyDescent="0.3">
      <c r="A961">
        <v>45510</v>
      </c>
      <c r="B961" t="s">
        <v>48</v>
      </c>
      <c r="C961" t="s">
        <v>20</v>
      </c>
      <c r="D961" t="s">
        <v>27</v>
      </c>
      <c r="E961">
        <v>1000</v>
      </c>
      <c r="F961" t="s">
        <v>22</v>
      </c>
      <c r="G961" t="s">
        <v>28</v>
      </c>
    </row>
    <row r="962" spans="1:7" x14ac:dyDescent="0.3">
      <c r="A962">
        <v>45506</v>
      </c>
      <c r="B962" t="s">
        <v>38</v>
      </c>
      <c r="C962" t="s">
        <v>26</v>
      </c>
      <c r="D962" t="s">
        <v>21</v>
      </c>
      <c r="E962">
        <v>1000</v>
      </c>
      <c r="F962" t="s">
        <v>34</v>
      </c>
      <c r="G962" t="s">
        <v>39</v>
      </c>
    </row>
    <row r="963" spans="1:7" x14ac:dyDescent="0.3">
      <c r="A963">
        <v>45500</v>
      </c>
      <c r="B963" t="s">
        <v>19</v>
      </c>
      <c r="C963" t="s">
        <v>20</v>
      </c>
      <c r="D963" t="s">
        <v>21</v>
      </c>
      <c r="E963">
        <v>500</v>
      </c>
      <c r="F963" t="s">
        <v>32</v>
      </c>
      <c r="G963" t="s">
        <v>47</v>
      </c>
    </row>
    <row r="964" spans="1:7" x14ac:dyDescent="0.3">
      <c r="A964">
        <v>45511</v>
      </c>
      <c r="B964" t="s">
        <v>46</v>
      </c>
      <c r="C964" t="s">
        <v>20</v>
      </c>
      <c r="D964" t="s">
        <v>27</v>
      </c>
      <c r="E964">
        <v>1000</v>
      </c>
      <c r="F964" t="s">
        <v>22</v>
      </c>
      <c r="G964" t="s">
        <v>28</v>
      </c>
    </row>
    <row r="965" spans="1:7" x14ac:dyDescent="0.3">
      <c r="A965">
        <v>45501</v>
      </c>
      <c r="B965" t="s">
        <v>25</v>
      </c>
      <c r="C965" t="s">
        <v>26</v>
      </c>
      <c r="D965" t="s">
        <v>27</v>
      </c>
      <c r="E965">
        <v>1000</v>
      </c>
      <c r="F965" t="s">
        <v>22</v>
      </c>
      <c r="G965" t="s">
        <v>28</v>
      </c>
    </row>
    <row r="966" spans="1:7" x14ac:dyDescent="0.3">
      <c r="A966">
        <v>45509</v>
      </c>
      <c r="B966" t="s">
        <v>30</v>
      </c>
      <c r="C966" t="s">
        <v>26</v>
      </c>
      <c r="D966" t="s">
        <v>31</v>
      </c>
      <c r="E966">
        <v>500</v>
      </c>
      <c r="F966" t="s">
        <v>32</v>
      </c>
      <c r="G966" t="s">
        <v>23</v>
      </c>
    </row>
    <row r="967" spans="1:7" x14ac:dyDescent="0.3">
      <c r="A967">
        <v>45514</v>
      </c>
      <c r="B967" t="s">
        <v>43</v>
      </c>
      <c r="C967" t="s">
        <v>20</v>
      </c>
      <c r="D967" t="s">
        <v>31</v>
      </c>
      <c r="E967">
        <v>1000</v>
      </c>
      <c r="F967" t="s">
        <v>41</v>
      </c>
      <c r="G967" t="s">
        <v>47</v>
      </c>
    </row>
    <row r="968" spans="1:7" x14ac:dyDescent="0.3">
      <c r="A968">
        <v>45508</v>
      </c>
      <c r="B968" t="s">
        <v>42</v>
      </c>
      <c r="C968" t="s">
        <v>20</v>
      </c>
      <c r="D968" t="s">
        <v>31</v>
      </c>
      <c r="E968">
        <v>1000</v>
      </c>
      <c r="F968" t="s">
        <v>22</v>
      </c>
      <c r="G968" t="s">
        <v>28</v>
      </c>
    </row>
    <row r="969" spans="1:7" x14ac:dyDescent="0.3">
      <c r="A969">
        <v>45514</v>
      </c>
      <c r="B969" t="s">
        <v>43</v>
      </c>
      <c r="C969" t="s">
        <v>20</v>
      </c>
      <c r="D969" t="s">
        <v>31</v>
      </c>
      <c r="E969">
        <v>1000</v>
      </c>
      <c r="F969" t="s">
        <v>41</v>
      </c>
      <c r="G969" t="s">
        <v>47</v>
      </c>
    </row>
    <row r="970" spans="1:7" x14ac:dyDescent="0.3">
      <c r="A970">
        <v>45514</v>
      </c>
      <c r="B970" t="s">
        <v>43</v>
      </c>
      <c r="C970" t="s">
        <v>20</v>
      </c>
      <c r="D970" t="s">
        <v>31</v>
      </c>
      <c r="E970">
        <v>1000</v>
      </c>
      <c r="F970" t="s">
        <v>41</v>
      </c>
      <c r="G970" t="s">
        <v>47</v>
      </c>
    </row>
    <row r="971" spans="1:7" x14ac:dyDescent="0.3">
      <c r="A971">
        <v>45503</v>
      </c>
      <c r="B971" t="s">
        <v>43</v>
      </c>
      <c r="C971" t="s">
        <v>20</v>
      </c>
      <c r="D971" t="s">
        <v>31</v>
      </c>
      <c r="E971">
        <v>500</v>
      </c>
      <c r="F971" t="s">
        <v>44</v>
      </c>
      <c r="G971" t="s">
        <v>45</v>
      </c>
    </row>
    <row r="972" spans="1:7" x14ac:dyDescent="0.3">
      <c r="A972">
        <v>45507</v>
      </c>
      <c r="B972" t="s">
        <v>33</v>
      </c>
      <c r="C972" t="s">
        <v>26</v>
      </c>
      <c r="D972" t="s">
        <v>21</v>
      </c>
      <c r="E972">
        <v>1000</v>
      </c>
      <c r="F972" t="s">
        <v>34</v>
      </c>
      <c r="G972" t="s">
        <v>35</v>
      </c>
    </row>
    <row r="973" spans="1:7" x14ac:dyDescent="0.3">
      <c r="A973">
        <v>45502</v>
      </c>
      <c r="B973" t="s">
        <v>40</v>
      </c>
      <c r="C973" t="s">
        <v>20</v>
      </c>
      <c r="D973" t="s">
        <v>31</v>
      </c>
      <c r="E973">
        <v>800</v>
      </c>
      <c r="F973" t="s">
        <v>41</v>
      </c>
      <c r="G973" t="s">
        <v>23</v>
      </c>
    </row>
    <row r="974" spans="1:7" x14ac:dyDescent="0.3">
      <c r="A974">
        <v>45511</v>
      </c>
      <c r="B974" t="s">
        <v>46</v>
      </c>
      <c r="C974" t="s">
        <v>20</v>
      </c>
      <c r="D974" t="s">
        <v>27</v>
      </c>
      <c r="E974">
        <v>1000</v>
      </c>
      <c r="F974" t="s">
        <v>22</v>
      </c>
      <c r="G974" t="s">
        <v>28</v>
      </c>
    </row>
    <row r="975" spans="1:7" x14ac:dyDescent="0.3">
      <c r="A975">
        <v>45512</v>
      </c>
      <c r="B975" t="s">
        <v>36</v>
      </c>
      <c r="C975" t="s">
        <v>26</v>
      </c>
      <c r="D975" t="s">
        <v>21</v>
      </c>
      <c r="E975">
        <v>1000</v>
      </c>
      <c r="F975" t="s">
        <v>37</v>
      </c>
      <c r="G975" t="s">
        <v>28</v>
      </c>
    </row>
    <row r="976" spans="1:7" x14ac:dyDescent="0.3">
      <c r="A976">
        <v>45504</v>
      </c>
      <c r="B976" t="s">
        <v>29</v>
      </c>
      <c r="C976" t="s">
        <v>26</v>
      </c>
      <c r="D976" t="s">
        <v>27</v>
      </c>
      <c r="E976">
        <v>1000</v>
      </c>
      <c r="F976" t="s">
        <v>22</v>
      </c>
      <c r="G976" t="s">
        <v>28</v>
      </c>
    </row>
    <row r="977" spans="1:7" x14ac:dyDescent="0.3">
      <c r="A977">
        <v>45502</v>
      </c>
      <c r="B977" t="s">
        <v>40</v>
      </c>
      <c r="C977" t="s">
        <v>20</v>
      </c>
      <c r="D977" t="s">
        <v>31</v>
      </c>
      <c r="E977">
        <v>800</v>
      </c>
      <c r="F977" t="s">
        <v>41</v>
      </c>
      <c r="G977" t="s">
        <v>23</v>
      </c>
    </row>
    <row r="978" spans="1:7" x14ac:dyDescent="0.3">
      <c r="A978">
        <v>45500</v>
      </c>
      <c r="B978" t="s">
        <v>19</v>
      </c>
      <c r="C978" t="s">
        <v>20</v>
      </c>
      <c r="D978" t="s">
        <v>21</v>
      </c>
      <c r="E978">
        <v>500</v>
      </c>
      <c r="F978" t="s">
        <v>32</v>
      </c>
      <c r="G978" t="s">
        <v>47</v>
      </c>
    </row>
    <row r="979" spans="1:7" x14ac:dyDescent="0.3">
      <c r="A979">
        <v>45507</v>
      </c>
      <c r="B979" t="s">
        <v>33</v>
      </c>
      <c r="C979" t="s">
        <v>26</v>
      </c>
      <c r="D979" t="s">
        <v>21</v>
      </c>
      <c r="E979">
        <v>1000</v>
      </c>
      <c r="F979" t="s">
        <v>34</v>
      </c>
      <c r="G979" t="s">
        <v>35</v>
      </c>
    </row>
    <row r="980" spans="1:7" x14ac:dyDescent="0.3">
      <c r="A980">
        <v>45500</v>
      </c>
      <c r="B980" t="s">
        <v>19</v>
      </c>
      <c r="C980" t="s">
        <v>20</v>
      </c>
      <c r="D980" t="s">
        <v>21</v>
      </c>
      <c r="E980">
        <v>500</v>
      </c>
      <c r="F980" t="s">
        <v>32</v>
      </c>
      <c r="G980" t="s">
        <v>47</v>
      </c>
    </row>
    <row r="981" spans="1:7" x14ac:dyDescent="0.3">
      <c r="A981">
        <v>45505</v>
      </c>
      <c r="B981" t="s">
        <v>49</v>
      </c>
      <c r="C981" t="s">
        <v>20</v>
      </c>
      <c r="D981" t="s">
        <v>31</v>
      </c>
      <c r="E981">
        <v>800</v>
      </c>
      <c r="F981" t="s">
        <v>41</v>
      </c>
      <c r="G981" t="s">
        <v>39</v>
      </c>
    </row>
    <row r="982" spans="1:7" x14ac:dyDescent="0.3">
      <c r="A982">
        <v>45501</v>
      </c>
      <c r="B982" t="s">
        <v>25</v>
      </c>
      <c r="C982" t="s">
        <v>26</v>
      </c>
      <c r="D982" t="s">
        <v>27</v>
      </c>
      <c r="E982">
        <v>1000</v>
      </c>
      <c r="F982" t="s">
        <v>22</v>
      </c>
      <c r="G982" t="s">
        <v>28</v>
      </c>
    </row>
    <row r="983" spans="1:7" x14ac:dyDescent="0.3">
      <c r="A983">
        <v>45501</v>
      </c>
      <c r="B983" t="s">
        <v>25</v>
      </c>
      <c r="C983" t="s">
        <v>26</v>
      </c>
      <c r="D983" t="s">
        <v>27</v>
      </c>
      <c r="E983">
        <v>1000</v>
      </c>
      <c r="F983" t="s">
        <v>22</v>
      </c>
      <c r="G983" t="s">
        <v>28</v>
      </c>
    </row>
    <row r="984" spans="1:7" x14ac:dyDescent="0.3">
      <c r="A984">
        <v>45506</v>
      </c>
      <c r="B984" t="s">
        <v>38</v>
      </c>
      <c r="C984" t="s">
        <v>26</v>
      </c>
      <c r="D984" t="s">
        <v>21</v>
      </c>
      <c r="E984">
        <v>1000</v>
      </c>
      <c r="F984" t="s">
        <v>34</v>
      </c>
      <c r="G984" t="s">
        <v>39</v>
      </c>
    </row>
    <row r="985" spans="1:7" x14ac:dyDescent="0.3">
      <c r="A985">
        <v>45501</v>
      </c>
      <c r="B985" t="s">
        <v>25</v>
      </c>
      <c r="C985" t="s">
        <v>26</v>
      </c>
      <c r="D985" t="s">
        <v>27</v>
      </c>
      <c r="E985">
        <v>1000</v>
      </c>
      <c r="F985" t="s">
        <v>22</v>
      </c>
      <c r="G985" t="s">
        <v>28</v>
      </c>
    </row>
    <row r="986" spans="1:7" x14ac:dyDescent="0.3">
      <c r="A986">
        <v>45514</v>
      </c>
      <c r="B986" t="s">
        <v>43</v>
      </c>
      <c r="C986" t="s">
        <v>20</v>
      </c>
      <c r="D986" t="s">
        <v>31</v>
      </c>
      <c r="E986">
        <v>1000</v>
      </c>
      <c r="F986" t="s">
        <v>41</v>
      </c>
      <c r="G986" t="s">
        <v>47</v>
      </c>
    </row>
    <row r="987" spans="1:7" x14ac:dyDescent="0.3">
      <c r="A987">
        <v>45501</v>
      </c>
      <c r="B987" t="s">
        <v>25</v>
      </c>
      <c r="C987" t="s">
        <v>26</v>
      </c>
      <c r="D987" t="s">
        <v>27</v>
      </c>
      <c r="E987">
        <v>1000</v>
      </c>
      <c r="F987" t="s">
        <v>22</v>
      </c>
      <c r="G987" t="s">
        <v>28</v>
      </c>
    </row>
    <row r="988" spans="1:7" x14ac:dyDescent="0.3">
      <c r="A988">
        <v>45512</v>
      </c>
      <c r="B988" t="s">
        <v>36</v>
      </c>
      <c r="C988" t="s">
        <v>26</v>
      </c>
      <c r="D988" t="s">
        <v>21</v>
      </c>
      <c r="E988">
        <v>1000</v>
      </c>
      <c r="F988" t="s">
        <v>37</v>
      </c>
      <c r="G988" t="s">
        <v>28</v>
      </c>
    </row>
    <row r="989" spans="1:7" x14ac:dyDescent="0.3">
      <c r="A989">
        <v>45502</v>
      </c>
      <c r="B989" t="s">
        <v>40</v>
      </c>
      <c r="C989" t="s">
        <v>20</v>
      </c>
      <c r="D989" t="s">
        <v>31</v>
      </c>
      <c r="E989">
        <v>800</v>
      </c>
      <c r="F989" t="s">
        <v>41</v>
      </c>
      <c r="G989" t="s">
        <v>23</v>
      </c>
    </row>
    <row r="990" spans="1:7" x14ac:dyDescent="0.3">
      <c r="A990">
        <v>45502</v>
      </c>
      <c r="B990" t="s">
        <v>40</v>
      </c>
      <c r="C990" t="s">
        <v>20</v>
      </c>
      <c r="D990" t="s">
        <v>31</v>
      </c>
      <c r="E990">
        <v>800</v>
      </c>
      <c r="F990" t="s">
        <v>41</v>
      </c>
      <c r="G990" t="s">
        <v>23</v>
      </c>
    </row>
    <row r="991" spans="1:7" x14ac:dyDescent="0.3">
      <c r="A991">
        <v>45505</v>
      </c>
      <c r="B991" t="s">
        <v>49</v>
      </c>
      <c r="C991" t="s">
        <v>20</v>
      </c>
      <c r="D991" t="s">
        <v>31</v>
      </c>
      <c r="E991">
        <v>800</v>
      </c>
      <c r="F991" t="s">
        <v>41</v>
      </c>
      <c r="G991" t="s">
        <v>39</v>
      </c>
    </row>
    <row r="992" spans="1:7" x14ac:dyDescent="0.3">
      <c r="A992">
        <v>45512</v>
      </c>
      <c r="B992" t="s">
        <v>36</v>
      </c>
      <c r="C992" t="s">
        <v>26</v>
      </c>
      <c r="D992" t="s">
        <v>21</v>
      </c>
      <c r="E992">
        <v>1000</v>
      </c>
      <c r="F992" t="s">
        <v>37</v>
      </c>
      <c r="G992" t="s">
        <v>28</v>
      </c>
    </row>
    <row r="993" spans="1:7" x14ac:dyDescent="0.3">
      <c r="A993">
        <v>45512</v>
      </c>
      <c r="B993" t="s">
        <v>36</v>
      </c>
      <c r="C993" t="s">
        <v>26</v>
      </c>
      <c r="D993" t="s">
        <v>21</v>
      </c>
      <c r="E993">
        <v>1000</v>
      </c>
      <c r="F993" t="s">
        <v>37</v>
      </c>
      <c r="G993" t="s">
        <v>28</v>
      </c>
    </row>
    <row r="994" spans="1:7" x14ac:dyDescent="0.3">
      <c r="A994">
        <v>45500</v>
      </c>
      <c r="B994" t="s">
        <v>19</v>
      </c>
      <c r="C994" t="s">
        <v>20</v>
      </c>
      <c r="D994" t="s">
        <v>21</v>
      </c>
      <c r="E994">
        <v>500</v>
      </c>
      <c r="F994" t="s">
        <v>32</v>
      </c>
      <c r="G994" t="s">
        <v>47</v>
      </c>
    </row>
    <row r="995" spans="1:7" x14ac:dyDescent="0.3">
      <c r="A995">
        <v>45508</v>
      </c>
      <c r="B995" t="s">
        <v>42</v>
      </c>
      <c r="C995" t="s">
        <v>20</v>
      </c>
      <c r="D995" t="s">
        <v>31</v>
      </c>
      <c r="E995">
        <v>1000</v>
      </c>
      <c r="F995" t="s">
        <v>22</v>
      </c>
      <c r="G995" t="s">
        <v>28</v>
      </c>
    </row>
    <row r="996" spans="1:7" x14ac:dyDescent="0.3">
      <c r="A996">
        <v>45505</v>
      </c>
      <c r="B996" t="s">
        <v>49</v>
      </c>
      <c r="C996" t="s">
        <v>20</v>
      </c>
      <c r="D996" t="s">
        <v>31</v>
      </c>
      <c r="E996">
        <v>800</v>
      </c>
      <c r="F996" t="s">
        <v>41</v>
      </c>
      <c r="G996" t="s">
        <v>39</v>
      </c>
    </row>
    <row r="997" spans="1:7" x14ac:dyDescent="0.3">
      <c r="A997">
        <v>45507</v>
      </c>
      <c r="B997" t="s">
        <v>33</v>
      </c>
      <c r="C997" t="s">
        <v>26</v>
      </c>
      <c r="D997" t="s">
        <v>21</v>
      </c>
      <c r="E997">
        <v>1000</v>
      </c>
      <c r="F997" t="s">
        <v>34</v>
      </c>
      <c r="G997" t="s">
        <v>35</v>
      </c>
    </row>
    <row r="998" spans="1:7" x14ac:dyDescent="0.3">
      <c r="A998">
        <v>45503</v>
      </c>
      <c r="B998" t="s">
        <v>43</v>
      </c>
      <c r="C998" t="s">
        <v>20</v>
      </c>
      <c r="D998" t="s">
        <v>31</v>
      </c>
      <c r="E998">
        <v>500</v>
      </c>
      <c r="F998" t="s">
        <v>44</v>
      </c>
      <c r="G998" t="s">
        <v>45</v>
      </c>
    </row>
    <row r="999" spans="1:7" x14ac:dyDescent="0.3">
      <c r="A999">
        <v>45504</v>
      </c>
      <c r="B999" t="s">
        <v>29</v>
      </c>
      <c r="C999" t="s">
        <v>26</v>
      </c>
      <c r="D999" t="s">
        <v>27</v>
      </c>
      <c r="E999">
        <v>1000</v>
      </c>
      <c r="F999" t="s">
        <v>22</v>
      </c>
      <c r="G999" t="s">
        <v>28</v>
      </c>
    </row>
    <row r="1000" spans="1:7" x14ac:dyDescent="0.3">
      <c r="A1000">
        <v>45508</v>
      </c>
      <c r="B1000" t="s">
        <v>42</v>
      </c>
      <c r="C1000" t="s">
        <v>20</v>
      </c>
      <c r="D1000" t="s">
        <v>31</v>
      </c>
      <c r="E1000">
        <v>1000</v>
      </c>
      <c r="F1000" t="s">
        <v>22</v>
      </c>
      <c r="G1000" t="s">
        <v>28</v>
      </c>
    </row>
    <row r="1001" spans="1:7" x14ac:dyDescent="0.3">
      <c r="A1001">
        <v>45510</v>
      </c>
      <c r="B1001" t="s">
        <v>48</v>
      </c>
      <c r="C1001" t="s">
        <v>20</v>
      </c>
      <c r="D1001" t="s">
        <v>27</v>
      </c>
      <c r="E1001">
        <v>1000</v>
      </c>
      <c r="F1001" t="s">
        <v>22</v>
      </c>
      <c r="G1001" t="s">
        <v>28</v>
      </c>
    </row>
    <row r="1002" spans="1:7" x14ac:dyDescent="0.3">
      <c r="A1002">
        <v>45507</v>
      </c>
      <c r="B1002" t="s">
        <v>33</v>
      </c>
      <c r="C1002" t="s">
        <v>26</v>
      </c>
      <c r="D1002" t="s">
        <v>21</v>
      </c>
      <c r="E1002">
        <v>1000</v>
      </c>
      <c r="F1002" t="s">
        <v>34</v>
      </c>
      <c r="G1002" t="s">
        <v>35</v>
      </c>
    </row>
    <row r="1003" spans="1:7" x14ac:dyDescent="0.3">
      <c r="A1003">
        <v>45505</v>
      </c>
      <c r="B1003" t="s">
        <v>49</v>
      </c>
      <c r="C1003" t="s">
        <v>20</v>
      </c>
      <c r="D1003" t="s">
        <v>31</v>
      </c>
      <c r="E1003">
        <v>800</v>
      </c>
      <c r="F1003" t="s">
        <v>41</v>
      </c>
      <c r="G1003" t="s">
        <v>39</v>
      </c>
    </row>
    <row r="1004" spans="1:7" x14ac:dyDescent="0.3">
      <c r="A1004">
        <v>45509</v>
      </c>
      <c r="B1004" t="s">
        <v>30</v>
      </c>
      <c r="C1004" t="s">
        <v>26</v>
      </c>
      <c r="D1004" t="s">
        <v>31</v>
      </c>
      <c r="E1004">
        <v>500</v>
      </c>
      <c r="F1004" t="s">
        <v>32</v>
      </c>
      <c r="G1004" t="s">
        <v>23</v>
      </c>
    </row>
    <row r="1005" spans="1:7" x14ac:dyDescent="0.3">
      <c r="A1005">
        <v>45512</v>
      </c>
      <c r="B1005" t="s">
        <v>36</v>
      </c>
      <c r="C1005" t="s">
        <v>26</v>
      </c>
      <c r="D1005" t="s">
        <v>21</v>
      </c>
      <c r="E1005">
        <v>1000</v>
      </c>
      <c r="F1005" t="s">
        <v>37</v>
      </c>
      <c r="G1005" t="s">
        <v>28</v>
      </c>
    </row>
    <row r="1006" spans="1:7" x14ac:dyDescent="0.3">
      <c r="A1006">
        <v>45514</v>
      </c>
      <c r="B1006" t="s">
        <v>43</v>
      </c>
      <c r="C1006" t="s">
        <v>20</v>
      </c>
      <c r="D1006" t="s">
        <v>31</v>
      </c>
      <c r="E1006">
        <v>1000</v>
      </c>
      <c r="F1006" t="s">
        <v>41</v>
      </c>
      <c r="G1006" t="s">
        <v>47</v>
      </c>
    </row>
    <row r="1007" spans="1:7" x14ac:dyDescent="0.3">
      <c r="A1007">
        <v>45509</v>
      </c>
      <c r="B1007" t="s">
        <v>30</v>
      </c>
      <c r="C1007" t="s">
        <v>26</v>
      </c>
      <c r="D1007" t="s">
        <v>31</v>
      </c>
      <c r="E1007">
        <v>500</v>
      </c>
      <c r="F1007" t="s">
        <v>32</v>
      </c>
      <c r="G1007" t="s">
        <v>23</v>
      </c>
    </row>
    <row r="1008" spans="1:7" x14ac:dyDescent="0.3">
      <c r="A1008">
        <v>45508</v>
      </c>
      <c r="B1008" t="s">
        <v>42</v>
      </c>
      <c r="C1008" t="s">
        <v>20</v>
      </c>
      <c r="D1008" t="s">
        <v>31</v>
      </c>
      <c r="E1008">
        <v>1000</v>
      </c>
      <c r="F1008" t="s">
        <v>22</v>
      </c>
      <c r="G1008" t="s">
        <v>28</v>
      </c>
    </row>
    <row r="1009" spans="1:7" x14ac:dyDescent="0.3">
      <c r="A1009">
        <v>45512</v>
      </c>
      <c r="B1009" t="s">
        <v>36</v>
      </c>
      <c r="C1009" t="s">
        <v>26</v>
      </c>
      <c r="D1009" t="s">
        <v>21</v>
      </c>
      <c r="E1009">
        <v>1000</v>
      </c>
      <c r="F1009" t="s">
        <v>37</v>
      </c>
      <c r="G1009" t="s">
        <v>28</v>
      </c>
    </row>
    <row r="1010" spans="1:7" x14ac:dyDescent="0.3">
      <c r="A1010">
        <v>45502</v>
      </c>
      <c r="B1010" t="s">
        <v>40</v>
      </c>
      <c r="C1010" t="s">
        <v>20</v>
      </c>
      <c r="D1010" t="s">
        <v>31</v>
      </c>
      <c r="E1010">
        <v>800</v>
      </c>
      <c r="F1010" t="s">
        <v>41</v>
      </c>
      <c r="G1010" t="s">
        <v>23</v>
      </c>
    </row>
    <row r="1011" spans="1:7" x14ac:dyDescent="0.3">
      <c r="A1011">
        <v>45510</v>
      </c>
      <c r="B1011" t="s">
        <v>48</v>
      </c>
      <c r="C1011" t="s">
        <v>20</v>
      </c>
      <c r="D1011" t="s">
        <v>27</v>
      </c>
      <c r="E1011">
        <v>1000</v>
      </c>
      <c r="F1011" t="s">
        <v>22</v>
      </c>
      <c r="G1011" t="s">
        <v>28</v>
      </c>
    </row>
    <row r="1012" spans="1:7" x14ac:dyDescent="0.3">
      <c r="A1012">
        <v>45507</v>
      </c>
      <c r="B1012" t="s">
        <v>33</v>
      </c>
      <c r="C1012" t="s">
        <v>26</v>
      </c>
      <c r="D1012" t="s">
        <v>21</v>
      </c>
      <c r="E1012">
        <v>1000</v>
      </c>
      <c r="F1012" t="s">
        <v>34</v>
      </c>
      <c r="G1012" t="s">
        <v>35</v>
      </c>
    </row>
    <row r="1013" spans="1:7" x14ac:dyDescent="0.3">
      <c r="A1013">
        <v>45500</v>
      </c>
      <c r="B1013" t="s">
        <v>19</v>
      </c>
      <c r="C1013" t="s">
        <v>20</v>
      </c>
      <c r="D1013" t="s">
        <v>21</v>
      </c>
      <c r="E1013">
        <v>500</v>
      </c>
      <c r="F1013" t="s">
        <v>32</v>
      </c>
      <c r="G1013" t="s">
        <v>47</v>
      </c>
    </row>
    <row r="1014" spans="1:7" x14ac:dyDescent="0.3">
      <c r="A1014">
        <v>45508</v>
      </c>
      <c r="B1014" t="s">
        <v>42</v>
      </c>
      <c r="C1014" t="s">
        <v>20</v>
      </c>
      <c r="D1014" t="s">
        <v>31</v>
      </c>
      <c r="E1014">
        <v>1000</v>
      </c>
      <c r="F1014" t="s">
        <v>22</v>
      </c>
      <c r="G1014" t="s">
        <v>28</v>
      </c>
    </row>
    <row r="1015" spans="1:7" x14ac:dyDescent="0.3">
      <c r="A1015">
        <v>45511</v>
      </c>
      <c r="B1015" t="s">
        <v>46</v>
      </c>
      <c r="C1015" t="s">
        <v>20</v>
      </c>
      <c r="D1015" t="s">
        <v>27</v>
      </c>
      <c r="E1015">
        <v>1000</v>
      </c>
      <c r="F1015" t="s">
        <v>22</v>
      </c>
      <c r="G1015" t="s">
        <v>28</v>
      </c>
    </row>
    <row r="1016" spans="1:7" x14ac:dyDescent="0.3">
      <c r="A1016">
        <v>45510</v>
      </c>
      <c r="B1016" t="s">
        <v>48</v>
      </c>
      <c r="C1016" t="s">
        <v>20</v>
      </c>
      <c r="D1016" t="s">
        <v>27</v>
      </c>
      <c r="E1016">
        <v>1000</v>
      </c>
      <c r="F1016" t="s">
        <v>22</v>
      </c>
      <c r="G1016" t="s">
        <v>28</v>
      </c>
    </row>
    <row r="1017" spans="1:7" x14ac:dyDescent="0.3">
      <c r="A1017">
        <v>45509</v>
      </c>
      <c r="B1017" t="s">
        <v>30</v>
      </c>
      <c r="C1017" t="s">
        <v>26</v>
      </c>
      <c r="D1017" t="s">
        <v>31</v>
      </c>
      <c r="E1017">
        <v>500</v>
      </c>
      <c r="F1017" t="s">
        <v>32</v>
      </c>
      <c r="G1017" t="s">
        <v>23</v>
      </c>
    </row>
    <row r="1018" spans="1:7" x14ac:dyDescent="0.3">
      <c r="A1018">
        <v>45505</v>
      </c>
      <c r="B1018" t="s">
        <v>49</v>
      </c>
      <c r="C1018" t="s">
        <v>20</v>
      </c>
      <c r="D1018" t="s">
        <v>31</v>
      </c>
      <c r="E1018">
        <v>800</v>
      </c>
      <c r="F1018" t="s">
        <v>41</v>
      </c>
      <c r="G1018" t="s">
        <v>39</v>
      </c>
    </row>
    <row r="1019" spans="1:7" x14ac:dyDescent="0.3">
      <c r="A1019">
        <v>45507</v>
      </c>
      <c r="B1019" t="s">
        <v>33</v>
      </c>
      <c r="C1019" t="s">
        <v>26</v>
      </c>
      <c r="D1019" t="s">
        <v>21</v>
      </c>
      <c r="E1019">
        <v>1000</v>
      </c>
      <c r="F1019" t="s">
        <v>34</v>
      </c>
      <c r="G1019" t="s">
        <v>35</v>
      </c>
    </row>
    <row r="1020" spans="1:7" x14ac:dyDescent="0.3">
      <c r="A1020">
        <v>45507</v>
      </c>
      <c r="B1020" t="s">
        <v>33</v>
      </c>
      <c r="C1020" t="s">
        <v>26</v>
      </c>
      <c r="D1020" t="s">
        <v>21</v>
      </c>
      <c r="E1020">
        <v>1000</v>
      </c>
      <c r="F1020" t="s">
        <v>34</v>
      </c>
      <c r="G1020" t="s">
        <v>35</v>
      </c>
    </row>
    <row r="1021" spans="1:7" x14ac:dyDescent="0.3">
      <c r="A1021">
        <v>45513</v>
      </c>
      <c r="B1021" t="s">
        <v>19</v>
      </c>
      <c r="C1021" t="s">
        <v>20</v>
      </c>
      <c r="D1021" t="s">
        <v>21</v>
      </c>
      <c r="E1021">
        <v>1000</v>
      </c>
      <c r="F1021" t="s">
        <v>22</v>
      </c>
      <c r="G1021" t="s">
        <v>23</v>
      </c>
    </row>
    <row r="1022" spans="1:7" x14ac:dyDescent="0.3">
      <c r="A1022">
        <v>45513</v>
      </c>
      <c r="B1022" t="s">
        <v>19</v>
      </c>
      <c r="C1022" t="s">
        <v>20</v>
      </c>
      <c r="D1022" t="s">
        <v>21</v>
      </c>
      <c r="E1022">
        <v>1000</v>
      </c>
      <c r="F1022" t="s">
        <v>22</v>
      </c>
      <c r="G1022" t="s">
        <v>23</v>
      </c>
    </row>
    <row r="1023" spans="1:7" x14ac:dyDescent="0.3">
      <c r="A1023">
        <v>45510</v>
      </c>
      <c r="B1023" t="s">
        <v>48</v>
      </c>
      <c r="C1023" t="s">
        <v>20</v>
      </c>
      <c r="D1023" t="s">
        <v>27</v>
      </c>
      <c r="E1023">
        <v>1000</v>
      </c>
      <c r="F1023" t="s">
        <v>22</v>
      </c>
      <c r="G1023" t="s">
        <v>28</v>
      </c>
    </row>
    <row r="1024" spans="1:7" x14ac:dyDescent="0.3">
      <c r="A1024">
        <v>45510</v>
      </c>
      <c r="B1024" t="s">
        <v>48</v>
      </c>
      <c r="C1024" t="s">
        <v>20</v>
      </c>
      <c r="D1024" t="s">
        <v>27</v>
      </c>
      <c r="E1024">
        <v>1000</v>
      </c>
      <c r="F1024" t="s">
        <v>22</v>
      </c>
      <c r="G1024" t="s">
        <v>28</v>
      </c>
    </row>
    <row r="1025" spans="1:7" x14ac:dyDescent="0.3">
      <c r="A1025">
        <v>45504</v>
      </c>
      <c r="B1025" t="s">
        <v>29</v>
      </c>
      <c r="C1025" t="s">
        <v>26</v>
      </c>
      <c r="D1025" t="s">
        <v>27</v>
      </c>
      <c r="E1025">
        <v>1000</v>
      </c>
      <c r="F1025" t="s">
        <v>22</v>
      </c>
      <c r="G1025" t="s">
        <v>28</v>
      </c>
    </row>
    <row r="1026" spans="1:7" x14ac:dyDescent="0.3">
      <c r="A1026">
        <v>45505</v>
      </c>
      <c r="B1026" t="s">
        <v>49</v>
      </c>
      <c r="C1026" t="s">
        <v>20</v>
      </c>
      <c r="D1026" t="s">
        <v>31</v>
      </c>
      <c r="E1026">
        <v>800</v>
      </c>
      <c r="F1026" t="s">
        <v>41</v>
      </c>
      <c r="G1026" t="s">
        <v>39</v>
      </c>
    </row>
    <row r="1027" spans="1:7" x14ac:dyDescent="0.3">
      <c r="A1027">
        <v>45509</v>
      </c>
      <c r="B1027" t="s">
        <v>30</v>
      </c>
      <c r="C1027" t="s">
        <v>26</v>
      </c>
      <c r="D1027" t="s">
        <v>31</v>
      </c>
      <c r="E1027">
        <v>500</v>
      </c>
      <c r="F1027" t="s">
        <v>32</v>
      </c>
      <c r="G1027" t="s">
        <v>23</v>
      </c>
    </row>
    <row r="1028" spans="1:7" x14ac:dyDescent="0.3">
      <c r="A1028">
        <v>45504</v>
      </c>
      <c r="B1028" t="s">
        <v>29</v>
      </c>
      <c r="C1028" t="s">
        <v>26</v>
      </c>
      <c r="D1028" t="s">
        <v>27</v>
      </c>
      <c r="E1028">
        <v>1000</v>
      </c>
      <c r="F1028" t="s">
        <v>22</v>
      </c>
      <c r="G1028" t="s">
        <v>28</v>
      </c>
    </row>
    <row r="1029" spans="1:7" x14ac:dyDescent="0.3">
      <c r="A1029">
        <v>45509</v>
      </c>
      <c r="B1029" t="s">
        <v>30</v>
      </c>
      <c r="C1029" t="s">
        <v>26</v>
      </c>
      <c r="D1029" t="s">
        <v>31</v>
      </c>
      <c r="E1029">
        <v>500</v>
      </c>
      <c r="F1029" t="s">
        <v>32</v>
      </c>
      <c r="G1029" t="s">
        <v>23</v>
      </c>
    </row>
    <row r="1030" spans="1:7" x14ac:dyDescent="0.3">
      <c r="A1030">
        <v>45512</v>
      </c>
      <c r="B1030" t="s">
        <v>36</v>
      </c>
      <c r="C1030" t="s">
        <v>26</v>
      </c>
      <c r="D1030" t="s">
        <v>21</v>
      </c>
      <c r="E1030">
        <v>1000</v>
      </c>
      <c r="F1030" t="s">
        <v>37</v>
      </c>
      <c r="G1030" t="s">
        <v>28</v>
      </c>
    </row>
    <row r="1031" spans="1:7" x14ac:dyDescent="0.3">
      <c r="A1031">
        <v>45510</v>
      </c>
      <c r="B1031" t="s">
        <v>48</v>
      </c>
      <c r="C1031" t="s">
        <v>20</v>
      </c>
      <c r="D1031" t="s">
        <v>27</v>
      </c>
      <c r="E1031">
        <v>1000</v>
      </c>
      <c r="F1031" t="s">
        <v>22</v>
      </c>
      <c r="G1031" t="s">
        <v>28</v>
      </c>
    </row>
    <row r="1032" spans="1:7" x14ac:dyDescent="0.3">
      <c r="A1032">
        <v>45501</v>
      </c>
      <c r="B1032" t="s">
        <v>25</v>
      </c>
      <c r="C1032" t="s">
        <v>26</v>
      </c>
      <c r="D1032" t="s">
        <v>27</v>
      </c>
      <c r="E1032">
        <v>1000</v>
      </c>
      <c r="F1032" t="s">
        <v>22</v>
      </c>
      <c r="G1032" t="s">
        <v>28</v>
      </c>
    </row>
    <row r="1033" spans="1:7" x14ac:dyDescent="0.3">
      <c r="A1033">
        <v>45504</v>
      </c>
      <c r="B1033" t="s">
        <v>29</v>
      </c>
      <c r="C1033" t="s">
        <v>26</v>
      </c>
      <c r="D1033" t="s">
        <v>27</v>
      </c>
      <c r="E1033">
        <v>1000</v>
      </c>
      <c r="F1033" t="s">
        <v>22</v>
      </c>
      <c r="G1033" t="s">
        <v>28</v>
      </c>
    </row>
    <row r="1034" spans="1:7" x14ac:dyDescent="0.3">
      <c r="A1034">
        <v>45513</v>
      </c>
      <c r="B1034" t="s">
        <v>19</v>
      </c>
      <c r="C1034" t="s">
        <v>20</v>
      </c>
      <c r="D1034" t="s">
        <v>21</v>
      </c>
      <c r="E1034">
        <v>1000</v>
      </c>
      <c r="F1034" t="s">
        <v>22</v>
      </c>
      <c r="G1034" t="s">
        <v>23</v>
      </c>
    </row>
    <row r="1035" spans="1:7" x14ac:dyDescent="0.3">
      <c r="A1035">
        <v>45505</v>
      </c>
      <c r="B1035" t="s">
        <v>49</v>
      </c>
      <c r="C1035" t="s">
        <v>20</v>
      </c>
      <c r="D1035" t="s">
        <v>31</v>
      </c>
      <c r="E1035">
        <v>800</v>
      </c>
      <c r="F1035" t="s">
        <v>41</v>
      </c>
      <c r="G1035" t="s">
        <v>39</v>
      </c>
    </row>
    <row r="1036" spans="1:7" x14ac:dyDescent="0.3">
      <c r="A1036">
        <v>45500</v>
      </c>
      <c r="B1036" t="s">
        <v>19</v>
      </c>
      <c r="C1036" t="s">
        <v>20</v>
      </c>
      <c r="D1036" t="s">
        <v>21</v>
      </c>
      <c r="E1036">
        <v>500</v>
      </c>
      <c r="F1036" t="s">
        <v>32</v>
      </c>
      <c r="G1036" t="s">
        <v>47</v>
      </c>
    </row>
    <row r="1037" spans="1:7" x14ac:dyDescent="0.3">
      <c r="A1037">
        <v>45508</v>
      </c>
      <c r="B1037" t="s">
        <v>42</v>
      </c>
      <c r="C1037" t="s">
        <v>20</v>
      </c>
      <c r="D1037" t="s">
        <v>31</v>
      </c>
      <c r="E1037">
        <v>1000</v>
      </c>
      <c r="F1037" t="s">
        <v>22</v>
      </c>
      <c r="G1037" t="s">
        <v>28</v>
      </c>
    </row>
    <row r="1038" spans="1:7" x14ac:dyDescent="0.3">
      <c r="A1038">
        <v>45504</v>
      </c>
      <c r="B1038" t="s">
        <v>29</v>
      </c>
      <c r="C1038" t="s">
        <v>26</v>
      </c>
      <c r="D1038" t="s">
        <v>27</v>
      </c>
      <c r="E1038">
        <v>1000</v>
      </c>
      <c r="F1038" t="s">
        <v>22</v>
      </c>
      <c r="G1038" t="s">
        <v>28</v>
      </c>
    </row>
    <row r="1039" spans="1:7" x14ac:dyDescent="0.3">
      <c r="A1039">
        <v>45504</v>
      </c>
      <c r="B1039" t="s">
        <v>29</v>
      </c>
      <c r="C1039" t="s">
        <v>26</v>
      </c>
      <c r="D1039" t="s">
        <v>27</v>
      </c>
      <c r="E1039">
        <v>1000</v>
      </c>
      <c r="F1039" t="s">
        <v>22</v>
      </c>
      <c r="G1039" t="s">
        <v>28</v>
      </c>
    </row>
    <row r="1040" spans="1:7" x14ac:dyDescent="0.3">
      <c r="A1040">
        <v>45500</v>
      </c>
      <c r="B1040" t="s">
        <v>19</v>
      </c>
      <c r="C1040" t="s">
        <v>20</v>
      </c>
      <c r="D1040" t="s">
        <v>21</v>
      </c>
      <c r="E1040">
        <v>500</v>
      </c>
      <c r="F1040" t="s">
        <v>32</v>
      </c>
      <c r="G1040" t="s">
        <v>47</v>
      </c>
    </row>
    <row r="1041" spans="1:7" x14ac:dyDescent="0.3">
      <c r="A1041">
        <v>45512</v>
      </c>
      <c r="B1041" t="s">
        <v>36</v>
      </c>
      <c r="C1041" t="s">
        <v>26</v>
      </c>
      <c r="D1041" t="s">
        <v>21</v>
      </c>
      <c r="E1041">
        <v>1000</v>
      </c>
      <c r="F1041" t="s">
        <v>37</v>
      </c>
      <c r="G1041" t="s">
        <v>28</v>
      </c>
    </row>
    <row r="1042" spans="1:7" x14ac:dyDescent="0.3">
      <c r="A1042">
        <v>45505</v>
      </c>
      <c r="B1042" t="s">
        <v>49</v>
      </c>
      <c r="C1042" t="s">
        <v>20</v>
      </c>
      <c r="D1042" t="s">
        <v>31</v>
      </c>
      <c r="E1042">
        <v>800</v>
      </c>
      <c r="F1042" t="s">
        <v>41</v>
      </c>
      <c r="G1042" t="s">
        <v>39</v>
      </c>
    </row>
    <row r="1043" spans="1:7" x14ac:dyDescent="0.3">
      <c r="A1043">
        <v>45512</v>
      </c>
      <c r="B1043" t="s">
        <v>36</v>
      </c>
      <c r="C1043" t="s">
        <v>26</v>
      </c>
      <c r="D1043" t="s">
        <v>21</v>
      </c>
      <c r="E1043">
        <v>1000</v>
      </c>
      <c r="F1043" t="s">
        <v>37</v>
      </c>
      <c r="G1043" t="s">
        <v>28</v>
      </c>
    </row>
    <row r="1044" spans="1:7" x14ac:dyDescent="0.3">
      <c r="A1044">
        <v>45513</v>
      </c>
      <c r="B1044" t="s">
        <v>19</v>
      </c>
      <c r="C1044" t="s">
        <v>20</v>
      </c>
      <c r="D1044" t="s">
        <v>21</v>
      </c>
      <c r="E1044">
        <v>1000</v>
      </c>
      <c r="F1044" t="s">
        <v>22</v>
      </c>
      <c r="G1044" t="s">
        <v>23</v>
      </c>
    </row>
    <row r="1045" spans="1:7" x14ac:dyDescent="0.3">
      <c r="A1045">
        <v>45500</v>
      </c>
      <c r="B1045" t="s">
        <v>19</v>
      </c>
      <c r="C1045" t="s">
        <v>20</v>
      </c>
      <c r="D1045" t="s">
        <v>21</v>
      </c>
      <c r="E1045">
        <v>500</v>
      </c>
      <c r="F1045" t="s">
        <v>32</v>
      </c>
      <c r="G1045" t="s">
        <v>47</v>
      </c>
    </row>
    <row r="1046" spans="1:7" x14ac:dyDescent="0.3">
      <c r="A1046">
        <v>45509</v>
      </c>
      <c r="B1046" t="s">
        <v>30</v>
      </c>
      <c r="C1046" t="s">
        <v>26</v>
      </c>
      <c r="D1046" t="s">
        <v>31</v>
      </c>
      <c r="E1046">
        <v>500</v>
      </c>
      <c r="F1046" t="s">
        <v>32</v>
      </c>
      <c r="G1046" t="s">
        <v>23</v>
      </c>
    </row>
    <row r="1047" spans="1:7" x14ac:dyDescent="0.3">
      <c r="A1047">
        <v>45512</v>
      </c>
      <c r="B1047" t="s">
        <v>36</v>
      </c>
      <c r="C1047" t="s">
        <v>26</v>
      </c>
      <c r="D1047" t="s">
        <v>21</v>
      </c>
      <c r="E1047">
        <v>1000</v>
      </c>
      <c r="F1047" t="s">
        <v>37</v>
      </c>
      <c r="G1047" t="s">
        <v>28</v>
      </c>
    </row>
    <row r="1048" spans="1:7" x14ac:dyDescent="0.3">
      <c r="A1048">
        <v>45512</v>
      </c>
      <c r="B1048" t="s">
        <v>36</v>
      </c>
      <c r="C1048" t="s">
        <v>26</v>
      </c>
      <c r="D1048" t="s">
        <v>21</v>
      </c>
      <c r="E1048">
        <v>1000</v>
      </c>
      <c r="F1048" t="s">
        <v>37</v>
      </c>
      <c r="G1048" t="s">
        <v>28</v>
      </c>
    </row>
    <row r="1049" spans="1:7" x14ac:dyDescent="0.3">
      <c r="A1049">
        <v>45509</v>
      </c>
      <c r="B1049" t="s">
        <v>30</v>
      </c>
      <c r="C1049" t="s">
        <v>26</v>
      </c>
      <c r="D1049" t="s">
        <v>31</v>
      </c>
      <c r="E1049">
        <v>500</v>
      </c>
      <c r="F1049" t="s">
        <v>32</v>
      </c>
      <c r="G1049" t="s">
        <v>23</v>
      </c>
    </row>
    <row r="1050" spans="1:7" x14ac:dyDescent="0.3">
      <c r="A1050">
        <v>45503</v>
      </c>
      <c r="B1050" t="s">
        <v>43</v>
      </c>
      <c r="C1050" t="s">
        <v>20</v>
      </c>
      <c r="D1050" t="s">
        <v>31</v>
      </c>
      <c r="E1050">
        <v>500</v>
      </c>
      <c r="F1050" t="s">
        <v>44</v>
      </c>
      <c r="G1050" t="s">
        <v>45</v>
      </c>
    </row>
    <row r="1051" spans="1:7" x14ac:dyDescent="0.3">
      <c r="A1051">
        <v>45508</v>
      </c>
      <c r="B1051" t="s">
        <v>42</v>
      </c>
      <c r="C1051" t="s">
        <v>20</v>
      </c>
      <c r="D1051" t="s">
        <v>31</v>
      </c>
      <c r="E1051">
        <v>1000</v>
      </c>
      <c r="F1051" t="s">
        <v>22</v>
      </c>
      <c r="G1051" t="s">
        <v>28</v>
      </c>
    </row>
    <row r="1052" spans="1:7" x14ac:dyDescent="0.3">
      <c r="A1052">
        <v>45514</v>
      </c>
      <c r="B1052" t="s">
        <v>43</v>
      </c>
      <c r="C1052" t="s">
        <v>20</v>
      </c>
      <c r="D1052" t="s">
        <v>31</v>
      </c>
      <c r="E1052">
        <v>1000</v>
      </c>
      <c r="F1052" t="s">
        <v>41</v>
      </c>
      <c r="G1052" t="s">
        <v>47</v>
      </c>
    </row>
    <row r="1053" spans="1:7" x14ac:dyDescent="0.3">
      <c r="A1053">
        <v>45501</v>
      </c>
      <c r="B1053" t="s">
        <v>25</v>
      </c>
      <c r="C1053" t="s">
        <v>26</v>
      </c>
      <c r="D1053" t="s">
        <v>27</v>
      </c>
      <c r="E1053">
        <v>1000</v>
      </c>
      <c r="F1053" t="s">
        <v>22</v>
      </c>
      <c r="G1053" t="s">
        <v>28</v>
      </c>
    </row>
    <row r="1054" spans="1:7" x14ac:dyDescent="0.3">
      <c r="A1054">
        <v>45509</v>
      </c>
      <c r="B1054" t="s">
        <v>30</v>
      </c>
      <c r="C1054" t="s">
        <v>26</v>
      </c>
      <c r="D1054" t="s">
        <v>31</v>
      </c>
      <c r="E1054">
        <v>500</v>
      </c>
      <c r="F1054" t="s">
        <v>32</v>
      </c>
      <c r="G1054" t="s">
        <v>23</v>
      </c>
    </row>
    <row r="1055" spans="1:7" x14ac:dyDescent="0.3">
      <c r="A1055">
        <v>45504</v>
      </c>
      <c r="B1055" t="s">
        <v>29</v>
      </c>
      <c r="C1055" t="s">
        <v>26</v>
      </c>
      <c r="D1055" t="s">
        <v>27</v>
      </c>
      <c r="E1055">
        <v>1000</v>
      </c>
      <c r="F1055" t="s">
        <v>22</v>
      </c>
      <c r="G1055" t="s">
        <v>28</v>
      </c>
    </row>
    <row r="1056" spans="1:7" x14ac:dyDescent="0.3">
      <c r="A1056">
        <v>45500</v>
      </c>
      <c r="B1056" t="s">
        <v>19</v>
      </c>
      <c r="C1056" t="s">
        <v>20</v>
      </c>
      <c r="D1056" t="s">
        <v>21</v>
      </c>
      <c r="E1056">
        <v>500</v>
      </c>
      <c r="F1056" t="s">
        <v>32</v>
      </c>
      <c r="G1056" t="s">
        <v>47</v>
      </c>
    </row>
    <row r="1057" spans="1:7" x14ac:dyDescent="0.3">
      <c r="A1057">
        <v>45507</v>
      </c>
      <c r="B1057" t="s">
        <v>33</v>
      </c>
      <c r="C1057" t="s">
        <v>26</v>
      </c>
      <c r="D1057" t="s">
        <v>21</v>
      </c>
      <c r="E1057">
        <v>1000</v>
      </c>
      <c r="F1057" t="s">
        <v>34</v>
      </c>
      <c r="G1057" t="s">
        <v>35</v>
      </c>
    </row>
    <row r="1058" spans="1:7" x14ac:dyDescent="0.3">
      <c r="A1058">
        <v>45502</v>
      </c>
      <c r="B1058" t="s">
        <v>40</v>
      </c>
      <c r="C1058" t="s">
        <v>20</v>
      </c>
      <c r="D1058" t="s">
        <v>31</v>
      </c>
      <c r="E1058">
        <v>800</v>
      </c>
      <c r="F1058" t="s">
        <v>41</v>
      </c>
      <c r="G1058" t="s">
        <v>23</v>
      </c>
    </row>
    <row r="1059" spans="1:7" x14ac:dyDescent="0.3">
      <c r="A1059">
        <v>45503</v>
      </c>
      <c r="B1059" t="s">
        <v>43</v>
      </c>
      <c r="C1059" t="s">
        <v>20</v>
      </c>
      <c r="D1059" t="s">
        <v>31</v>
      </c>
      <c r="E1059">
        <v>500</v>
      </c>
      <c r="F1059" t="s">
        <v>44</v>
      </c>
      <c r="G1059" t="s">
        <v>45</v>
      </c>
    </row>
    <row r="1060" spans="1:7" x14ac:dyDescent="0.3">
      <c r="A1060">
        <v>45513</v>
      </c>
      <c r="B1060" t="s">
        <v>19</v>
      </c>
      <c r="C1060" t="s">
        <v>20</v>
      </c>
      <c r="D1060" t="s">
        <v>21</v>
      </c>
      <c r="E1060">
        <v>1000</v>
      </c>
      <c r="F1060" t="s">
        <v>22</v>
      </c>
      <c r="G1060" t="s">
        <v>23</v>
      </c>
    </row>
    <row r="1061" spans="1:7" x14ac:dyDescent="0.3">
      <c r="A1061">
        <v>45506</v>
      </c>
      <c r="B1061" t="s">
        <v>38</v>
      </c>
      <c r="C1061" t="s">
        <v>26</v>
      </c>
      <c r="D1061" t="s">
        <v>21</v>
      </c>
      <c r="E1061">
        <v>1000</v>
      </c>
      <c r="F1061" t="s">
        <v>34</v>
      </c>
      <c r="G1061" t="s">
        <v>39</v>
      </c>
    </row>
    <row r="1062" spans="1:7" x14ac:dyDescent="0.3">
      <c r="A1062">
        <v>45500</v>
      </c>
      <c r="B1062" t="s">
        <v>19</v>
      </c>
      <c r="C1062" t="s">
        <v>20</v>
      </c>
      <c r="D1062" t="s">
        <v>21</v>
      </c>
      <c r="E1062">
        <v>500</v>
      </c>
      <c r="F1062" t="s">
        <v>32</v>
      </c>
      <c r="G1062" t="s">
        <v>47</v>
      </c>
    </row>
    <row r="1063" spans="1:7" x14ac:dyDescent="0.3">
      <c r="A1063">
        <v>45505</v>
      </c>
      <c r="B1063" t="s">
        <v>49</v>
      </c>
      <c r="C1063" t="s">
        <v>20</v>
      </c>
      <c r="D1063" t="s">
        <v>31</v>
      </c>
      <c r="E1063">
        <v>800</v>
      </c>
      <c r="F1063" t="s">
        <v>41</v>
      </c>
      <c r="G1063" t="s">
        <v>39</v>
      </c>
    </row>
    <row r="1064" spans="1:7" x14ac:dyDescent="0.3">
      <c r="A1064">
        <v>45513</v>
      </c>
      <c r="B1064" t="s">
        <v>19</v>
      </c>
      <c r="C1064" t="s">
        <v>20</v>
      </c>
      <c r="D1064" t="s">
        <v>21</v>
      </c>
      <c r="E1064">
        <v>1000</v>
      </c>
      <c r="F1064" t="s">
        <v>22</v>
      </c>
      <c r="G1064" t="s">
        <v>23</v>
      </c>
    </row>
    <row r="1065" spans="1:7" x14ac:dyDescent="0.3">
      <c r="A1065">
        <v>45500</v>
      </c>
      <c r="B1065" t="s">
        <v>19</v>
      </c>
      <c r="C1065" t="s">
        <v>20</v>
      </c>
      <c r="D1065" t="s">
        <v>21</v>
      </c>
      <c r="E1065">
        <v>500</v>
      </c>
      <c r="F1065" t="s">
        <v>32</v>
      </c>
      <c r="G1065" t="s">
        <v>47</v>
      </c>
    </row>
    <row r="1066" spans="1:7" x14ac:dyDescent="0.3">
      <c r="A1066">
        <v>45500</v>
      </c>
      <c r="B1066" t="s">
        <v>19</v>
      </c>
      <c r="C1066" t="s">
        <v>20</v>
      </c>
      <c r="D1066" t="s">
        <v>21</v>
      </c>
      <c r="E1066">
        <v>500</v>
      </c>
      <c r="F1066" t="s">
        <v>32</v>
      </c>
      <c r="G1066" t="s">
        <v>47</v>
      </c>
    </row>
    <row r="1067" spans="1:7" x14ac:dyDescent="0.3">
      <c r="A1067">
        <v>45512</v>
      </c>
      <c r="B1067" t="s">
        <v>36</v>
      </c>
      <c r="C1067" t="s">
        <v>26</v>
      </c>
      <c r="D1067" t="s">
        <v>21</v>
      </c>
      <c r="E1067">
        <v>1000</v>
      </c>
      <c r="F1067" t="s">
        <v>37</v>
      </c>
      <c r="G1067" t="s">
        <v>28</v>
      </c>
    </row>
    <row r="1068" spans="1:7" x14ac:dyDescent="0.3">
      <c r="A1068">
        <v>45500</v>
      </c>
      <c r="B1068" t="s">
        <v>19</v>
      </c>
      <c r="C1068" t="s">
        <v>20</v>
      </c>
      <c r="D1068" t="s">
        <v>21</v>
      </c>
      <c r="E1068">
        <v>500</v>
      </c>
      <c r="F1068" t="s">
        <v>32</v>
      </c>
      <c r="G1068" t="s">
        <v>47</v>
      </c>
    </row>
    <row r="1069" spans="1:7" x14ac:dyDescent="0.3">
      <c r="A1069">
        <v>45514</v>
      </c>
      <c r="B1069" t="s">
        <v>43</v>
      </c>
      <c r="C1069" t="s">
        <v>20</v>
      </c>
      <c r="D1069" t="s">
        <v>31</v>
      </c>
      <c r="E1069">
        <v>1000</v>
      </c>
      <c r="F1069" t="s">
        <v>41</v>
      </c>
      <c r="G1069" t="s">
        <v>47</v>
      </c>
    </row>
    <row r="1070" spans="1:7" x14ac:dyDescent="0.3">
      <c r="A1070">
        <v>45508</v>
      </c>
      <c r="B1070" t="s">
        <v>42</v>
      </c>
      <c r="C1070" t="s">
        <v>20</v>
      </c>
      <c r="D1070" t="s">
        <v>31</v>
      </c>
      <c r="E1070">
        <v>1000</v>
      </c>
      <c r="F1070" t="s">
        <v>22</v>
      </c>
      <c r="G1070" t="s">
        <v>28</v>
      </c>
    </row>
    <row r="1071" spans="1:7" x14ac:dyDescent="0.3">
      <c r="A1071">
        <v>45511</v>
      </c>
      <c r="B1071" t="s">
        <v>46</v>
      </c>
      <c r="C1071" t="s">
        <v>20</v>
      </c>
      <c r="D1071" t="s">
        <v>27</v>
      </c>
      <c r="E1071">
        <v>1000</v>
      </c>
      <c r="F1071" t="s">
        <v>22</v>
      </c>
      <c r="G1071" t="s">
        <v>28</v>
      </c>
    </row>
    <row r="1072" spans="1:7" x14ac:dyDescent="0.3">
      <c r="A1072">
        <v>45509</v>
      </c>
      <c r="B1072" t="s">
        <v>30</v>
      </c>
      <c r="C1072" t="s">
        <v>26</v>
      </c>
      <c r="D1072" t="s">
        <v>31</v>
      </c>
      <c r="E1072">
        <v>500</v>
      </c>
      <c r="F1072" t="s">
        <v>32</v>
      </c>
      <c r="G1072" t="s">
        <v>23</v>
      </c>
    </row>
    <row r="1073" spans="1:7" x14ac:dyDescent="0.3">
      <c r="A1073">
        <v>45505</v>
      </c>
      <c r="B1073" t="s">
        <v>49</v>
      </c>
      <c r="C1073" t="s">
        <v>20</v>
      </c>
      <c r="D1073" t="s">
        <v>31</v>
      </c>
      <c r="E1073">
        <v>800</v>
      </c>
      <c r="F1073" t="s">
        <v>41</v>
      </c>
      <c r="G1073" t="s">
        <v>39</v>
      </c>
    </row>
    <row r="1074" spans="1:7" x14ac:dyDescent="0.3">
      <c r="A1074">
        <v>45512</v>
      </c>
      <c r="B1074" t="s">
        <v>36</v>
      </c>
      <c r="C1074" t="s">
        <v>26</v>
      </c>
      <c r="D1074" t="s">
        <v>21</v>
      </c>
      <c r="E1074">
        <v>1000</v>
      </c>
      <c r="F1074" t="s">
        <v>37</v>
      </c>
      <c r="G1074" t="s">
        <v>28</v>
      </c>
    </row>
    <row r="1075" spans="1:7" x14ac:dyDescent="0.3">
      <c r="A1075">
        <v>45503</v>
      </c>
      <c r="B1075" t="s">
        <v>43</v>
      </c>
      <c r="C1075" t="s">
        <v>20</v>
      </c>
      <c r="D1075" t="s">
        <v>31</v>
      </c>
      <c r="E1075">
        <v>500</v>
      </c>
      <c r="F1075" t="s">
        <v>44</v>
      </c>
      <c r="G1075" t="s">
        <v>45</v>
      </c>
    </row>
    <row r="1076" spans="1:7" x14ac:dyDescent="0.3">
      <c r="A1076">
        <v>45509</v>
      </c>
      <c r="B1076" t="s">
        <v>30</v>
      </c>
      <c r="C1076" t="s">
        <v>26</v>
      </c>
      <c r="D1076" t="s">
        <v>31</v>
      </c>
      <c r="E1076">
        <v>500</v>
      </c>
      <c r="F1076" t="s">
        <v>32</v>
      </c>
      <c r="G1076" t="s">
        <v>23</v>
      </c>
    </row>
    <row r="1077" spans="1:7" x14ac:dyDescent="0.3">
      <c r="A1077">
        <v>45512</v>
      </c>
      <c r="B1077" t="s">
        <v>36</v>
      </c>
      <c r="C1077" t="s">
        <v>26</v>
      </c>
      <c r="D1077" t="s">
        <v>21</v>
      </c>
      <c r="E1077">
        <v>1000</v>
      </c>
      <c r="F1077" t="s">
        <v>37</v>
      </c>
      <c r="G1077" t="s">
        <v>28</v>
      </c>
    </row>
    <row r="1078" spans="1:7" x14ac:dyDescent="0.3">
      <c r="A1078">
        <v>45502</v>
      </c>
      <c r="B1078" t="s">
        <v>40</v>
      </c>
      <c r="C1078" t="s">
        <v>20</v>
      </c>
      <c r="D1078" t="s">
        <v>31</v>
      </c>
      <c r="E1078">
        <v>800</v>
      </c>
      <c r="F1078" t="s">
        <v>41</v>
      </c>
      <c r="G1078" t="s">
        <v>23</v>
      </c>
    </row>
    <row r="1079" spans="1:7" x14ac:dyDescent="0.3">
      <c r="A1079">
        <v>45510</v>
      </c>
      <c r="B1079" t="s">
        <v>48</v>
      </c>
      <c r="C1079" t="s">
        <v>20</v>
      </c>
      <c r="D1079" t="s">
        <v>27</v>
      </c>
      <c r="E1079">
        <v>1000</v>
      </c>
      <c r="F1079" t="s">
        <v>22</v>
      </c>
      <c r="G1079" t="s">
        <v>28</v>
      </c>
    </row>
    <row r="1080" spans="1:7" x14ac:dyDescent="0.3">
      <c r="A1080">
        <v>45503</v>
      </c>
      <c r="B1080" t="s">
        <v>43</v>
      </c>
      <c r="C1080" t="s">
        <v>20</v>
      </c>
      <c r="D1080" t="s">
        <v>31</v>
      </c>
      <c r="E1080">
        <v>500</v>
      </c>
      <c r="F1080" t="s">
        <v>44</v>
      </c>
      <c r="G1080" t="s">
        <v>45</v>
      </c>
    </row>
    <row r="1081" spans="1:7" x14ac:dyDescent="0.3">
      <c r="A1081">
        <v>45505</v>
      </c>
      <c r="B1081" t="s">
        <v>49</v>
      </c>
      <c r="C1081" t="s">
        <v>20</v>
      </c>
      <c r="D1081" t="s">
        <v>31</v>
      </c>
      <c r="E1081">
        <v>800</v>
      </c>
      <c r="F1081" t="s">
        <v>41</v>
      </c>
      <c r="G1081" t="s">
        <v>39</v>
      </c>
    </row>
    <row r="1082" spans="1:7" x14ac:dyDescent="0.3">
      <c r="A1082">
        <v>45511</v>
      </c>
      <c r="B1082" t="s">
        <v>46</v>
      </c>
      <c r="C1082" t="s">
        <v>20</v>
      </c>
      <c r="D1082" t="s">
        <v>27</v>
      </c>
      <c r="E1082">
        <v>1000</v>
      </c>
      <c r="F1082" t="s">
        <v>22</v>
      </c>
      <c r="G1082" t="s">
        <v>28</v>
      </c>
    </row>
    <row r="1083" spans="1:7" x14ac:dyDescent="0.3">
      <c r="A1083">
        <v>45501</v>
      </c>
      <c r="B1083" t="s">
        <v>25</v>
      </c>
      <c r="C1083" t="s">
        <v>26</v>
      </c>
      <c r="D1083" t="s">
        <v>27</v>
      </c>
      <c r="E1083">
        <v>1000</v>
      </c>
      <c r="F1083" t="s">
        <v>22</v>
      </c>
      <c r="G1083" t="s">
        <v>28</v>
      </c>
    </row>
    <row r="1084" spans="1:7" x14ac:dyDescent="0.3">
      <c r="A1084">
        <v>45503</v>
      </c>
      <c r="B1084" t="s">
        <v>43</v>
      </c>
      <c r="C1084" t="s">
        <v>20</v>
      </c>
      <c r="D1084" t="s">
        <v>31</v>
      </c>
      <c r="E1084">
        <v>500</v>
      </c>
      <c r="F1084" t="s">
        <v>44</v>
      </c>
      <c r="G1084" t="s">
        <v>45</v>
      </c>
    </row>
    <row r="1085" spans="1:7" x14ac:dyDescent="0.3">
      <c r="A1085">
        <v>45500</v>
      </c>
      <c r="B1085" t="s">
        <v>19</v>
      </c>
      <c r="C1085" t="s">
        <v>20</v>
      </c>
      <c r="D1085" t="s">
        <v>21</v>
      </c>
      <c r="E1085">
        <v>500</v>
      </c>
      <c r="F1085" t="s">
        <v>32</v>
      </c>
      <c r="G1085" t="s">
        <v>47</v>
      </c>
    </row>
    <row r="1086" spans="1:7" x14ac:dyDescent="0.3">
      <c r="A1086">
        <v>45510</v>
      </c>
      <c r="B1086" t="s">
        <v>48</v>
      </c>
      <c r="C1086" t="s">
        <v>20</v>
      </c>
      <c r="D1086" t="s">
        <v>27</v>
      </c>
      <c r="E1086">
        <v>1000</v>
      </c>
      <c r="F1086" t="s">
        <v>22</v>
      </c>
      <c r="G1086" t="s">
        <v>28</v>
      </c>
    </row>
    <row r="1087" spans="1:7" x14ac:dyDescent="0.3">
      <c r="A1087">
        <v>45506</v>
      </c>
      <c r="B1087" t="s">
        <v>38</v>
      </c>
      <c r="C1087" t="s">
        <v>26</v>
      </c>
      <c r="D1087" t="s">
        <v>21</v>
      </c>
      <c r="E1087">
        <v>1000</v>
      </c>
      <c r="F1087" t="s">
        <v>34</v>
      </c>
      <c r="G1087" t="s">
        <v>39</v>
      </c>
    </row>
    <row r="1088" spans="1:7" x14ac:dyDescent="0.3">
      <c r="A1088">
        <v>45511</v>
      </c>
      <c r="B1088" t="s">
        <v>46</v>
      </c>
      <c r="C1088" t="s">
        <v>20</v>
      </c>
      <c r="D1088" t="s">
        <v>27</v>
      </c>
      <c r="E1088">
        <v>1000</v>
      </c>
      <c r="F1088" t="s">
        <v>22</v>
      </c>
      <c r="G1088" t="s">
        <v>28</v>
      </c>
    </row>
    <row r="1089" spans="1:7" x14ac:dyDescent="0.3">
      <c r="A1089">
        <v>45501</v>
      </c>
      <c r="B1089" t="s">
        <v>25</v>
      </c>
      <c r="C1089" t="s">
        <v>26</v>
      </c>
      <c r="D1089" t="s">
        <v>27</v>
      </c>
      <c r="E1089">
        <v>1000</v>
      </c>
      <c r="F1089" t="s">
        <v>22</v>
      </c>
      <c r="G1089" t="s">
        <v>28</v>
      </c>
    </row>
    <row r="1090" spans="1:7" x14ac:dyDescent="0.3">
      <c r="A1090">
        <v>45508</v>
      </c>
      <c r="B1090" t="s">
        <v>42</v>
      </c>
      <c r="C1090" t="s">
        <v>20</v>
      </c>
      <c r="D1090" t="s">
        <v>31</v>
      </c>
      <c r="E1090">
        <v>1000</v>
      </c>
      <c r="F1090" t="s">
        <v>22</v>
      </c>
      <c r="G1090" t="s">
        <v>28</v>
      </c>
    </row>
    <row r="1091" spans="1:7" x14ac:dyDescent="0.3">
      <c r="A1091">
        <v>45512</v>
      </c>
      <c r="B1091" t="s">
        <v>36</v>
      </c>
      <c r="C1091" t="s">
        <v>26</v>
      </c>
      <c r="D1091" t="s">
        <v>21</v>
      </c>
      <c r="E1091">
        <v>1000</v>
      </c>
      <c r="F1091" t="s">
        <v>37</v>
      </c>
      <c r="G1091" t="s">
        <v>28</v>
      </c>
    </row>
    <row r="1092" spans="1:7" x14ac:dyDescent="0.3">
      <c r="A1092">
        <v>45513</v>
      </c>
      <c r="B1092" t="s">
        <v>19</v>
      </c>
      <c r="C1092" t="s">
        <v>20</v>
      </c>
      <c r="D1092" t="s">
        <v>21</v>
      </c>
      <c r="E1092">
        <v>1000</v>
      </c>
      <c r="F1092" t="s">
        <v>22</v>
      </c>
      <c r="G1092" t="s">
        <v>23</v>
      </c>
    </row>
    <row r="1093" spans="1:7" x14ac:dyDescent="0.3">
      <c r="A1093">
        <v>45507</v>
      </c>
      <c r="B1093" t="s">
        <v>33</v>
      </c>
      <c r="C1093" t="s">
        <v>26</v>
      </c>
      <c r="D1093" t="s">
        <v>21</v>
      </c>
      <c r="E1093">
        <v>1000</v>
      </c>
      <c r="F1093" t="s">
        <v>34</v>
      </c>
      <c r="G1093" t="s">
        <v>35</v>
      </c>
    </row>
    <row r="1094" spans="1:7" x14ac:dyDescent="0.3">
      <c r="A1094">
        <v>45500</v>
      </c>
      <c r="B1094" t="s">
        <v>19</v>
      </c>
      <c r="C1094" t="s">
        <v>20</v>
      </c>
      <c r="D1094" t="s">
        <v>21</v>
      </c>
      <c r="E1094">
        <v>500</v>
      </c>
      <c r="F1094" t="s">
        <v>32</v>
      </c>
      <c r="G1094" t="s">
        <v>47</v>
      </c>
    </row>
    <row r="1095" spans="1:7" x14ac:dyDescent="0.3">
      <c r="A1095">
        <v>45514</v>
      </c>
      <c r="B1095" t="s">
        <v>43</v>
      </c>
      <c r="C1095" t="s">
        <v>20</v>
      </c>
      <c r="D1095" t="s">
        <v>31</v>
      </c>
      <c r="E1095">
        <v>1000</v>
      </c>
      <c r="F1095" t="s">
        <v>41</v>
      </c>
      <c r="G1095" t="s">
        <v>47</v>
      </c>
    </row>
    <row r="1096" spans="1:7" x14ac:dyDescent="0.3">
      <c r="A1096">
        <v>45513</v>
      </c>
      <c r="B1096" t="s">
        <v>19</v>
      </c>
      <c r="C1096" t="s">
        <v>20</v>
      </c>
      <c r="D1096" t="s">
        <v>21</v>
      </c>
      <c r="E1096">
        <v>1000</v>
      </c>
      <c r="F1096" t="s">
        <v>22</v>
      </c>
      <c r="G1096" t="s">
        <v>23</v>
      </c>
    </row>
    <row r="1097" spans="1:7" x14ac:dyDescent="0.3">
      <c r="A1097">
        <v>45509</v>
      </c>
      <c r="B1097" t="s">
        <v>30</v>
      </c>
      <c r="C1097" t="s">
        <v>26</v>
      </c>
      <c r="D1097" t="s">
        <v>31</v>
      </c>
      <c r="E1097">
        <v>500</v>
      </c>
      <c r="F1097" t="s">
        <v>32</v>
      </c>
      <c r="G1097" t="s">
        <v>23</v>
      </c>
    </row>
    <row r="1098" spans="1:7" x14ac:dyDescent="0.3">
      <c r="A1098">
        <v>45502</v>
      </c>
      <c r="B1098" t="s">
        <v>40</v>
      </c>
      <c r="C1098" t="s">
        <v>20</v>
      </c>
      <c r="D1098" t="s">
        <v>31</v>
      </c>
      <c r="E1098">
        <v>800</v>
      </c>
      <c r="F1098" t="s">
        <v>41</v>
      </c>
      <c r="G1098" t="s">
        <v>23</v>
      </c>
    </row>
    <row r="1099" spans="1:7" x14ac:dyDescent="0.3">
      <c r="A1099">
        <v>45503</v>
      </c>
      <c r="B1099" t="s">
        <v>43</v>
      </c>
      <c r="C1099" t="s">
        <v>20</v>
      </c>
      <c r="D1099" t="s">
        <v>31</v>
      </c>
      <c r="E1099">
        <v>500</v>
      </c>
      <c r="F1099" t="s">
        <v>44</v>
      </c>
      <c r="G1099" t="s">
        <v>45</v>
      </c>
    </row>
    <row r="1100" spans="1:7" x14ac:dyDescent="0.3">
      <c r="A1100">
        <v>45513</v>
      </c>
      <c r="B1100" t="s">
        <v>19</v>
      </c>
      <c r="C1100" t="s">
        <v>20</v>
      </c>
      <c r="D1100" t="s">
        <v>21</v>
      </c>
      <c r="E1100">
        <v>1000</v>
      </c>
      <c r="F1100" t="s">
        <v>22</v>
      </c>
      <c r="G1100" t="s">
        <v>23</v>
      </c>
    </row>
    <row r="1101" spans="1:7" x14ac:dyDescent="0.3">
      <c r="A1101">
        <v>45510</v>
      </c>
      <c r="B1101" t="s">
        <v>48</v>
      </c>
      <c r="C1101" t="s">
        <v>20</v>
      </c>
      <c r="D1101" t="s">
        <v>27</v>
      </c>
      <c r="E1101">
        <v>1000</v>
      </c>
      <c r="F1101" t="s">
        <v>22</v>
      </c>
      <c r="G1101" t="s">
        <v>28</v>
      </c>
    </row>
    <row r="1102" spans="1:7" x14ac:dyDescent="0.3">
      <c r="A1102">
        <v>45505</v>
      </c>
      <c r="B1102" t="s">
        <v>49</v>
      </c>
      <c r="C1102" t="s">
        <v>20</v>
      </c>
      <c r="D1102" t="s">
        <v>31</v>
      </c>
      <c r="E1102">
        <v>800</v>
      </c>
      <c r="F1102" t="s">
        <v>41</v>
      </c>
      <c r="G1102" t="s">
        <v>39</v>
      </c>
    </row>
    <row r="1103" spans="1:7" x14ac:dyDescent="0.3">
      <c r="A1103">
        <v>45514</v>
      </c>
      <c r="B1103" t="s">
        <v>43</v>
      </c>
      <c r="C1103" t="s">
        <v>20</v>
      </c>
      <c r="D1103" t="s">
        <v>31</v>
      </c>
      <c r="E1103">
        <v>1000</v>
      </c>
      <c r="F1103" t="s">
        <v>41</v>
      </c>
      <c r="G1103" t="s">
        <v>47</v>
      </c>
    </row>
    <row r="1104" spans="1:7" x14ac:dyDescent="0.3">
      <c r="A1104">
        <v>45505</v>
      </c>
      <c r="B1104" t="s">
        <v>49</v>
      </c>
      <c r="C1104" t="s">
        <v>20</v>
      </c>
      <c r="D1104" t="s">
        <v>31</v>
      </c>
      <c r="E1104">
        <v>800</v>
      </c>
      <c r="F1104" t="s">
        <v>41</v>
      </c>
      <c r="G1104" t="s">
        <v>39</v>
      </c>
    </row>
    <row r="1105" spans="1:7" x14ac:dyDescent="0.3">
      <c r="A1105">
        <v>45503</v>
      </c>
      <c r="B1105" t="s">
        <v>43</v>
      </c>
      <c r="C1105" t="s">
        <v>20</v>
      </c>
      <c r="D1105" t="s">
        <v>31</v>
      </c>
      <c r="E1105">
        <v>500</v>
      </c>
      <c r="F1105" t="s">
        <v>44</v>
      </c>
      <c r="G1105" t="s">
        <v>45</v>
      </c>
    </row>
    <row r="1106" spans="1:7" x14ac:dyDescent="0.3">
      <c r="A1106">
        <v>45506</v>
      </c>
      <c r="B1106" t="s">
        <v>38</v>
      </c>
      <c r="C1106" t="s">
        <v>26</v>
      </c>
      <c r="D1106" t="s">
        <v>21</v>
      </c>
      <c r="E1106">
        <v>1000</v>
      </c>
      <c r="F1106" t="s">
        <v>34</v>
      </c>
      <c r="G1106" t="s">
        <v>39</v>
      </c>
    </row>
    <row r="1107" spans="1:7" x14ac:dyDescent="0.3">
      <c r="A1107">
        <v>45505</v>
      </c>
      <c r="B1107" t="s">
        <v>49</v>
      </c>
      <c r="C1107" t="s">
        <v>20</v>
      </c>
      <c r="D1107" t="s">
        <v>31</v>
      </c>
      <c r="E1107">
        <v>800</v>
      </c>
      <c r="F1107" t="s">
        <v>41</v>
      </c>
      <c r="G1107" t="s">
        <v>39</v>
      </c>
    </row>
    <row r="1108" spans="1:7" x14ac:dyDescent="0.3">
      <c r="A1108">
        <v>45500</v>
      </c>
      <c r="B1108" t="s">
        <v>19</v>
      </c>
      <c r="C1108" t="s">
        <v>20</v>
      </c>
      <c r="D1108" t="s">
        <v>21</v>
      </c>
      <c r="E1108">
        <v>500</v>
      </c>
      <c r="F1108" t="s">
        <v>32</v>
      </c>
      <c r="G1108" t="s">
        <v>47</v>
      </c>
    </row>
    <row r="1109" spans="1:7" x14ac:dyDescent="0.3">
      <c r="A1109">
        <v>45508</v>
      </c>
      <c r="B1109" t="s">
        <v>42</v>
      </c>
      <c r="C1109" t="s">
        <v>20</v>
      </c>
      <c r="D1109" t="s">
        <v>31</v>
      </c>
      <c r="E1109">
        <v>1000</v>
      </c>
      <c r="F1109" t="s">
        <v>22</v>
      </c>
      <c r="G1109" t="s">
        <v>28</v>
      </c>
    </row>
    <row r="1110" spans="1:7" x14ac:dyDescent="0.3">
      <c r="A1110">
        <v>45503</v>
      </c>
      <c r="B1110" t="s">
        <v>43</v>
      </c>
      <c r="C1110" t="s">
        <v>20</v>
      </c>
      <c r="D1110" t="s">
        <v>31</v>
      </c>
      <c r="E1110">
        <v>500</v>
      </c>
      <c r="F1110" t="s">
        <v>44</v>
      </c>
      <c r="G1110" t="s">
        <v>45</v>
      </c>
    </row>
    <row r="1111" spans="1:7" x14ac:dyDescent="0.3">
      <c r="A1111">
        <v>45508</v>
      </c>
      <c r="B1111" t="s">
        <v>42</v>
      </c>
      <c r="C1111" t="s">
        <v>20</v>
      </c>
      <c r="D1111" t="s">
        <v>31</v>
      </c>
      <c r="E1111">
        <v>1000</v>
      </c>
      <c r="F1111" t="s">
        <v>22</v>
      </c>
      <c r="G1111" t="s">
        <v>28</v>
      </c>
    </row>
    <row r="1112" spans="1:7" x14ac:dyDescent="0.3">
      <c r="A1112">
        <v>45505</v>
      </c>
      <c r="B1112" t="s">
        <v>49</v>
      </c>
      <c r="C1112" t="s">
        <v>20</v>
      </c>
      <c r="D1112" t="s">
        <v>31</v>
      </c>
      <c r="E1112">
        <v>800</v>
      </c>
      <c r="F1112" t="s">
        <v>41</v>
      </c>
      <c r="G1112" t="s">
        <v>39</v>
      </c>
    </row>
    <row r="1113" spans="1:7" x14ac:dyDescent="0.3">
      <c r="A1113">
        <v>45507</v>
      </c>
      <c r="B1113" t="s">
        <v>33</v>
      </c>
      <c r="C1113" t="s">
        <v>26</v>
      </c>
      <c r="D1113" t="s">
        <v>21</v>
      </c>
      <c r="E1113">
        <v>1000</v>
      </c>
      <c r="F1113" t="s">
        <v>34</v>
      </c>
      <c r="G1113" t="s">
        <v>35</v>
      </c>
    </row>
    <row r="1114" spans="1:7" x14ac:dyDescent="0.3">
      <c r="A1114">
        <v>45508</v>
      </c>
      <c r="B1114" t="s">
        <v>42</v>
      </c>
      <c r="C1114" t="s">
        <v>20</v>
      </c>
      <c r="D1114" t="s">
        <v>31</v>
      </c>
      <c r="E1114">
        <v>1000</v>
      </c>
      <c r="F1114" t="s">
        <v>22</v>
      </c>
      <c r="G1114" t="s">
        <v>28</v>
      </c>
    </row>
    <row r="1115" spans="1:7" x14ac:dyDescent="0.3">
      <c r="A1115">
        <v>45511</v>
      </c>
      <c r="B1115" t="s">
        <v>46</v>
      </c>
      <c r="C1115" t="s">
        <v>20</v>
      </c>
      <c r="D1115" t="s">
        <v>27</v>
      </c>
      <c r="E1115">
        <v>1000</v>
      </c>
      <c r="F1115" t="s">
        <v>22</v>
      </c>
      <c r="G1115" t="s">
        <v>28</v>
      </c>
    </row>
    <row r="1116" spans="1:7" x14ac:dyDescent="0.3">
      <c r="A1116">
        <v>45513</v>
      </c>
      <c r="B1116" t="s">
        <v>19</v>
      </c>
      <c r="C1116" t="s">
        <v>20</v>
      </c>
      <c r="D1116" t="s">
        <v>21</v>
      </c>
      <c r="E1116">
        <v>1000</v>
      </c>
      <c r="F1116" t="s">
        <v>22</v>
      </c>
      <c r="G1116" t="s">
        <v>23</v>
      </c>
    </row>
    <row r="1117" spans="1:7" x14ac:dyDescent="0.3">
      <c r="A1117">
        <v>45508</v>
      </c>
      <c r="B1117" t="s">
        <v>42</v>
      </c>
      <c r="C1117" t="s">
        <v>20</v>
      </c>
      <c r="D1117" t="s">
        <v>31</v>
      </c>
      <c r="E1117">
        <v>1000</v>
      </c>
      <c r="F1117" t="s">
        <v>22</v>
      </c>
      <c r="G1117" t="s">
        <v>28</v>
      </c>
    </row>
    <row r="1118" spans="1:7" x14ac:dyDescent="0.3">
      <c r="A1118">
        <v>45500</v>
      </c>
      <c r="B1118" t="s">
        <v>19</v>
      </c>
      <c r="C1118" t="s">
        <v>20</v>
      </c>
      <c r="D1118" t="s">
        <v>21</v>
      </c>
      <c r="E1118">
        <v>500</v>
      </c>
      <c r="F1118" t="s">
        <v>32</v>
      </c>
      <c r="G1118" t="s">
        <v>47</v>
      </c>
    </row>
    <row r="1119" spans="1:7" x14ac:dyDescent="0.3">
      <c r="A1119">
        <v>45513</v>
      </c>
      <c r="B1119" t="s">
        <v>19</v>
      </c>
      <c r="C1119" t="s">
        <v>20</v>
      </c>
      <c r="D1119" t="s">
        <v>21</v>
      </c>
      <c r="E1119">
        <v>1000</v>
      </c>
      <c r="F1119" t="s">
        <v>22</v>
      </c>
      <c r="G1119" t="s">
        <v>23</v>
      </c>
    </row>
    <row r="1120" spans="1:7" x14ac:dyDescent="0.3">
      <c r="A1120">
        <v>45501</v>
      </c>
      <c r="B1120" t="s">
        <v>25</v>
      </c>
      <c r="C1120" t="s">
        <v>26</v>
      </c>
      <c r="D1120" t="s">
        <v>27</v>
      </c>
      <c r="E1120">
        <v>1000</v>
      </c>
      <c r="F1120" t="s">
        <v>22</v>
      </c>
      <c r="G1120" t="s">
        <v>28</v>
      </c>
    </row>
    <row r="1121" spans="1:7" x14ac:dyDescent="0.3">
      <c r="A1121">
        <v>45512</v>
      </c>
      <c r="B1121" t="s">
        <v>36</v>
      </c>
      <c r="C1121" t="s">
        <v>26</v>
      </c>
      <c r="D1121" t="s">
        <v>21</v>
      </c>
      <c r="E1121">
        <v>1000</v>
      </c>
      <c r="F1121" t="s">
        <v>37</v>
      </c>
      <c r="G1121" t="s">
        <v>28</v>
      </c>
    </row>
    <row r="1122" spans="1:7" x14ac:dyDescent="0.3">
      <c r="A1122">
        <v>45506</v>
      </c>
      <c r="B1122" t="s">
        <v>38</v>
      </c>
      <c r="C1122" t="s">
        <v>26</v>
      </c>
      <c r="D1122" t="s">
        <v>21</v>
      </c>
      <c r="E1122">
        <v>1000</v>
      </c>
      <c r="F1122" t="s">
        <v>34</v>
      </c>
      <c r="G1122" t="s">
        <v>39</v>
      </c>
    </row>
    <row r="1123" spans="1:7" x14ac:dyDescent="0.3">
      <c r="A1123">
        <v>45507</v>
      </c>
      <c r="B1123" t="s">
        <v>33</v>
      </c>
      <c r="C1123" t="s">
        <v>26</v>
      </c>
      <c r="D1123" t="s">
        <v>21</v>
      </c>
      <c r="E1123">
        <v>1000</v>
      </c>
      <c r="F1123" t="s">
        <v>34</v>
      </c>
      <c r="G1123" t="s">
        <v>35</v>
      </c>
    </row>
    <row r="1124" spans="1:7" x14ac:dyDescent="0.3">
      <c r="A1124">
        <v>45503</v>
      </c>
      <c r="B1124" t="s">
        <v>43</v>
      </c>
      <c r="C1124" t="s">
        <v>20</v>
      </c>
      <c r="D1124" t="s">
        <v>31</v>
      </c>
      <c r="E1124">
        <v>500</v>
      </c>
      <c r="F1124" t="s">
        <v>44</v>
      </c>
      <c r="G1124" t="s">
        <v>45</v>
      </c>
    </row>
    <row r="1125" spans="1:7" x14ac:dyDescent="0.3">
      <c r="A1125">
        <v>45507</v>
      </c>
      <c r="B1125" t="s">
        <v>33</v>
      </c>
      <c r="C1125" t="s">
        <v>26</v>
      </c>
      <c r="D1125" t="s">
        <v>21</v>
      </c>
      <c r="E1125">
        <v>1000</v>
      </c>
      <c r="F1125" t="s">
        <v>34</v>
      </c>
      <c r="G1125" t="s">
        <v>35</v>
      </c>
    </row>
    <row r="1126" spans="1:7" x14ac:dyDescent="0.3">
      <c r="A1126">
        <v>45503</v>
      </c>
      <c r="B1126" t="s">
        <v>43</v>
      </c>
      <c r="C1126" t="s">
        <v>20</v>
      </c>
      <c r="D1126" t="s">
        <v>31</v>
      </c>
      <c r="E1126">
        <v>500</v>
      </c>
      <c r="F1126" t="s">
        <v>44</v>
      </c>
      <c r="G1126" t="s">
        <v>45</v>
      </c>
    </row>
    <row r="1127" spans="1:7" x14ac:dyDescent="0.3">
      <c r="A1127">
        <v>45502</v>
      </c>
      <c r="B1127" t="s">
        <v>40</v>
      </c>
      <c r="C1127" t="s">
        <v>20</v>
      </c>
      <c r="D1127" t="s">
        <v>31</v>
      </c>
      <c r="E1127">
        <v>800</v>
      </c>
      <c r="F1127" t="s">
        <v>41</v>
      </c>
      <c r="G1127" t="s">
        <v>23</v>
      </c>
    </row>
    <row r="1128" spans="1:7" x14ac:dyDescent="0.3">
      <c r="A1128">
        <v>45514</v>
      </c>
      <c r="B1128" t="s">
        <v>43</v>
      </c>
      <c r="C1128" t="s">
        <v>20</v>
      </c>
      <c r="D1128" t="s">
        <v>31</v>
      </c>
      <c r="E1128">
        <v>1000</v>
      </c>
      <c r="F1128" t="s">
        <v>41</v>
      </c>
      <c r="G1128" t="s">
        <v>47</v>
      </c>
    </row>
    <row r="1129" spans="1:7" x14ac:dyDescent="0.3">
      <c r="A1129">
        <v>45509</v>
      </c>
      <c r="B1129" t="s">
        <v>30</v>
      </c>
      <c r="C1129" t="s">
        <v>26</v>
      </c>
      <c r="D1129" t="s">
        <v>31</v>
      </c>
      <c r="E1129">
        <v>500</v>
      </c>
      <c r="F1129" t="s">
        <v>32</v>
      </c>
      <c r="G1129" t="s">
        <v>23</v>
      </c>
    </row>
    <row r="1130" spans="1:7" x14ac:dyDescent="0.3">
      <c r="A1130">
        <v>45501</v>
      </c>
      <c r="B1130" t="s">
        <v>25</v>
      </c>
      <c r="C1130" t="s">
        <v>26</v>
      </c>
      <c r="D1130" t="s">
        <v>27</v>
      </c>
      <c r="E1130">
        <v>1000</v>
      </c>
      <c r="F1130" t="s">
        <v>22</v>
      </c>
      <c r="G1130" t="s">
        <v>28</v>
      </c>
    </row>
    <row r="1131" spans="1:7" x14ac:dyDescent="0.3">
      <c r="A1131">
        <v>45512</v>
      </c>
      <c r="B1131" t="s">
        <v>36</v>
      </c>
      <c r="C1131" t="s">
        <v>26</v>
      </c>
      <c r="D1131" t="s">
        <v>21</v>
      </c>
      <c r="E1131">
        <v>1000</v>
      </c>
      <c r="F1131" t="s">
        <v>37</v>
      </c>
      <c r="G1131" t="s">
        <v>28</v>
      </c>
    </row>
    <row r="1132" spans="1:7" x14ac:dyDescent="0.3">
      <c r="A1132">
        <v>45502</v>
      </c>
      <c r="B1132" t="s">
        <v>40</v>
      </c>
      <c r="C1132" t="s">
        <v>20</v>
      </c>
      <c r="D1132" t="s">
        <v>31</v>
      </c>
      <c r="E1132">
        <v>800</v>
      </c>
      <c r="F1132" t="s">
        <v>41</v>
      </c>
      <c r="G1132" t="s">
        <v>23</v>
      </c>
    </row>
    <row r="1133" spans="1:7" x14ac:dyDescent="0.3">
      <c r="A1133">
        <v>45504</v>
      </c>
      <c r="B1133" t="s">
        <v>29</v>
      </c>
      <c r="C1133" t="s">
        <v>26</v>
      </c>
      <c r="D1133" t="s">
        <v>27</v>
      </c>
      <c r="E1133">
        <v>1000</v>
      </c>
      <c r="F1133" t="s">
        <v>22</v>
      </c>
      <c r="G1133" t="s">
        <v>28</v>
      </c>
    </row>
    <row r="1134" spans="1:7" x14ac:dyDescent="0.3">
      <c r="A1134">
        <v>45504</v>
      </c>
      <c r="B1134" t="s">
        <v>29</v>
      </c>
      <c r="C1134" t="s">
        <v>26</v>
      </c>
      <c r="D1134" t="s">
        <v>27</v>
      </c>
      <c r="E1134">
        <v>1000</v>
      </c>
      <c r="F1134" t="s">
        <v>22</v>
      </c>
      <c r="G1134" t="s">
        <v>28</v>
      </c>
    </row>
    <row r="1135" spans="1:7" x14ac:dyDescent="0.3">
      <c r="A1135">
        <v>45503</v>
      </c>
      <c r="B1135" t="s">
        <v>43</v>
      </c>
      <c r="C1135" t="s">
        <v>20</v>
      </c>
      <c r="D1135" t="s">
        <v>31</v>
      </c>
      <c r="E1135">
        <v>500</v>
      </c>
      <c r="F1135" t="s">
        <v>44</v>
      </c>
      <c r="G1135" t="s">
        <v>45</v>
      </c>
    </row>
    <row r="1136" spans="1:7" x14ac:dyDescent="0.3">
      <c r="A1136">
        <v>45510</v>
      </c>
      <c r="B1136" t="s">
        <v>48</v>
      </c>
      <c r="C1136" t="s">
        <v>20</v>
      </c>
      <c r="D1136" t="s">
        <v>27</v>
      </c>
      <c r="E1136">
        <v>1000</v>
      </c>
      <c r="F1136" t="s">
        <v>22</v>
      </c>
      <c r="G1136" t="s">
        <v>28</v>
      </c>
    </row>
    <row r="1137" spans="1:7" x14ac:dyDescent="0.3">
      <c r="A1137">
        <v>45504</v>
      </c>
      <c r="B1137" t="s">
        <v>29</v>
      </c>
      <c r="C1137" t="s">
        <v>26</v>
      </c>
      <c r="D1137" t="s">
        <v>27</v>
      </c>
      <c r="E1137">
        <v>1000</v>
      </c>
      <c r="F1137" t="s">
        <v>22</v>
      </c>
      <c r="G1137" t="s">
        <v>28</v>
      </c>
    </row>
    <row r="1138" spans="1:7" x14ac:dyDescent="0.3">
      <c r="A1138">
        <v>45501</v>
      </c>
      <c r="B1138" t="s">
        <v>25</v>
      </c>
      <c r="C1138" t="s">
        <v>26</v>
      </c>
      <c r="D1138" t="s">
        <v>27</v>
      </c>
      <c r="E1138">
        <v>1000</v>
      </c>
      <c r="F1138" t="s">
        <v>22</v>
      </c>
      <c r="G1138" t="s">
        <v>28</v>
      </c>
    </row>
    <row r="1139" spans="1:7" x14ac:dyDescent="0.3">
      <c r="A1139">
        <v>45503</v>
      </c>
      <c r="B1139" t="s">
        <v>43</v>
      </c>
      <c r="C1139" t="s">
        <v>20</v>
      </c>
      <c r="D1139" t="s">
        <v>31</v>
      </c>
      <c r="E1139">
        <v>500</v>
      </c>
      <c r="F1139" t="s">
        <v>44</v>
      </c>
      <c r="G1139" t="s">
        <v>45</v>
      </c>
    </row>
    <row r="1140" spans="1:7" x14ac:dyDescent="0.3">
      <c r="A1140">
        <v>45505</v>
      </c>
      <c r="B1140" t="s">
        <v>49</v>
      </c>
      <c r="C1140" t="s">
        <v>20</v>
      </c>
      <c r="D1140" t="s">
        <v>31</v>
      </c>
      <c r="E1140">
        <v>800</v>
      </c>
      <c r="F1140" t="s">
        <v>41</v>
      </c>
      <c r="G1140" t="s">
        <v>39</v>
      </c>
    </row>
    <row r="1141" spans="1:7" x14ac:dyDescent="0.3">
      <c r="A1141">
        <v>45514</v>
      </c>
      <c r="B1141" t="s">
        <v>43</v>
      </c>
      <c r="C1141" t="s">
        <v>20</v>
      </c>
      <c r="D1141" t="s">
        <v>31</v>
      </c>
      <c r="E1141">
        <v>1000</v>
      </c>
      <c r="F1141" t="s">
        <v>41</v>
      </c>
      <c r="G1141" t="s">
        <v>47</v>
      </c>
    </row>
    <row r="1142" spans="1:7" x14ac:dyDescent="0.3">
      <c r="A1142">
        <v>45505</v>
      </c>
      <c r="B1142" t="s">
        <v>49</v>
      </c>
      <c r="C1142" t="s">
        <v>20</v>
      </c>
      <c r="D1142" t="s">
        <v>31</v>
      </c>
      <c r="E1142">
        <v>800</v>
      </c>
      <c r="F1142" t="s">
        <v>41</v>
      </c>
      <c r="G1142" t="s">
        <v>39</v>
      </c>
    </row>
    <row r="1143" spans="1:7" x14ac:dyDescent="0.3">
      <c r="A1143">
        <v>45503</v>
      </c>
      <c r="B1143" t="s">
        <v>43</v>
      </c>
      <c r="C1143" t="s">
        <v>20</v>
      </c>
      <c r="D1143" t="s">
        <v>31</v>
      </c>
      <c r="E1143">
        <v>500</v>
      </c>
      <c r="F1143" t="s">
        <v>44</v>
      </c>
      <c r="G1143" t="s">
        <v>45</v>
      </c>
    </row>
    <row r="1144" spans="1:7" x14ac:dyDescent="0.3">
      <c r="A1144">
        <v>45505</v>
      </c>
      <c r="B1144" t="s">
        <v>49</v>
      </c>
      <c r="C1144" t="s">
        <v>20</v>
      </c>
      <c r="D1144" t="s">
        <v>31</v>
      </c>
      <c r="E1144">
        <v>800</v>
      </c>
      <c r="F1144" t="s">
        <v>41</v>
      </c>
      <c r="G1144" t="s">
        <v>39</v>
      </c>
    </row>
    <row r="1145" spans="1:7" x14ac:dyDescent="0.3">
      <c r="A1145">
        <v>45513</v>
      </c>
      <c r="B1145" t="s">
        <v>19</v>
      </c>
      <c r="C1145" t="s">
        <v>20</v>
      </c>
      <c r="D1145" t="s">
        <v>21</v>
      </c>
      <c r="E1145">
        <v>1000</v>
      </c>
      <c r="F1145" t="s">
        <v>22</v>
      </c>
      <c r="G1145" t="s">
        <v>23</v>
      </c>
    </row>
    <row r="1146" spans="1:7" x14ac:dyDescent="0.3">
      <c r="A1146">
        <v>45507</v>
      </c>
      <c r="B1146" t="s">
        <v>33</v>
      </c>
      <c r="C1146" t="s">
        <v>26</v>
      </c>
      <c r="D1146" t="s">
        <v>21</v>
      </c>
      <c r="E1146">
        <v>1000</v>
      </c>
      <c r="F1146" t="s">
        <v>34</v>
      </c>
      <c r="G1146" t="s">
        <v>35</v>
      </c>
    </row>
    <row r="1147" spans="1:7" x14ac:dyDescent="0.3">
      <c r="A1147">
        <v>45514</v>
      </c>
      <c r="B1147" t="s">
        <v>43</v>
      </c>
      <c r="C1147" t="s">
        <v>20</v>
      </c>
      <c r="D1147" t="s">
        <v>31</v>
      </c>
      <c r="E1147">
        <v>1000</v>
      </c>
      <c r="F1147" t="s">
        <v>41</v>
      </c>
      <c r="G1147" t="s">
        <v>47</v>
      </c>
    </row>
    <row r="1148" spans="1:7" x14ac:dyDescent="0.3">
      <c r="A1148">
        <v>45509</v>
      </c>
      <c r="B1148" t="s">
        <v>30</v>
      </c>
      <c r="C1148" t="s">
        <v>26</v>
      </c>
      <c r="D1148" t="s">
        <v>31</v>
      </c>
      <c r="E1148">
        <v>500</v>
      </c>
      <c r="F1148" t="s">
        <v>32</v>
      </c>
      <c r="G1148" t="s">
        <v>23</v>
      </c>
    </row>
    <row r="1149" spans="1:7" x14ac:dyDescent="0.3">
      <c r="A1149">
        <v>45505</v>
      </c>
      <c r="B1149" t="s">
        <v>49</v>
      </c>
      <c r="C1149" t="s">
        <v>20</v>
      </c>
      <c r="D1149" t="s">
        <v>31</v>
      </c>
      <c r="E1149">
        <v>800</v>
      </c>
      <c r="F1149" t="s">
        <v>41</v>
      </c>
      <c r="G1149" t="s">
        <v>39</v>
      </c>
    </row>
    <row r="1150" spans="1:7" x14ac:dyDescent="0.3">
      <c r="A1150">
        <v>45508</v>
      </c>
      <c r="B1150" t="s">
        <v>42</v>
      </c>
      <c r="C1150" t="s">
        <v>20</v>
      </c>
      <c r="D1150" t="s">
        <v>31</v>
      </c>
      <c r="E1150">
        <v>1000</v>
      </c>
      <c r="F1150" t="s">
        <v>22</v>
      </c>
      <c r="G1150" t="s">
        <v>28</v>
      </c>
    </row>
    <row r="1151" spans="1:7" x14ac:dyDescent="0.3">
      <c r="A1151">
        <v>45508</v>
      </c>
      <c r="B1151" t="s">
        <v>42</v>
      </c>
      <c r="C1151" t="s">
        <v>20</v>
      </c>
      <c r="D1151" t="s">
        <v>31</v>
      </c>
      <c r="E1151">
        <v>1000</v>
      </c>
      <c r="F1151" t="s">
        <v>22</v>
      </c>
      <c r="G1151" t="s">
        <v>28</v>
      </c>
    </row>
    <row r="1152" spans="1:7" x14ac:dyDescent="0.3">
      <c r="A1152">
        <v>45505</v>
      </c>
      <c r="B1152" t="s">
        <v>49</v>
      </c>
      <c r="C1152" t="s">
        <v>20</v>
      </c>
      <c r="D1152" t="s">
        <v>31</v>
      </c>
      <c r="E1152">
        <v>800</v>
      </c>
      <c r="F1152" t="s">
        <v>41</v>
      </c>
      <c r="G1152" t="s">
        <v>39</v>
      </c>
    </row>
    <row r="1153" spans="1:7" x14ac:dyDescent="0.3">
      <c r="A1153">
        <v>45509</v>
      </c>
      <c r="B1153" t="s">
        <v>30</v>
      </c>
      <c r="C1153" t="s">
        <v>26</v>
      </c>
      <c r="D1153" t="s">
        <v>31</v>
      </c>
      <c r="E1153">
        <v>500</v>
      </c>
      <c r="F1153" t="s">
        <v>32</v>
      </c>
      <c r="G1153" t="s">
        <v>23</v>
      </c>
    </row>
    <row r="1154" spans="1:7" x14ac:dyDescent="0.3">
      <c r="A1154">
        <v>45509</v>
      </c>
      <c r="B1154" t="s">
        <v>30</v>
      </c>
      <c r="C1154" t="s">
        <v>26</v>
      </c>
      <c r="D1154" t="s">
        <v>31</v>
      </c>
      <c r="E1154">
        <v>500</v>
      </c>
      <c r="F1154" t="s">
        <v>32</v>
      </c>
      <c r="G1154" t="s">
        <v>23</v>
      </c>
    </row>
    <row r="1155" spans="1:7" x14ac:dyDescent="0.3">
      <c r="A1155">
        <v>45512</v>
      </c>
      <c r="B1155" t="s">
        <v>36</v>
      </c>
      <c r="C1155" t="s">
        <v>26</v>
      </c>
      <c r="D1155" t="s">
        <v>21</v>
      </c>
      <c r="E1155">
        <v>1000</v>
      </c>
      <c r="F1155" t="s">
        <v>37</v>
      </c>
      <c r="G1155" t="s">
        <v>28</v>
      </c>
    </row>
    <row r="1156" spans="1:7" x14ac:dyDescent="0.3">
      <c r="A1156">
        <v>45500</v>
      </c>
      <c r="B1156" t="s">
        <v>19</v>
      </c>
      <c r="C1156" t="s">
        <v>20</v>
      </c>
      <c r="D1156" t="s">
        <v>21</v>
      </c>
      <c r="E1156">
        <v>500</v>
      </c>
      <c r="F1156" t="s">
        <v>32</v>
      </c>
      <c r="G1156" t="s">
        <v>47</v>
      </c>
    </row>
    <row r="1157" spans="1:7" x14ac:dyDescent="0.3">
      <c r="A1157">
        <v>45509</v>
      </c>
      <c r="B1157" t="s">
        <v>30</v>
      </c>
      <c r="C1157" t="s">
        <v>26</v>
      </c>
      <c r="D1157" t="s">
        <v>31</v>
      </c>
      <c r="E1157">
        <v>500</v>
      </c>
      <c r="F1157" t="s">
        <v>32</v>
      </c>
      <c r="G1157" t="s">
        <v>23</v>
      </c>
    </row>
    <row r="1158" spans="1:7" x14ac:dyDescent="0.3">
      <c r="A1158">
        <v>45500</v>
      </c>
      <c r="B1158" t="s">
        <v>19</v>
      </c>
      <c r="C1158" t="s">
        <v>20</v>
      </c>
      <c r="D1158" t="s">
        <v>21</v>
      </c>
      <c r="E1158">
        <v>500</v>
      </c>
      <c r="F1158" t="s">
        <v>32</v>
      </c>
      <c r="G1158" t="s">
        <v>47</v>
      </c>
    </row>
    <row r="1159" spans="1:7" x14ac:dyDescent="0.3">
      <c r="A1159">
        <v>45510</v>
      </c>
      <c r="B1159" t="s">
        <v>48</v>
      </c>
      <c r="C1159" t="s">
        <v>20</v>
      </c>
      <c r="D1159" t="s">
        <v>27</v>
      </c>
      <c r="E1159">
        <v>1000</v>
      </c>
      <c r="F1159" t="s">
        <v>22</v>
      </c>
      <c r="G1159" t="s">
        <v>28</v>
      </c>
    </row>
    <row r="1160" spans="1:7" x14ac:dyDescent="0.3">
      <c r="A1160">
        <v>45500</v>
      </c>
      <c r="B1160" t="s">
        <v>19</v>
      </c>
      <c r="C1160" t="s">
        <v>20</v>
      </c>
      <c r="D1160" t="s">
        <v>21</v>
      </c>
      <c r="E1160">
        <v>500</v>
      </c>
      <c r="F1160" t="s">
        <v>32</v>
      </c>
      <c r="G1160" t="s">
        <v>47</v>
      </c>
    </row>
    <row r="1161" spans="1:7" x14ac:dyDescent="0.3">
      <c r="A1161">
        <v>45513</v>
      </c>
      <c r="B1161" t="s">
        <v>19</v>
      </c>
      <c r="C1161" t="s">
        <v>20</v>
      </c>
      <c r="D1161" t="s">
        <v>21</v>
      </c>
      <c r="E1161">
        <v>1000</v>
      </c>
      <c r="F1161" t="s">
        <v>22</v>
      </c>
      <c r="G1161" t="s">
        <v>23</v>
      </c>
    </row>
    <row r="1162" spans="1:7" x14ac:dyDescent="0.3">
      <c r="A1162">
        <v>45512</v>
      </c>
      <c r="B1162" t="s">
        <v>36</v>
      </c>
      <c r="C1162" t="s">
        <v>26</v>
      </c>
      <c r="D1162" t="s">
        <v>21</v>
      </c>
      <c r="E1162">
        <v>1000</v>
      </c>
      <c r="F1162" t="s">
        <v>37</v>
      </c>
      <c r="G1162" t="s">
        <v>28</v>
      </c>
    </row>
    <row r="1163" spans="1:7" x14ac:dyDescent="0.3">
      <c r="A1163">
        <v>45502</v>
      </c>
      <c r="B1163" t="s">
        <v>40</v>
      </c>
      <c r="C1163" t="s">
        <v>20</v>
      </c>
      <c r="D1163" t="s">
        <v>31</v>
      </c>
      <c r="E1163">
        <v>800</v>
      </c>
      <c r="F1163" t="s">
        <v>41</v>
      </c>
      <c r="G1163" t="s">
        <v>23</v>
      </c>
    </row>
    <row r="1164" spans="1:7" x14ac:dyDescent="0.3">
      <c r="A1164">
        <v>45503</v>
      </c>
      <c r="B1164" t="s">
        <v>43</v>
      </c>
      <c r="C1164" t="s">
        <v>20</v>
      </c>
      <c r="D1164" t="s">
        <v>31</v>
      </c>
      <c r="E1164">
        <v>500</v>
      </c>
      <c r="F1164" t="s">
        <v>44</v>
      </c>
      <c r="G1164" t="s">
        <v>45</v>
      </c>
    </row>
    <row r="1165" spans="1:7" x14ac:dyDescent="0.3">
      <c r="A1165">
        <v>45512</v>
      </c>
      <c r="B1165" t="s">
        <v>36</v>
      </c>
      <c r="C1165" t="s">
        <v>26</v>
      </c>
      <c r="D1165" t="s">
        <v>21</v>
      </c>
      <c r="E1165">
        <v>1000</v>
      </c>
      <c r="F1165" t="s">
        <v>37</v>
      </c>
      <c r="G1165" t="s">
        <v>28</v>
      </c>
    </row>
    <row r="1166" spans="1:7" x14ac:dyDescent="0.3">
      <c r="A1166">
        <v>45513</v>
      </c>
      <c r="B1166" t="s">
        <v>19</v>
      </c>
      <c r="C1166" t="s">
        <v>20</v>
      </c>
      <c r="D1166" t="s">
        <v>21</v>
      </c>
      <c r="E1166">
        <v>1000</v>
      </c>
      <c r="F1166" t="s">
        <v>22</v>
      </c>
      <c r="G1166" t="s">
        <v>23</v>
      </c>
    </row>
    <row r="1167" spans="1:7" x14ac:dyDescent="0.3">
      <c r="A1167">
        <v>45511</v>
      </c>
      <c r="B1167" t="s">
        <v>46</v>
      </c>
      <c r="C1167" t="s">
        <v>20</v>
      </c>
      <c r="D1167" t="s">
        <v>27</v>
      </c>
      <c r="E1167">
        <v>1000</v>
      </c>
      <c r="F1167" t="s">
        <v>22</v>
      </c>
      <c r="G1167" t="s">
        <v>28</v>
      </c>
    </row>
    <row r="1168" spans="1:7" x14ac:dyDescent="0.3">
      <c r="A1168">
        <v>45510</v>
      </c>
      <c r="B1168" t="s">
        <v>48</v>
      </c>
      <c r="C1168" t="s">
        <v>20</v>
      </c>
      <c r="D1168" t="s">
        <v>27</v>
      </c>
      <c r="E1168">
        <v>1000</v>
      </c>
      <c r="F1168" t="s">
        <v>22</v>
      </c>
      <c r="G1168" t="s">
        <v>28</v>
      </c>
    </row>
    <row r="1169" spans="1:7" x14ac:dyDescent="0.3">
      <c r="A1169">
        <v>45512</v>
      </c>
      <c r="B1169" t="s">
        <v>36</v>
      </c>
      <c r="C1169" t="s">
        <v>26</v>
      </c>
      <c r="D1169" t="s">
        <v>21</v>
      </c>
      <c r="E1169">
        <v>1000</v>
      </c>
      <c r="F1169" t="s">
        <v>37</v>
      </c>
      <c r="G1169" t="s">
        <v>28</v>
      </c>
    </row>
    <row r="1170" spans="1:7" x14ac:dyDescent="0.3">
      <c r="A1170">
        <v>45506</v>
      </c>
      <c r="B1170" t="s">
        <v>38</v>
      </c>
      <c r="C1170" t="s">
        <v>26</v>
      </c>
      <c r="D1170" t="s">
        <v>21</v>
      </c>
      <c r="E1170">
        <v>1000</v>
      </c>
      <c r="F1170" t="s">
        <v>34</v>
      </c>
      <c r="G1170" t="s">
        <v>39</v>
      </c>
    </row>
    <row r="1171" spans="1:7" x14ac:dyDescent="0.3">
      <c r="A1171">
        <v>45514</v>
      </c>
      <c r="B1171" t="s">
        <v>43</v>
      </c>
      <c r="C1171" t="s">
        <v>20</v>
      </c>
      <c r="D1171" t="s">
        <v>31</v>
      </c>
      <c r="E1171">
        <v>1000</v>
      </c>
      <c r="F1171" t="s">
        <v>41</v>
      </c>
      <c r="G1171" t="s">
        <v>47</v>
      </c>
    </row>
    <row r="1172" spans="1:7" x14ac:dyDescent="0.3">
      <c r="A1172">
        <v>45514</v>
      </c>
      <c r="B1172" t="s">
        <v>43</v>
      </c>
      <c r="C1172" t="s">
        <v>20</v>
      </c>
      <c r="D1172" t="s">
        <v>31</v>
      </c>
      <c r="E1172">
        <v>1000</v>
      </c>
      <c r="F1172" t="s">
        <v>41</v>
      </c>
      <c r="G1172" t="s">
        <v>47</v>
      </c>
    </row>
    <row r="1173" spans="1:7" x14ac:dyDescent="0.3">
      <c r="A1173">
        <v>45505</v>
      </c>
      <c r="B1173" t="s">
        <v>49</v>
      </c>
      <c r="C1173" t="s">
        <v>20</v>
      </c>
      <c r="D1173" t="s">
        <v>31</v>
      </c>
      <c r="E1173">
        <v>800</v>
      </c>
      <c r="F1173" t="s">
        <v>41</v>
      </c>
      <c r="G1173" t="s">
        <v>39</v>
      </c>
    </row>
    <row r="1174" spans="1:7" x14ac:dyDescent="0.3">
      <c r="A1174">
        <v>45506</v>
      </c>
      <c r="B1174" t="s">
        <v>38</v>
      </c>
      <c r="C1174" t="s">
        <v>26</v>
      </c>
      <c r="D1174" t="s">
        <v>21</v>
      </c>
      <c r="E1174">
        <v>1000</v>
      </c>
      <c r="F1174" t="s">
        <v>34</v>
      </c>
      <c r="G1174" t="s">
        <v>39</v>
      </c>
    </row>
    <row r="1175" spans="1:7" x14ac:dyDescent="0.3">
      <c r="A1175">
        <v>45500</v>
      </c>
      <c r="B1175" t="s">
        <v>19</v>
      </c>
      <c r="C1175" t="s">
        <v>20</v>
      </c>
      <c r="D1175" t="s">
        <v>21</v>
      </c>
      <c r="E1175">
        <v>500</v>
      </c>
      <c r="F1175" t="s">
        <v>32</v>
      </c>
      <c r="G1175" t="s">
        <v>47</v>
      </c>
    </row>
    <row r="1176" spans="1:7" x14ac:dyDescent="0.3">
      <c r="A1176">
        <v>45503</v>
      </c>
      <c r="B1176" t="s">
        <v>43</v>
      </c>
      <c r="C1176" t="s">
        <v>20</v>
      </c>
      <c r="D1176" t="s">
        <v>31</v>
      </c>
      <c r="E1176">
        <v>500</v>
      </c>
      <c r="F1176" t="s">
        <v>44</v>
      </c>
      <c r="G1176" t="s">
        <v>45</v>
      </c>
    </row>
    <row r="1177" spans="1:7" x14ac:dyDescent="0.3">
      <c r="A1177">
        <v>45503</v>
      </c>
      <c r="B1177" t="s">
        <v>43</v>
      </c>
      <c r="C1177" t="s">
        <v>20</v>
      </c>
      <c r="D1177" t="s">
        <v>31</v>
      </c>
      <c r="E1177">
        <v>500</v>
      </c>
      <c r="F1177" t="s">
        <v>44</v>
      </c>
      <c r="G1177" t="s">
        <v>45</v>
      </c>
    </row>
    <row r="1178" spans="1:7" x14ac:dyDescent="0.3">
      <c r="A1178">
        <v>45514</v>
      </c>
      <c r="B1178" t="s">
        <v>43</v>
      </c>
      <c r="C1178" t="s">
        <v>20</v>
      </c>
      <c r="D1178" t="s">
        <v>31</v>
      </c>
      <c r="E1178">
        <v>1000</v>
      </c>
      <c r="F1178" t="s">
        <v>41</v>
      </c>
      <c r="G1178" t="s">
        <v>47</v>
      </c>
    </row>
    <row r="1179" spans="1:7" x14ac:dyDescent="0.3">
      <c r="A1179">
        <v>45502</v>
      </c>
      <c r="B1179" t="s">
        <v>40</v>
      </c>
      <c r="C1179" t="s">
        <v>20</v>
      </c>
      <c r="D1179" t="s">
        <v>31</v>
      </c>
      <c r="E1179">
        <v>800</v>
      </c>
      <c r="F1179" t="s">
        <v>41</v>
      </c>
      <c r="G1179" t="s">
        <v>23</v>
      </c>
    </row>
    <row r="1180" spans="1:7" x14ac:dyDescent="0.3">
      <c r="A1180">
        <v>45509</v>
      </c>
      <c r="B1180" t="s">
        <v>30</v>
      </c>
      <c r="C1180" t="s">
        <v>26</v>
      </c>
      <c r="D1180" t="s">
        <v>31</v>
      </c>
      <c r="E1180">
        <v>500</v>
      </c>
      <c r="F1180" t="s">
        <v>32</v>
      </c>
      <c r="G1180" t="s">
        <v>23</v>
      </c>
    </row>
    <row r="1181" spans="1:7" x14ac:dyDescent="0.3">
      <c r="A1181">
        <v>45503</v>
      </c>
      <c r="B1181" t="s">
        <v>43</v>
      </c>
      <c r="C1181" t="s">
        <v>20</v>
      </c>
      <c r="D1181" t="s">
        <v>31</v>
      </c>
      <c r="E1181">
        <v>500</v>
      </c>
      <c r="F1181" t="s">
        <v>44</v>
      </c>
      <c r="G1181" t="s">
        <v>45</v>
      </c>
    </row>
    <row r="1182" spans="1:7" x14ac:dyDescent="0.3">
      <c r="A1182">
        <v>45509</v>
      </c>
      <c r="B1182" t="s">
        <v>30</v>
      </c>
      <c r="C1182" t="s">
        <v>26</v>
      </c>
      <c r="D1182" t="s">
        <v>31</v>
      </c>
      <c r="E1182">
        <v>500</v>
      </c>
      <c r="F1182" t="s">
        <v>32</v>
      </c>
      <c r="G1182" t="s">
        <v>23</v>
      </c>
    </row>
    <row r="1183" spans="1:7" x14ac:dyDescent="0.3">
      <c r="A1183">
        <v>45502</v>
      </c>
      <c r="B1183" t="s">
        <v>40</v>
      </c>
      <c r="C1183" t="s">
        <v>20</v>
      </c>
      <c r="D1183" t="s">
        <v>31</v>
      </c>
      <c r="E1183">
        <v>800</v>
      </c>
      <c r="F1183" t="s">
        <v>41</v>
      </c>
      <c r="G1183" t="s">
        <v>23</v>
      </c>
    </row>
    <row r="1184" spans="1:7" x14ac:dyDescent="0.3">
      <c r="A1184">
        <v>45505</v>
      </c>
      <c r="B1184" t="s">
        <v>49</v>
      </c>
      <c r="C1184" t="s">
        <v>20</v>
      </c>
      <c r="D1184" t="s">
        <v>31</v>
      </c>
      <c r="E1184">
        <v>800</v>
      </c>
      <c r="F1184" t="s">
        <v>41</v>
      </c>
      <c r="G1184" t="s">
        <v>39</v>
      </c>
    </row>
    <row r="1185" spans="1:7" x14ac:dyDescent="0.3">
      <c r="A1185">
        <v>45514</v>
      </c>
      <c r="B1185" t="s">
        <v>43</v>
      </c>
      <c r="C1185" t="s">
        <v>20</v>
      </c>
      <c r="D1185" t="s">
        <v>31</v>
      </c>
      <c r="E1185">
        <v>1000</v>
      </c>
      <c r="F1185" t="s">
        <v>41</v>
      </c>
      <c r="G1185" t="s">
        <v>47</v>
      </c>
    </row>
    <row r="1186" spans="1:7" x14ac:dyDescent="0.3">
      <c r="A1186">
        <v>45508</v>
      </c>
      <c r="B1186" t="s">
        <v>42</v>
      </c>
      <c r="C1186" t="s">
        <v>20</v>
      </c>
      <c r="D1186" t="s">
        <v>31</v>
      </c>
      <c r="E1186">
        <v>1000</v>
      </c>
      <c r="F1186" t="s">
        <v>22</v>
      </c>
      <c r="G1186" t="s">
        <v>28</v>
      </c>
    </row>
    <row r="1187" spans="1:7" x14ac:dyDescent="0.3">
      <c r="A1187">
        <v>45507</v>
      </c>
      <c r="B1187" t="s">
        <v>33</v>
      </c>
      <c r="C1187" t="s">
        <v>26</v>
      </c>
      <c r="D1187" t="s">
        <v>21</v>
      </c>
      <c r="E1187">
        <v>1000</v>
      </c>
      <c r="F1187" t="s">
        <v>34</v>
      </c>
      <c r="G1187" t="s">
        <v>35</v>
      </c>
    </row>
    <row r="1188" spans="1:7" x14ac:dyDescent="0.3">
      <c r="A1188">
        <v>45514</v>
      </c>
      <c r="B1188" t="s">
        <v>43</v>
      </c>
      <c r="C1188" t="s">
        <v>20</v>
      </c>
      <c r="D1188" t="s">
        <v>31</v>
      </c>
      <c r="E1188">
        <v>1000</v>
      </c>
      <c r="F1188" t="s">
        <v>41</v>
      </c>
      <c r="G1188" t="s">
        <v>47</v>
      </c>
    </row>
    <row r="1189" spans="1:7" x14ac:dyDescent="0.3">
      <c r="A1189">
        <v>45500</v>
      </c>
      <c r="B1189" t="s">
        <v>19</v>
      </c>
      <c r="C1189" t="s">
        <v>20</v>
      </c>
      <c r="D1189" t="s">
        <v>21</v>
      </c>
      <c r="E1189">
        <v>500</v>
      </c>
      <c r="F1189" t="s">
        <v>32</v>
      </c>
      <c r="G1189" t="s">
        <v>47</v>
      </c>
    </row>
    <row r="1190" spans="1:7" x14ac:dyDescent="0.3">
      <c r="A1190">
        <v>45504</v>
      </c>
      <c r="B1190" t="s">
        <v>29</v>
      </c>
      <c r="C1190" t="s">
        <v>26</v>
      </c>
      <c r="D1190" t="s">
        <v>27</v>
      </c>
      <c r="E1190">
        <v>1000</v>
      </c>
      <c r="F1190" t="s">
        <v>22</v>
      </c>
      <c r="G1190" t="s">
        <v>28</v>
      </c>
    </row>
    <row r="1191" spans="1:7" x14ac:dyDescent="0.3">
      <c r="A1191">
        <v>45500</v>
      </c>
      <c r="B1191" t="s">
        <v>19</v>
      </c>
      <c r="C1191" t="s">
        <v>20</v>
      </c>
      <c r="D1191" t="s">
        <v>21</v>
      </c>
      <c r="E1191">
        <v>500</v>
      </c>
      <c r="F1191" t="s">
        <v>32</v>
      </c>
      <c r="G1191" t="s">
        <v>47</v>
      </c>
    </row>
    <row r="1192" spans="1:7" x14ac:dyDescent="0.3">
      <c r="A1192">
        <v>45507</v>
      </c>
      <c r="B1192" t="s">
        <v>33</v>
      </c>
      <c r="C1192" t="s">
        <v>26</v>
      </c>
      <c r="D1192" t="s">
        <v>21</v>
      </c>
      <c r="E1192">
        <v>1000</v>
      </c>
      <c r="F1192" t="s">
        <v>34</v>
      </c>
      <c r="G1192" t="s">
        <v>35</v>
      </c>
    </row>
    <row r="1193" spans="1:7" x14ac:dyDescent="0.3">
      <c r="A1193">
        <v>45511</v>
      </c>
      <c r="B1193" t="s">
        <v>46</v>
      </c>
      <c r="C1193" t="s">
        <v>20</v>
      </c>
      <c r="D1193" t="s">
        <v>27</v>
      </c>
      <c r="E1193">
        <v>1000</v>
      </c>
      <c r="F1193" t="s">
        <v>22</v>
      </c>
      <c r="G1193" t="s">
        <v>28</v>
      </c>
    </row>
    <row r="1194" spans="1:7" x14ac:dyDescent="0.3">
      <c r="A1194">
        <v>45513</v>
      </c>
      <c r="B1194" t="s">
        <v>19</v>
      </c>
      <c r="C1194" t="s">
        <v>20</v>
      </c>
      <c r="D1194" t="s">
        <v>21</v>
      </c>
      <c r="E1194">
        <v>1000</v>
      </c>
      <c r="F1194" t="s">
        <v>22</v>
      </c>
      <c r="G1194" t="s">
        <v>23</v>
      </c>
    </row>
    <row r="1195" spans="1:7" x14ac:dyDescent="0.3">
      <c r="A1195">
        <v>45502</v>
      </c>
      <c r="B1195" t="s">
        <v>40</v>
      </c>
      <c r="C1195" t="s">
        <v>20</v>
      </c>
      <c r="D1195" t="s">
        <v>31</v>
      </c>
      <c r="E1195">
        <v>800</v>
      </c>
      <c r="F1195" t="s">
        <v>41</v>
      </c>
      <c r="G1195" t="s">
        <v>23</v>
      </c>
    </row>
    <row r="1196" spans="1:7" x14ac:dyDescent="0.3">
      <c r="A1196">
        <v>45503</v>
      </c>
      <c r="B1196" t="s">
        <v>43</v>
      </c>
      <c r="C1196" t="s">
        <v>20</v>
      </c>
      <c r="D1196" t="s">
        <v>31</v>
      </c>
      <c r="E1196">
        <v>500</v>
      </c>
      <c r="F1196" t="s">
        <v>44</v>
      </c>
      <c r="G1196" t="s">
        <v>45</v>
      </c>
    </row>
    <row r="1197" spans="1:7" x14ac:dyDescent="0.3">
      <c r="A1197">
        <v>45509</v>
      </c>
      <c r="B1197" t="s">
        <v>30</v>
      </c>
      <c r="C1197" t="s">
        <v>26</v>
      </c>
      <c r="D1197" t="s">
        <v>31</v>
      </c>
      <c r="E1197">
        <v>500</v>
      </c>
      <c r="F1197" t="s">
        <v>32</v>
      </c>
      <c r="G1197" t="s">
        <v>23</v>
      </c>
    </row>
    <row r="1198" spans="1:7" x14ac:dyDescent="0.3">
      <c r="A1198">
        <v>45502</v>
      </c>
      <c r="B1198" t="s">
        <v>40</v>
      </c>
      <c r="C1198" t="s">
        <v>20</v>
      </c>
      <c r="D1198" t="s">
        <v>31</v>
      </c>
      <c r="E1198">
        <v>800</v>
      </c>
      <c r="F1198" t="s">
        <v>41</v>
      </c>
      <c r="G1198" t="s">
        <v>23</v>
      </c>
    </row>
    <row r="1199" spans="1:7" x14ac:dyDescent="0.3">
      <c r="A1199">
        <v>45512</v>
      </c>
      <c r="B1199" t="s">
        <v>36</v>
      </c>
      <c r="C1199" t="s">
        <v>26</v>
      </c>
      <c r="D1199" t="s">
        <v>21</v>
      </c>
      <c r="E1199">
        <v>1000</v>
      </c>
      <c r="F1199" t="s">
        <v>37</v>
      </c>
      <c r="G1199" t="s">
        <v>28</v>
      </c>
    </row>
    <row r="1200" spans="1:7" x14ac:dyDescent="0.3">
      <c r="A1200">
        <v>45507</v>
      </c>
      <c r="B1200" t="s">
        <v>33</v>
      </c>
      <c r="C1200" t="s">
        <v>26</v>
      </c>
      <c r="D1200" t="s">
        <v>21</v>
      </c>
      <c r="E1200">
        <v>1000</v>
      </c>
      <c r="F1200" t="s">
        <v>34</v>
      </c>
      <c r="G1200" t="s">
        <v>35</v>
      </c>
    </row>
    <row r="1201" spans="1:7" x14ac:dyDescent="0.3">
      <c r="A1201">
        <v>45508</v>
      </c>
      <c r="B1201" t="s">
        <v>42</v>
      </c>
      <c r="C1201" t="s">
        <v>20</v>
      </c>
      <c r="D1201" t="s">
        <v>31</v>
      </c>
      <c r="E1201">
        <v>1000</v>
      </c>
      <c r="F1201" t="s">
        <v>22</v>
      </c>
      <c r="G1201" t="s">
        <v>28</v>
      </c>
    </row>
    <row r="1202" spans="1:7" x14ac:dyDescent="0.3">
      <c r="A1202">
        <v>45500</v>
      </c>
      <c r="B1202" t="s">
        <v>19</v>
      </c>
      <c r="C1202" t="s">
        <v>20</v>
      </c>
      <c r="D1202" t="s">
        <v>21</v>
      </c>
      <c r="E1202">
        <v>500</v>
      </c>
      <c r="F1202" t="s">
        <v>32</v>
      </c>
      <c r="G1202" t="s">
        <v>47</v>
      </c>
    </row>
    <row r="1203" spans="1:7" x14ac:dyDescent="0.3">
      <c r="A1203">
        <v>45500</v>
      </c>
      <c r="B1203" t="s">
        <v>19</v>
      </c>
      <c r="C1203" t="s">
        <v>20</v>
      </c>
      <c r="D1203" t="s">
        <v>21</v>
      </c>
      <c r="E1203">
        <v>500</v>
      </c>
      <c r="F1203" t="s">
        <v>32</v>
      </c>
      <c r="G1203" t="s">
        <v>47</v>
      </c>
    </row>
    <row r="1204" spans="1:7" x14ac:dyDescent="0.3">
      <c r="A1204">
        <v>45507</v>
      </c>
      <c r="B1204" t="s">
        <v>33</v>
      </c>
      <c r="C1204" t="s">
        <v>26</v>
      </c>
      <c r="D1204" t="s">
        <v>21</v>
      </c>
      <c r="E1204">
        <v>1000</v>
      </c>
      <c r="F1204" t="s">
        <v>34</v>
      </c>
      <c r="G1204" t="s">
        <v>35</v>
      </c>
    </row>
    <row r="1205" spans="1:7" x14ac:dyDescent="0.3">
      <c r="A1205">
        <v>45510</v>
      </c>
      <c r="B1205" t="s">
        <v>48</v>
      </c>
      <c r="C1205" t="s">
        <v>20</v>
      </c>
      <c r="D1205" t="s">
        <v>27</v>
      </c>
      <c r="E1205">
        <v>1000</v>
      </c>
      <c r="F1205" t="s">
        <v>22</v>
      </c>
      <c r="G1205" t="s">
        <v>28</v>
      </c>
    </row>
    <row r="1206" spans="1:7" x14ac:dyDescent="0.3">
      <c r="A1206">
        <v>45508</v>
      </c>
      <c r="B1206" t="s">
        <v>42</v>
      </c>
      <c r="C1206" t="s">
        <v>20</v>
      </c>
      <c r="D1206" t="s">
        <v>31</v>
      </c>
      <c r="E1206">
        <v>1000</v>
      </c>
      <c r="F1206" t="s">
        <v>22</v>
      </c>
      <c r="G1206" t="s">
        <v>28</v>
      </c>
    </row>
    <row r="1207" spans="1:7" x14ac:dyDescent="0.3">
      <c r="A1207">
        <v>45506</v>
      </c>
      <c r="B1207" t="s">
        <v>38</v>
      </c>
      <c r="C1207" t="s">
        <v>26</v>
      </c>
      <c r="D1207" t="s">
        <v>21</v>
      </c>
      <c r="E1207">
        <v>1000</v>
      </c>
      <c r="F1207" t="s">
        <v>34</v>
      </c>
      <c r="G1207" t="s">
        <v>39</v>
      </c>
    </row>
    <row r="1208" spans="1:7" x14ac:dyDescent="0.3">
      <c r="A1208">
        <v>45513</v>
      </c>
      <c r="B1208" t="s">
        <v>19</v>
      </c>
      <c r="C1208" t="s">
        <v>20</v>
      </c>
      <c r="D1208" t="s">
        <v>21</v>
      </c>
      <c r="E1208">
        <v>1000</v>
      </c>
      <c r="F1208" t="s">
        <v>22</v>
      </c>
      <c r="G1208" t="s">
        <v>23</v>
      </c>
    </row>
    <row r="1209" spans="1:7" x14ac:dyDescent="0.3">
      <c r="A1209">
        <v>45511</v>
      </c>
      <c r="B1209" t="s">
        <v>46</v>
      </c>
      <c r="C1209" t="s">
        <v>20</v>
      </c>
      <c r="D1209" t="s">
        <v>27</v>
      </c>
      <c r="E1209">
        <v>1000</v>
      </c>
      <c r="F1209" t="s">
        <v>22</v>
      </c>
      <c r="G1209" t="s">
        <v>28</v>
      </c>
    </row>
    <row r="1210" spans="1:7" x14ac:dyDescent="0.3">
      <c r="A1210">
        <v>45507</v>
      </c>
      <c r="B1210" t="s">
        <v>33</v>
      </c>
      <c r="C1210" t="s">
        <v>26</v>
      </c>
      <c r="D1210" t="s">
        <v>21</v>
      </c>
      <c r="E1210">
        <v>1000</v>
      </c>
      <c r="F1210" t="s">
        <v>34</v>
      </c>
      <c r="G1210" t="s">
        <v>35</v>
      </c>
    </row>
    <row r="1211" spans="1:7" x14ac:dyDescent="0.3">
      <c r="A1211">
        <v>45501</v>
      </c>
      <c r="B1211" t="s">
        <v>25</v>
      </c>
      <c r="C1211" t="s">
        <v>26</v>
      </c>
      <c r="D1211" t="s">
        <v>27</v>
      </c>
      <c r="E1211">
        <v>1000</v>
      </c>
      <c r="F1211" t="s">
        <v>22</v>
      </c>
      <c r="G1211" t="s">
        <v>28</v>
      </c>
    </row>
    <row r="1212" spans="1:7" x14ac:dyDescent="0.3">
      <c r="A1212">
        <v>45513</v>
      </c>
      <c r="B1212" t="s">
        <v>19</v>
      </c>
      <c r="C1212" t="s">
        <v>20</v>
      </c>
      <c r="D1212" t="s">
        <v>21</v>
      </c>
      <c r="E1212">
        <v>1000</v>
      </c>
      <c r="F1212" t="s">
        <v>22</v>
      </c>
      <c r="G1212" t="s">
        <v>23</v>
      </c>
    </row>
    <row r="1213" spans="1:7" x14ac:dyDescent="0.3">
      <c r="A1213">
        <v>45506</v>
      </c>
      <c r="B1213" t="s">
        <v>38</v>
      </c>
      <c r="C1213" t="s">
        <v>26</v>
      </c>
      <c r="D1213" t="s">
        <v>21</v>
      </c>
      <c r="E1213">
        <v>1000</v>
      </c>
      <c r="F1213" t="s">
        <v>34</v>
      </c>
      <c r="G1213" t="s">
        <v>39</v>
      </c>
    </row>
    <row r="1214" spans="1:7" x14ac:dyDescent="0.3">
      <c r="A1214">
        <v>45503</v>
      </c>
      <c r="B1214" t="s">
        <v>43</v>
      </c>
      <c r="C1214" t="s">
        <v>20</v>
      </c>
      <c r="D1214" t="s">
        <v>31</v>
      </c>
      <c r="E1214">
        <v>500</v>
      </c>
      <c r="F1214" t="s">
        <v>44</v>
      </c>
      <c r="G1214" t="s">
        <v>45</v>
      </c>
    </row>
    <row r="1215" spans="1:7" x14ac:dyDescent="0.3">
      <c r="A1215">
        <v>45504</v>
      </c>
      <c r="B1215" t="s">
        <v>29</v>
      </c>
      <c r="C1215" t="s">
        <v>26</v>
      </c>
      <c r="D1215" t="s">
        <v>27</v>
      </c>
      <c r="E1215">
        <v>1000</v>
      </c>
      <c r="F1215" t="s">
        <v>22</v>
      </c>
      <c r="G1215" t="s">
        <v>28</v>
      </c>
    </row>
    <row r="1216" spans="1:7" x14ac:dyDescent="0.3">
      <c r="A1216">
        <v>45514</v>
      </c>
      <c r="B1216" t="s">
        <v>43</v>
      </c>
      <c r="C1216" t="s">
        <v>20</v>
      </c>
      <c r="D1216" t="s">
        <v>31</v>
      </c>
      <c r="E1216">
        <v>1000</v>
      </c>
      <c r="F1216" t="s">
        <v>41</v>
      </c>
      <c r="G1216" t="s">
        <v>47</v>
      </c>
    </row>
    <row r="1217" spans="1:7" x14ac:dyDescent="0.3">
      <c r="A1217">
        <v>45504</v>
      </c>
      <c r="B1217" t="s">
        <v>29</v>
      </c>
      <c r="C1217" t="s">
        <v>26</v>
      </c>
      <c r="D1217" t="s">
        <v>27</v>
      </c>
      <c r="E1217">
        <v>1000</v>
      </c>
      <c r="F1217" t="s">
        <v>22</v>
      </c>
      <c r="G1217" t="s">
        <v>28</v>
      </c>
    </row>
    <row r="1218" spans="1:7" x14ac:dyDescent="0.3">
      <c r="A1218">
        <v>45501</v>
      </c>
      <c r="B1218" t="s">
        <v>25</v>
      </c>
      <c r="C1218" t="s">
        <v>26</v>
      </c>
      <c r="D1218" t="s">
        <v>27</v>
      </c>
      <c r="E1218">
        <v>1000</v>
      </c>
      <c r="F1218" t="s">
        <v>22</v>
      </c>
      <c r="G1218" t="s">
        <v>28</v>
      </c>
    </row>
    <row r="1219" spans="1:7" x14ac:dyDescent="0.3">
      <c r="A1219">
        <v>45507</v>
      </c>
      <c r="B1219" t="s">
        <v>33</v>
      </c>
      <c r="C1219" t="s">
        <v>26</v>
      </c>
      <c r="D1219" t="s">
        <v>21</v>
      </c>
      <c r="E1219">
        <v>1000</v>
      </c>
      <c r="F1219" t="s">
        <v>34</v>
      </c>
      <c r="G1219" t="s">
        <v>35</v>
      </c>
    </row>
    <row r="1220" spans="1:7" x14ac:dyDescent="0.3">
      <c r="A1220">
        <v>45506</v>
      </c>
      <c r="B1220" t="s">
        <v>38</v>
      </c>
      <c r="C1220" t="s">
        <v>26</v>
      </c>
      <c r="D1220" t="s">
        <v>21</v>
      </c>
      <c r="E1220">
        <v>1000</v>
      </c>
      <c r="F1220" t="s">
        <v>34</v>
      </c>
      <c r="G1220" t="s">
        <v>39</v>
      </c>
    </row>
    <row r="1221" spans="1:7" x14ac:dyDescent="0.3">
      <c r="A1221">
        <v>45502</v>
      </c>
      <c r="B1221" t="s">
        <v>40</v>
      </c>
      <c r="C1221" t="s">
        <v>20</v>
      </c>
      <c r="D1221" t="s">
        <v>31</v>
      </c>
      <c r="E1221">
        <v>800</v>
      </c>
      <c r="F1221" t="s">
        <v>41</v>
      </c>
      <c r="G1221" t="s">
        <v>23</v>
      </c>
    </row>
    <row r="1222" spans="1:7" x14ac:dyDescent="0.3">
      <c r="A1222">
        <v>45502</v>
      </c>
      <c r="B1222" t="s">
        <v>40</v>
      </c>
      <c r="C1222" t="s">
        <v>20</v>
      </c>
      <c r="D1222" t="s">
        <v>31</v>
      </c>
      <c r="E1222">
        <v>800</v>
      </c>
      <c r="F1222" t="s">
        <v>41</v>
      </c>
      <c r="G1222" t="s">
        <v>23</v>
      </c>
    </row>
    <row r="1223" spans="1:7" x14ac:dyDescent="0.3">
      <c r="A1223">
        <v>45513</v>
      </c>
      <c r="B1223" t="s">
        <v>19</v>
      </c>
      <c r="C1223" t="s">
        <v>20</v>
      </c>
      <c r="D1223" t="s">
        <v>21</v>
      </c>
      <c r="E1223">
        <v>1000</v>
      </c>
      <c r="F1223" t="s">
        <v>22</v>
      </c>
      <c r="G1223" t="s">
        <v>23</v>
      </c>
    </row>
    <row r="1224" spans="1:7" x14ac:dyDescent="0.3">
      <c r="A1224">
        <v>45503</v>
      </c>
      <c r="B1224" t="s">
        <v>43</v>
      </c>
      <c r="C1224" t="s">
        <v>20</v>
      </c>
      <c r="D1224" t="s">
        <v>31</v>
      </c>
      <c r="E1224">
        <v>500</v>
      </c>
      <c r="F1224" t="s">
        <v>44</v>
      </c>
      <c r="G1224" t="s">
        <v>45</v>
      </c>
    </row>
    <row r="1225" spans="1:7" x14ac:dyDescent="0.3">
      <c r="A1225">
        <v>45514</v>
      </c>
      <c r="B1225" t="s">
        <v>43</v>
      </c>
      <c r="C1225" t="s">
        <v>20</v>
      </c>
      <c r="D1225" t="s">
        <v>31</v>
      </c>
      <c r="E1225">
        <v>1000</v>
      </c>
      <c r="F1225" t="s">
        <v>41</v>
      </c>
      <c r="G1225" t="s">
        <v>47</v>
      </c>
    </row>
    <row r="1226" spans="1:7" x14ac:dyDescent="0.3">
      <c r="A1226">
        <v>45512</v>
      </c>
      <c r="B1226" t="s">
        <v>36</v>
      </c>
      <c r="C1226" t="s">
        <v>26</v>
      </c>
      <c r="D1226" t="s">
        <v>21</v>
      </c>
      <c r="E1226">
        <v>1000</v>
      </c>
      <c r="F1226" t="s">
        <v>37</v>
      </c>
      <c r="G1226" t="s">
        <v>28</v>
      </c>
    </row>
    <row r="1227" spans="1:7" x14ac:dyDescent="0.3">
      <c r="A1227">
        <v>45506</v>
      </c>
      <c r="B1227" t="s">
        <v>38</v>
      </c>
      <c r="C1227" t="s">
        <v>26</v>
      </c>
      <c r="D1227" t="s">
        <v>21</v>
      </c>
      <c r="E1227">
        <v>1000</v>
      </c>
      <c r="F1227" t="s">
        <v>34</v>
      </c>
      <c r="G1227" t="s">
        <v>39</v>
      </c>
    </row>
    <row r="1228" spans="1:7" x14ac:dyDescent="0.3">
      <c r="A1228">
        <v>45508</v>
      </c>
      <c r="B1228" t="s">
        <v>42</v>
      </c>
      <c r="C1228" t="s">
        <v>20</v>
      </c>
      <c r="D1228" t="s">
        <v>31</v>
      </c>
      <c r="E1228">
        <v>1000</v>
      </c>
      <c r="F1228" t="s">
        <v>22</v>
      </c>
      <c r="G1228" t="s">
        <v>28</v>
      </c>
    </row>
    <row r="1229" spans="1:7" x14ac:dyDescent="0.3">
      <c r="A1229">
        <v>45507</v>
      </c>
      <c r="B1229" t="s">
        <v>33</v>
      </c>
      <c r="C1229" t="s">
        <v>26</v>
      </c>
      <c r="D1229" t="s">
        <v>21</v>
      </c>
      <c r="E1229">
        <v>1000</v>
      </c>
      <c r="F1229" t="s">
        <v>34</v>
      </c>
      <c r="G1229" t="s">
        <v>35</v>
      </c>
    </row>
    <row r="1230" spans="1:7" x14ac:dyDescent="0.3">
      <c r="A1230">
        <v>45502</v>
      </c>
      <c r="B1230" t="s">
        <v>40</v>
      </c>
      <c r="C1230" t="s">
        <v>20</v>
      </c>
      <c r="D1230" t="s">
        <v>31</v>
      </c>
      <c r="E1230">
        <v>800</v>
      </c>
      <c r="F1230" t="s">
        <v>41</v>
      </c>
      <c r="G1230" t="s">
        <v>23</v>
      </c>
    </row>
    <row r="1231" spans="1:7" x14ac:dyDescent="0.3">
      <c r="A1231">
        <v>45511</v>
      </c>
      <c r="B1231" t="s">
        <v>46</v>
      </c>
      <c r="C1231" t="s">
        <v>20</v>
      </c>
      <c r="D1231" t="s">
        <v>27</v>
      </c>
      <c r="E1231">
        <v>1000</v>
      </c>
      <c r="F1231" t="s">
        <v>22</v>
      </c>
      <c r="G1231" t="s">
        <v>28</v>
      </c>
    </row>
    <row r="1232" spans="1:7" x14ac:dyDescent="0.3">
      <c r="A1232">
        <v>45505</v>
      </c>
      <c r="B1232" t="s">
        <v>49</v>
      </c>
      <c r="C1232" t="s">
        <v>20</v>
      </c>
      <c r="D1232" t="s">
        <v>31</v>
      </c>
      <c r="E1232">
        <v>800</v>
      </c>
      <c r="F1232" t="s">
        <v>41</v>
      </c>
      <c r="G1232" t="s">
        <v>39</v>
      </c>
    </row>
    <row r="1233" spans="1:7" x14ac:dyDescent="0.3">
      <c r="A1233">
        <v>45508</v>
      </c>
      <c r="B1233" t="s">
        <v>42</v>
      </c>
      <c r="C1233" t="s">
        <v>20</v>
      </c>
      <c r="D1233" t="s">
        <v>31</v>
      </c>
      <c r="E1233">
        <v>1000</v>
      </c>
      <c r="F1233" t="s">
        <v>22</v>
      </c>
      <c r="G1233" t="s">
        <v>28</v>
      </c>
    </row>
    <row r="1234" spans="1:7" x14ac:dyDescent="0.3">
      <c r="A1234">
        <v>45506</v>
      </c>
      <c r="B1234" t="s">
        <v>38</v>
      </c>
      <c r="C1234" t="s">
        <v>26</v>
      </c>
      <c r="D1234" t="s">
        <v>21</v>
      </c>
      <c r="E1234">
        <v>1000</v>
      </c>
      <c r="F1234" t="s">
        <v>34</v>
      </c>
      <c r="G1234" t="s">
        <v>39</v>
      </c>
    </row>
    <row r="1235" spans="1:7" x14ac:dyDescent="0.3">
      <c r="A1235">
        <v>45502</v>
      </c>
      <c r="B1235" t="s">
        <v>40</v>
      </c>
      <c r="C1235" t="s">
        <v>20</v>
      </c>
      <c r="D1235" t="s">
        <v>31</v>
      </c>
      <c r="E1235">
        <v>800</v>
      </c>
      <c r="F1235" t="s">
        <v>41</v>
      </c>
      <c r="G1235" t="s">
        <v>23</v>
      </c>
    </row>
    <row r="1236" spans="1:7" x14ac:dyDescent="0.3">
      <c r="A1236">
        <v>45507</v>
      </c>
      <c r="B1236" t="s">
        <v>33</v>
      </c>
      <c r="C1236" t="s">
        <v>26</v>
      </c>
      <c r="D1236" t="s">
        <v>21</v>
      </c>
      <c r="E1236">
        <v>1000</v>
      </c>
      <c r="F1236" t="s">
        <v>34</v>
      </c>
      <c r="G1236" t="s">
        <v>35</v>
      </c>
    </row>
    <row r="1237" spans="1:7" x14ac:dyDescent="0.3">
      <c r="A1237">
        <v>45500</v>
      </c>
      <c r="B1237" t="s">
        <v>19</v>
      </c>
      <c r="C1237" t="s">
        <v>20</v>
      </c>
      <c r="D1237" t="s">
        <v>21</v>
      </c>
      <c r="E1237">
        <v>500</v>
      </c>
      <c r="F1237" t="s">
        <v>32</v>
      </c>
      <c r="G1237" t="s">
        <v>47</v>
      </c>
    </row>
    <row r="1238" spans="1:7" x14ac:dyDescent="0.3">
      <c r="A1238">
        <v>45508</v>
      </c>
      <c r="B1238" t="s">
        <v>42</v>
      </c>
      <c r="C1238" t="s">
        <v>20</v>
      </c>
      <c r="D1238" t="s">
        <v>31</v>
      </c>
      <c r="E1238">
        <v>1000</v>
      </c>
      <c r="F1238" t="s">
        <v>22</v>
      </c>
      <c r="G1238" t="s">
        <v>28</v>
      </c>
    </row>
    <row r="1239" spans="1:7" x14ac:dyDescent="0.3">
      <c r="A1239">
        <v>45504</v>
      </c>
      <c r="B1239" t="s">
        <v>29</v>
      </c>
      <c r="C1239" t="s">
        <v>26</v>
      </c>
      <c r="D1239" t="s">
        <v>27</v>
      </c>
      <c r="E1239">
        <v>1000</v>
      </c>
      <c r="F1239" t="s">
        <v>22</v>
      </c>
      <c r="G1239" t="s">
        <v>28</v>
      </c>
    </row>
    <row r="1240" spans="1:7" x14ac:dyDescent="0.3">
      <c r="A1240">
        <v>45511</v>
      </c>
      <c r="B1240" t="s">
        <v>46</v>
      </c>
      <c r="C1240" t="s">
        <v>20</v>
      </c>
      <c r="D1240" t="s">
        <v>27</v>
      </c>
      <c r="E1240">
        <v>1000</v>
      </c>
      <c r="F1240" t="s">
        <v>22</v>
      </c>
      <c r="G1240" t="s">
        <v>28</v>
      </c>
    </row>
    <row r="1241" spans="1:7" x14ac:dyDescent="0.3">
      <c r="A1241">
        <v>45512</v>
      </c>
      <c r="B1241" t="s">
        <v>36</v>
      </c>
      <c r="C1241" t="s">
        <v>26</v>
      </c>
      <c r="D1241" t="s">
        <v>21</v>
      </c>
      <c r="E1241">
        <v>1000</v>
      </c>
      <c r="F1241" t="s">
        <v>37</v>
      </c>
      <c r="G1241" t="s">
        <v>28</v>
      </c>
    </row>
    <row r="1242" spans="1:7" x14ac:dyDescent="0.3">
      <c r="A1242">
        <v>45509</v>
      </c>
      <c r="B1242" t="s">
        <v>30</v>
      </c>
      <c r="C1242" t="s">
        <v>26</v>
      </c>
      <c r="D1242" t="s">
        <v>31</v>
      </c>
      <c r="E1242">
        <v>500</v>
      </c>
      <c r="F1242" t="s">
        <v>32</v>
      </c>
      <c r="G1242" t="s">
        <v>23</v>
      </c>
    </row>
    <row r="1243" spans="1:7" x14ac:dyDescent="0.3">
      <c r="A1243">
        <v>45508</v>
      </c>
      <c r="B1243" t="s">
        <v>42</v>
      </c>
      <c r="C1243" t="s">
        <v>20</v>
      </c>
      <c r="D1243" t="s">
        <v>31</v>
      </c>
      <c r="E1243">
        <v>1000</v>
      </c>
      <c r="F1243" t="s">
        <v>22</v>
      </c>
      <c r="G1243" t="s">
        <v>28</v>
      </c>
    </row>
    <row r="1244" spans="1:7" x14ac:dyDescent="0.3">
      <c r="A1244">
        <v>45514</v>
      </c>
      <c r="B1244" t="s">
        <v>43</v>
      </c>
      <c r="C1244" t="s">
        <v>20</v>
      </c>
      <c r="D1244" t="s">
        <v>31</v>
      </c>
      <c r="E1244">
        <v>1000</v>
      </c>
      <c r="F1244" t="s">
        <v>41</v>
      </c>
      <c r="G1244" t="s">
        <v>47</v>
      </c>
    </row>
    <row r="1245" spans="1:7" x14ac:dyDescent="0.3">
      <c r="A1245">
        <v>45510</v>
      </c>
      <c r="B1245" t="s">
        <v>48</v>
      </c>
      <c r="C1245" t="s">
        <v>20</v>
      </c>
      <c r="D1245" t="s">
        <v>27</v>
      </c>
      <c r="E1245">
        <v>1000</v>
      </c>
      <c r="F1245" t="s">
        <v>22</v>
      </c>
      <c r="G1245" t="s">
        <v>28</v>
      </c>
    </row>
    <row r="1246" spans="1:7" x14ac:dyDescent="0.3">
      <c r="A1246">
        <v>45501</v>
      </c>
      <c r="B1246" t="s">
        <v>25</v>
      </c>
      <c r="C1246" t="s">
        <v>26</v>
      </c>
      <c r="D1246" t="s">
        <v>27</v>
      </c>
      <c r="E1246">
        <v>1000</v>
      </c>
      <c r="F1246" t="s">
        <v>22</v>
      </c>
      <c r="G1246" t="s">
        <v>28</v>
      </c>
    </row>
    <row r="1247" spans="1:7" x14ac:dyDescent="0.3">
      <c r="A1247">
        <v>45509</v>
      </c>
      <c r="B1247" t="s">
        <v>30</v>
      </c>
      <c r="C1247" t="s">
        <v>26</v>
      </c>
      <c r="D1247" t="s">
        <v>31</v>
      </c>
      <c r="E1247">
        <v>500</v>
      </c>
      <c r="F1247" t="s">
        <v>32</v>
      </c>
      <c r="G1247" t="s">
        <v>23</v>
      </c>
    </row>
    <row r="1248" spans="1:7" x14ac:dyDescent="0.3">
      <c r="A1248">
        <v>45514</v>
      </c>
      <c r="B1248" t="s">
        <v>43</v>
      </c>
      <c r="C1248" t="s">
        <v>20</v>
      </c>
      <c r="D1248" t="s">
        <v>31</v>
      </c>
      <c r="E1248">
        <v>1000</v>
      </c>
      <c r="F1248" t="s">
        <v>41</v>
      </c>
      <c r="G1248" t="s">
        <v>47</v>
      </c>
    </row>
    <row r="1249" spans="1:7" x14ac:dyDescent="0.3">
      <c r="A1249">
        <v>45501</v>
      </c>
      <c r="B1249" t="s">
        <v>25</v>
      </c>
      <c r="C1249" t="s">
        <v>26</v>
      </c>
      <c r="D1249" t="s">
        <v>27</v>
      </c>
      <c r="E1249">
        <v>1000</v>
      </c>
      <c r="F1249" t="s">
        <v>22</v>
      </c>
      <c r="G1249" t="s">
        <v>28</v>
      </c>
    </row>
    <row r="1250" spans="1:7" x14ac:dyDescent="0.3">
      <c r="A1250">
        <v>45506</v>
      </c>
      <c r="B1250" t="s">
        <v>38</v>
      </c>
      <c r="C1250" t="s">
        <v>26</v>
      </c>
      <c r="D1250" t="s">
        <v>21</v>
      </c>
      <c r="E1250">
        <v>1000</v>
      </c>
      <c r="F1250" t="s">
        <v>34</v>
      </c>
      <c r="G1250" t="s">
        <v>39</v>
      </c>
    </row>
    <row r="1251" spans="1:7" x14ac:dyDescent="0.3">
      <c r="A1251">
        <v>45505</v>
      </c>
      <c r="B1251" t="s">
        <v>49</v>
      </c>
      <c r="C1251" t="s">
        <v>20</v>
      </c>
      <c r="D1251" t="s">
        <v>31</v>
      </c>
      <c r="E1251">
        <v>800</v>
      </c>
      <c r="F1251" t="s">
        <v>41</v>
      </c>
      <c r="G1251" t="s">
        <v>39</v>
      </c>
    </row>
    <row r="1252" spans="1:7" x14ac:dyDescent="0.3">
      <c r="A1252">
        <v>45511</v>
      </c>
      <c r="B1252" t="s">
        <v>46</v>
      </c>
      <c r="C1252" t="s">
        <v>20</v>
      </c>
      <c r="D1252" t="s">
        <v>27</v>
      </c>
      <c r="E1252">
        <v>1000</v>
      </c>
      <c r="F1252" t="s">
        <v>22</v>
      </c>
      <c r="G1252" t="s">
        <v>28</v>
      </c>
    </row>
    <row r="1253" spans="1:7" x14ac:dyDescent="0.3">
      <c r="A1253">
        <v>45508</v>
      </c>
      <c r="B1253" t="s">
        <v>42</v>
      </c>
      <c r="C1253" t="s">
        <v>20</v>
      </c>
      <c r="D1253" t="s">
        <v>31</v>
      </c>
      <c r="E1253">
        <v>1000</v>
      </c>
      <c r="F1253" t="s">
        <v>22</v>
      </c>
      <c r="G1253" t="s">
        <v>28</v>
      </c>
    </row>
    <row r="1254" spans="1:7" x14ac:dyDescent="0.3">
      <c r="A1254">
        <v>45505</v>
      </c>
      <c r="B1254" t="s">
        <v>49</v>
      </c>
      <c r="C1254" t="s">
        <v>20</v>
      </c>
      <c r="D1254" t="s">
        <v>31</v>
      </c>
      <c r="E1254">
        <v>800</v>
      </c>
      <c r="F1254" t="s">
        <v>41</v>
      </c>
      <c r="G1254" t="s">
        <v>39</v>
      </c>
    </row>
    <row r="1255" spans="1:7" x14ac:dyDescent="0.3">
      <c r="A1255">
        <v>45512</v>
      </c>
      <c r="B1255" t="s">
        <v>36</v>
      </c>
      <c r="C1255" t="s">
        <v>26</v>
      </c>
      <c r="D1255" t="s">
        <v>21</v>
      </c>
      <c r="E1255">
        <v>1000</v>
      </c>
      <c r="F1255" t="s">
        <v>37</v>
      </c>
      <c r="G1255" t="s">
        <v>28</v>
      </c>
    </row>
    <row r="1256" spans="1:7" x14ac:dyDescent="0.3">
      <c r="A1256">
        <v>45506</v>
      </c>
      <c r="B1256" t="s">
        <v>38</v>
      </c>
      <c r="C1256" t="s">
        <v>26</v>
      </c>
      <c r="D1256" t="s">
        <v>21</v>
      </c>
      <c r="E1256">
        <v>1000</v>
      </c>
      <c r="F1256" t="s">
        <v>34</v>
      </c>
      <c r="G1256" t="s">
        <v>39</v>
      </c>
    </row>
    <row r="1257" spans="1:7" x14ac:dyDescent="0.3">
      <c r="A1257">
        <v>45500</v>
      </c>
      <c r="B1257" t="s">
        <v>19</v>
      </c>
      <c r="C1257" t="s">
        <v>20</v>
      </c>
      <c r="D1257" t="s">
        <v>21</v>
      </c>
      <c r="E1257">
        <v>500</v>
      </c>
      <c r="F1257" t="s">
        <v>32</v>
      </c>
      <c r="G1257" t="s">
        <v>47</v>
      </c>
    </row>
    <row r="1258" spans="1:7" x14ac:dyDescent="0.3">
      <c r="A1258">
        <v>45505</v>
      </c>
      <c r="B1258" t="s">
        <v>49</v>
      </c>
      <c r="C1258" t="s">
        <v>20</v>
      </c>
      <c r="D1258" t="s">
        <v>31</v>
      </c>
      <c r="E1258">
        <v>800</v>
      </c>
      <c r="F1258" t="s">
        <v>41</v>
      </c>
      <c r="G1258" t="s">
        <v>39</v>
      </c>
    </row>
    <row r="1259" spans="1:7" x14ac:dyDescent="0.3">
      <c r="A1259">
        <v>45502</v>
      </c>
      <c r="B1259" t="s">
        <v>40</v>
      </c>
      <c r="C1259" t="s">
        <v>20</v>
      </c>
      <c r="D1259" t="s">
        <v>31</v>
      </c>
      <c r="E1259">
        <v>800</v>
      </c>
      <c r="F1259" t="s">
        <v>41</v>
      </c>
      <c r="G1259" t="s">
        <v>23</v>
      </c>
    </row>
    <row r="1260" spans="1:7" x14ac:dyDescent="0.3">
      <c r="A1260">
        <v>45506</v>
      </c>
      <c r="B1260" t="s">
        <v>38</v>
      </c>
      <c r="C1260" t="s">
        <v>26</v>
      </c>
      <c r="D1260" t="s">
        <v>21</v>
      </c>
      <c r="E1260">
        <v>1000</v>
      </c>
      <c r="F1260" t="s">
        <v>34</v>
      </c>
      <c r="G1260" t="s">
        <v>39</v>
      </c>
    </row>
    <row r="1261" spans="1:7" x14ac:dyDescent="0.3">
      <c r="A1261">
        <v>45507</v>
      </c>
      <c r="B1261" t="s">
        <v>33</v>
      </c>
      <c r="C1261" t="s">
        <v>26</v>
      </c>
      <c r="D1261" t="s">
        <v>21</v>
      </c>
      <c r="E1261">
        <v>1000</v>
      </c>
      <c r="F1261" t="s">
        <v>34</v>
      </c>
      <c r="G1261" t="s">
        <v>35</v>
      </c>
    </row>
    <row r="1262" spans="1:7" x14ac:dyDescent="0.3">
      <c r="A1262">
        <v>45507</v>
      </c>
      <c r="B1262" t="s">
        <v>33</v>
      </c>
      <c r="C1262" t="s">
        <v>26</v>
      </c>
      <c r="D1262" t="s">
        <v>21</v>
      </c>
      <c r="E1262">
        <v>1000</v>
      </c>
      <c r="F1262" t="s">
        <v>34</v>
      </c>
      <c r="G1262" t="s">
        <v>35</v>
      </c>
    </row>
    <row r="1263" spans="1:7" x14ac:dyDescent="0.3">
      <c r="A1263">
        <v>45505</v>
      </c>
      <c r="B1263" t="s">
        <v>49</v>
      </c>
      <c r="C1263" t="s">
        <v>20</v>
      </c>
      <c r="D1263" t="s">
        <v>31</v>
      </c>
      <c r="E1263">
        <v>800</v>
      </c>
      <c r="F1263" t="s">
        <v>41</v>
      </c>
      <c r="G1263" t="s">
        <v>39</v>
      </c>
    </row>
    <row r="1264" spans="1:7" x14ac:dyDescent="0.3">
      <c r="A1264">
        <v>45506</v>
      </c>
      <c r="B1264" t="s">
        <v>38</v>
      </c>
      <c r="C1264" t="s">
        <v>26</v>
      </c>
      <c r="D1264" t="s">
        <v>21</v>
      </c>
      <c r="E1264">
        <v>1000</v>
      </c>
      <c r="F1264" t="s">
        <v>34</v>
      </c>
      <c r="G1264" t="s">
        <v>39</v>
      </c>
    </row>
    <row r="1265" spans="1:7" x14ac:dyDescent="0.3">
      <c r="A1265">
        <v>45511</v>
      </c>
      <c r="B1265" t="s">
        <v>46</v>
      </c>
      <c r="C1265" t="s">
        <v>20</v>
      </c>
      <c r="D1265" t="s">
        <v>27</v>
      </c>
      <c r="E1265">
        <v>1000</v>
      </c>
      <c r="F1265" t="s">
        <v>22</v>
      </c>
      <c r="G1265" t="s">
        <v>28</v>
      </c>
    </row>
    <row r="1266" spans="1:7" x14ac:dyDescent="0.3">
      <c r="A1266">
        <v>45502</v>
      </c>
      <c r="B1266" t="s">
        <v>40</v>
      </c>
      <c r="C1266" t="s">
        <v>20</v>
      </c>
      <c r="D1266" t="s">
        <v>31</v>
      </c>
      <c r="E1266">
        <v>800</v>
      </c>
      <c r="F1266" t="s">
        <v>41</v>
      </c>
      <c r="G1266" t="s">
        <v>23</v>
      </c>
    </row>
    <row r="1267" spans="1:7" x14ac:dyDescent="0.3">
      <c r="A1267">
        <v>45500</v>
      </c>
      <c r="B1267" t="s">
        <v>19</v>
      </c>
      <c r="C1267" t="s">
        <v>20</v>
      </c>
      <c r="D1267" t="s">
        <v>21</v>
      </c>
      <c r="E1267">
        <v>500</v>
      </c>
      <c r="F1267" t="s">
        <v>32</v>
      </c>
      <c r="G1267" t="s">
        <v>47</v>
      </c>
    </row>
    <row r="1268" spans="1:7" x14ac:dyDescent="0.3">
      <c r="A1268">
        <v>45505</v>
      </c>
      <c r="B1268" t="s">
        <v>49</v>
      </c>
      <c r="C1268" t="s">
        <v>20</v>
      </c>
      <c r="D1268" t="s">
        <v>31</v>
      </c>
      <c r="E1268">
        <v>800</v>
      </c>
      <c r="F1268" t="s">
        <v>41</v>
      </c>
      <c r="G1268" t="s">
        <v>39</v>
      </c>
    </row>
    <row r="1269" spans="1:7" x14ac:dyDescent="0.3">
      <c r="A1269">
        <v>45512</v>
      </c>
      <c r="B1269" t="s">
        <v>36</v>
      </c>
      <c r="C1269" t="s">
        <v>26</v>
      </c>
      <c r="D1269" t="s">
        <v>21</v>
      </c>
      <c r="E1269">
        <v>1000</v>
      </c>
      <c r="F1269" t="s">
        <v>37</v>
      </c>
      <c r="G1269" t="s">
        <v>28</v>
      </c>
    </row>
    <row r="1270" spans="1:7" x14ac:dyDescent="0.3">
      <c r="A1270">
        <v>45504</v>
      </c>
      <c r="B1270" t="s">
        <v>29</v>
      </c>
      <c r="C1270" t="s">
        <v>26</v>
      </c>
      <c r="D1270" t="s">
        <v>27</v>
      </c>
      <c r="E1270">
        <v>1000</v>
      </c>
      <c r="F1270" t="s">
        <v>22</v>
      </c>
      <c r="G1270" t="s">
        <v>28</v>
      </c>
    </row>
    <row r="1271" spans="1:7" x14ac:dyDescent="0.3">
      <c r="A1271">
        <v>45506</v>
      </c>
      <c r="B1271" t="s">
        <v>38</v>
      </c>
      <c r="C1271" t="s">
        <v>26</v>
      </c>
      <c r="D1271" t="s">
        <v>21</v>
      </c>
      <c r="E1271">
        <v>1000</v>
      </c>
      <c r="F1271" t="s">
        <v>34</v>
      </c>
      <c r="G1271" t="s">
        <v>39</v>
      </c>
    </row>
    <row r="1272" spans="1:7" x14ac:dyDescent="0.3">
      <c r="A1272">
        <v>45507</v>
      </c>
      <c r="B1272" t="s">
        <v>33</v>
      </c>
      <c r="C1272" t="s">
        <v>26</v>
      </c>
      <c r="D1272" t="s">
        <v>21</v>
      </c>
      <c r="E1272">
        <v>1000</v>
      </c>
      <c r="F1272" t="s">
        <v>34</v>
      </c>
      <c r="G1272" t="s">
        <v>35</v>
      </c>
    </row>
    <row r="1273" spans="1:7" x14ac:dyDescent="0.3">
      <c r="A1273">
        <v>45501</v>
      </c>
      <c r="B1273" t="s">
        <v>25</v>
      </c>
      <c r="C1273" t="s">
        <v>26</v>
      </c>
      <c r="D1273" t="s">
        <v>27</v>
      </c>
      <c r="E1273">
        <v>1000</v>
      </c>
      <c r="F1273" t="s">
        <v>22</v>
      </c>
      <c r="G1273" t="s">
        <v>28</v>
      </c>
    </row>
    <row r="1274" spans="1:7" x14ac:dyDescent="0.3">
      <c r="A1274">
        <v>45506</v>
      </c>
      <c r="B1274" t="s">
        <v>38</v>
      </c>
      <c r="C1274" t="s">
        <v>26</v>
      </c>
      <c r="D1274" t="s">
        <v>21</v>
      </c>
      <c r="E1274">
        <v>1000</v>
      </c>
      <c r="F1274" t="s">
        <v>34</v>
      </c>
      <c r="G1274" t="s">
        <v>39</v>
      </c>
    </row>
    <row r="1275" spans="1:7" x14ac:dyDescent="0.3">
      <c r="A1275">
        <v>45502</v>
      </c>
      <c r="B1275" t="s">
        <v>40</v>
      </c>
      <c r="C1275" t="s">
        <v>20</v>
      </c>
      <c r="D1275" t="s">
        <v>31</v>
      </c>
      <c r="E1275">
        <v>800</v>
      </c>
      <c r="F1275" t="s">
        <v>41</v>
      </c>
      <c r="G1275" t="s">
        <v>23</v>
      </c>
    </row>
    <row r="1276" spans="1:7" x14ac:dyDescent="0.3">
      <c r="A1276">
        <v>45504</v>
      </c>
      <c r="B1276" t="s">
        <v>29</v>
      </c>
      <c r="C1276" t="s">
        <v>26</v>
      </c>
      <c r="D1276" t="s">
        <v>27</v>
      </c>
      <c r="E1276">
        <v>1000</v>
      </c>
      <c r="F1276" t="s">
        <v>22</v>
      </c>
      <c r="G1276" t="s">
        <v>28</v>
      </c>
    </row>
    <row r="1277" spans="1:7" x14ac:dyDescent="0.3">
      <c r="A1277">
        <v>45508</v>
      </c>
      <c r="B1277" t="s">
        <v>42</v>
      </c>
      <c r="C1277" t="s">
        <v>20</v>
      </c>
      <c r="D1277" t="s">
        <v>31</v>
      </c>
      <c r="E1277">
        <v>1000</v>
      </c>
      <c r="F1277" t="s">
        <v>22</v>
      </c>
      <c r="G1277" t="s">
        <v>28</v>
      </c>
    </row>
    <row r="1278" spans="1:7" x14ac:dyDescent="0.3">
      <c r="A1278">
        <v>45509</v>
      </c>
      <c r="B1278" t="s">
        <v>30</v>
      </c>
      <c r="C1278" t="s">
        <v>26</v>
      </c>
      <c r="D1278" t="s">
        <v>31</v>
      </c>
      <c r="E1278">
        <v>500</v>
      </c>
      <c r="F1278" t="s">
        <v>32</v>
      </c>
      <c r="G1278" t="s">
        <v>23</v>
      </c>
    </row>
    <row r="1279" spans="1:7" x14ac:dyDescent="0.3">
      <c r="A1279">
        <v>45500</v>
      </c>
      <c r="B1279" t="s">
        <v>19</v>
      </c>
      <c r="C1279" t="s">
        <v>20</v>
      </c>
      <c r="D1279" t="s">
        <v>21</v>
      </c>
      <c r="E1279">
        <v>500</v>
      </c>
      <c r="F1279" t="s">
        <v>32</v>
      </c>
      <c r="G1279" t="s">
        <v>47</v>
      </c>
    </row>
    <row r="1280" spans="1:7" x14ac:dyDescent="0.3">
      <c r="A1280">
        <v>45505</v>
      </c>
      <c r="B1280" t="s">
        <v>49</v>
      </c>
      <c r="C1280" t="s">
        <v>20</v>
      </c>
      <c r="D1280" t="s">
        <v>31</v>
      </c>
      <c r="E1280">
        <v>800</v>
      </c>
      <c r="F1280" t="s">
        <v>41</v>
      </c>
      <c r="G1280" t="s">
        <v>39</v>
      </c>
    </row>
    <row r="1281" spans="1:7" x14ac:dyDescent="0.3">
      <c r="A1281">
        <v>45502</v>
      </c>
      <c r="B1281" t="s">
        <v>40</v>
      </c>
      <c r="C1281" t="s">
        <v>20</v>
      </c>
      <c r="D1281" t="s">
        <v>31</v>
      </c>
      <c r="E1281">
        <v>800</v>
      </c>
      <c r="F1281" t="s">
        <v>41</v>
      </c>
      <c r="G1281" t="s">
        <v>23</v>
      </c>
    </row>
    <row r="1282" spans="1:7" x14ac:dyDescent="0.3">
      <c r="A1282">
        <v>45503</v>
      </c>
      <c r="B1282" t="s">
        <v>43</v>
      </c>
      <c r="C1282" t="s">
        <v>20</v>
      </c>
      <c r="D1282" t="s">
        <v>31</v>
      </c>
      <c r="E1282">
        <v>500</v>
      </c>
      <c r="F1282" t="s">
        <v>44</v>
      </c>
      <c r="G1282" t="s">
        <v>45</v>
      </c>
    </row>
    <row r="1283" spans="1:7" x14ac:dyDescent="0.3">
      <c r="A1283">
        <v>45506</v>
      </c>
      <c r="B1283" t="s">
        <v>38</v>
      </c>
      <c r="C1283" t="s">
        <v>26</v>
      </c>
      <c r="D1283" t="s">
        <v>21</v>
      </c>
      <c r="E1283">
        <v>1000</v>
      </c>
      <c r="F1283" t="s">
        <v>34</v>
      </c>
      <c r="G1283" t="s">
        <v>39</v>
      </c>
    </row>
    <row r="1284" spans="1:7" x14ac:dyDescent="0.3">
      <c r="A1284">
        <v>45500</v>
      </c>
      <c r="B1284" t="s">
        <v>19</v>
      </c>
      <c r="C1284" t="s">
        <v>20</v>
      </c>
      <c r="D1284" t="s">
        <v>21</v>
      </c>
      <c r="E1284">
        <v>500</v>
      </c>
      <c r="F1284" t="s">
        <v>32</v>
      </c>
      <c r="G1284" t="s">
        <v>47</v>
      </c>
    </row>
    <row r="1285" spans="1:7" x14ac:dyDescent="0.3">
      <c r="A1285">
        <v>45509</v>
      </c>
      <c r="B1285" t="s">
        <v>30</v>
      </c>
      <c r="C1285" t="s">
        <v>26</v>
      </c>
      <c r="D1285" t="s">
        <v>31</v>
      </c>
      <c r="E1285">
        <v>500</v>
      </c>
      <c r="F1285" t="s">
        <v>32</v>
      </c>
      <c r="G1285" t="s">
        <v>23</v>
      </c>
    </row>
    <row r="1286" spans="1:7" x14ac:dyDescent="0.3">
      <c r="A1286">
        <v>45501</v>
      </c>
      <c r="B1286" t="s">
        <v>25</v>
      </c>
      <c r="C1286" t="s">
        <v>26</v>
      </c>
      <c r="D1286" t="s">
        <v>27</v>
      </c>
      <c r="E1286">
        <v>1000</v>
      </c>
      <c r="F1286" t="s">
        <v>22</v>
      </c>
      <c r="G1286" t="s">
        <v>28</v>
      </c>
    </row>
    <row r="1287" spans="1:7" x14ac:dyDescent="0.3">
      <c r="A1287">
        <v>45505</v>
      </c>
      <c r="B1287" t="s">
        <v>49</v>
      </c>
      <c r="C1287" t="s">
        <v>20</v>
      </c>
      <c r="D1287" t="s">
        <v>31</v>
      </c>
      <c r="E1287">
        <v>800</v>
      </c>
      <c r="F1287" t="s">
        <v>41</v>
      </c>
      <c r="G1287" t="s">
        <v>39</v>
      </c>
    </row>
    <row r="1288" spans="1:7" x14ac:dyDescent="0.3">
      <c r="A1288">
        <v>45507</v>
      </c>
      <c r="B1288" t="s">
        <v>33</v>
      </c>
      <c r="C1288" t="s">
        <v>26</v>
      </c>
      <c r="D1288" t="s">
        <v>21</v>
      </c>
      <c r="E1288">
        <v>1000</v>
      </c>
      <c r="F1288" t="s">
        <v>34</v>
      </c>
      <c r="G1288" t="s">
        <v>35</v>
      </c>
    </row>
    <row r="1289" spans="1:7" x14ac:dyDescent="0.3">
      <c r="A1289">
        <v>45503</v>
      </c>
      <c r="B1289" t="s">
        <v>43</v>
      </c>
      <c r="C1289" t="s">
        <v>20</v>
      </c>
      <c r="D1289" t="s">
        <v>31</v>
      </c>
      <c r="E1289">
        <v>500</v>
      </c>
      <c r="F1289" t="s">
        <v>44</v>
      </c>
      <c r="G1289" t="s">
        <v>45</v>
      </c>
    </row>
    <row r="1290" spans="1:7" x14ac:dyDescent="0.3">
      <c r="A1290">
        <v>45504</v>
      </c>
      <c r="B1290" t="s">
        <v>29</v>
      </c>
      <c r="C1290" t="s">
        <v>26</v>
      </c>
      <c r="D1290" t="s">
        <v>27</v>
      </c>
      <c r="E1290">
        <v>1000</v>
      </c>
      <c r="F1290" t="s">
        <v>22</v>
      </c>
      <c r="G1290" t="s">
        <v>28</v>
      </c>
    </row>
    <row r="1291" spans="1:7" x14ac:dyDescent="0.3">
      <c r="A1291">
        <v>45505</v>
      </c>
      <c r="B1291" t="s">
        <v>49</v>
      </c>
      <c r="C1291" t="s">
        <v>20</v>
      </c>
      <c r="D1291" t="s">
        <v>31</v>
      </c>
      <c r="E1291">
        <v>800</v>
      </c>
      <c r="F1291" t="s">
        <v>41</v>
      </c>
      <c r="G1291" t="s">
        <v>39</v>
      </c>
    </row>
    <row r="1292" spans="1:7" x14ac:dyDescent="0.3">
      <c r="A1292">
        <v>45503</v>
      </c>
      <c r="B1292" t="s">
        <v>43</v>
      </c>
      <c r="C1292" t="s">
        <v>20</v>
      </c>
      <c r="D1292" t="s">
        <v>31</v>
      </c>
      <c r="E1292">
        <v>500</v>
      </c>
      <c r="F1292" t="s">
        <v>44</v>
      </c>
      <c r="G1292" t="s">
        <v>45</v>
      </c>
    </row>
    <row r="1293" spans="1:7" x14ac:dyDescent="0.3">
      <c r="A1293">
        <v>45505</v>
      </c>
      <c r="B1293" t="s">
        <v>49</v>
      </c>
      <c r="C1293" t="s">
        <v>20</v>
      </c>
      <c r="D1293" t="s">
        <v>31</v>
      </c>
      <c r="E1293">
        <v>800</v>
      </c>
      <c r="F1293" t="s">
        <v>41</v>
      </c>
      <c r="G1293" t="s">
        <v>39</v>
      </c>
    </row>
    <row r="1294" spans="1:7" x14ac:dyDescent="0.3">
      <c r="A1294">
        <v>45509</v>
      </c>
      <c r="B1294" t="s">
        <v>30</v>
      </c>
      <c r="C1294" t="s">
        <v>26</v>
      </c>
      <c r="D1294" t="s">
        <v>31</v>
      </c>
      <c r="E1294">
        <v>500</v>
      </c>
      <c r="F1294" t="s">
        <v>32</v>
      </c>
      <c r="G1294" t="s">
        <v>23</v>
      </c>
    </row>
    <row r="1295" spans="1:7" x14ac:dyDescent="0.3">
      <c r="A1295">
        <v>45514</v>
      </c>
      <c r="B1295" t="s">
        <v>43</v>
      </c>
      <c r="C1295" t="s">
        <v>20</v>
      </c>
      <c r="D1295" t="s">
        <v>31</v>
      </c>
      <c r="E1295">
        <v>1000</v>
      </c>
      <c r="F1295" t="s">
        <v>41</v>
      </c>
      <c r="G1295" t="s">
        <v>47</v>
      </c>
    </row>
    <row r="1296" spans="1:7" x14ac:dyDescent="0.3">
      <c r="A1296">
        <v>45512</v>
      </c>
      <c r="B1296" t="s">
        <v>36</v>
      </c>
      <c r="C1296" t="s">
        <v>26</v>
      </c>
      <c r="D1296" t="s">
        <v>21</v>
      </c>
      <c r="E1296">
        <v>1000</v>
      </c>
      <c r="F1296" t="s">
        <v>37</v>
      </c>
      <c r="G1296" t="s">
        <v>28</v>
      </c>
    </row>
    <row r="1297" spans="1:7" x14ac:dyDescent="0.3">
      <c r="A1297">
        <v>45510</v>
      </c>
      <c r="B1297" t="s">
        <v>48</v>
      </c>
      <c r="C1297" t="s">
        <v>20</v>
      </c>
      <c r="D1297" t="s">
        <v>27</v>
      </c>
      <c r="E1297">
        <v>1000</v>
      </c>
      <c r="F1297" t="s">
        <v>22</v>
      </c>
      <c r="G1297" t="s">
        <v>28</v>
      </c>
    </row>
    <row r="1298" spans="1:7" x14ac:dyDescent="0.3">
      <c r="A1298">
        <v>45513</v>
      </c>
      <c r="B1298" t="s">
        <v>19</v>
      </c>
      <c r="C1298" t="s">
        <v>20</v>
      </c>
      <c r="D1298" t="s">
        <v>21</v>
      </c>
      <c r="E1298">
        <v>1000</v>
      </c>
      <c r="F1298" t="s">
        <v>22</v>
      </c>
      <c r="G1298" t="s">
        <v>23</v>
      </c>
    </row>
    <row r="1299" spans="1:7" x14ac:dyDescent="0.3">
      <c r="A1299">
        <v>45508</v>
      </c>
      <c r="B1299" t="s">
        <v>42</v>
      </c>
      <c r="C1299" t="s">
        <v>20</v>
      </c>
      <c r="D1299" t="s">
        <v>31</v>
      </c>
      <c r="E1299">
        <v>1000</v>
      </c>
      <c r="F1299" t="s">
        <v>22</v>
      </c>
      <c r="G1299" t="s">
        <v>28</v>
      </c>
    </row>
    <row r="1300" spans="1:7" x14ac:dyDescent="0.3">
      <c r="A1300">
        <v>45514</v>
      </c>
      <c r="B1300" t="s">
        <v>43</v>
      </c>
      <c r="C1300" t="s">
        <v>20</v>
      </c>
      <c r="D1300" t="s">
        <v>31</v>
      </c>
      <c r="E1300">
        <v>1000</v>
      </c>
      <c r="F1300" t="s">
        <v>41</v>
      </c>
      <c r="G1300" t="s">
        <v>47</v>
      </c>
    </row>
    <row r="1301" spans="1:7" x14ac:dyDescent="0.3">
      <c r="A1301">
        <v>45501</v>
      </c>
      <c r="B1301" t="s">
        <v>25</v>
      </c>
      <c r="C1301" t="s">
        <v>26</v>
      </c>
      <c r="D1301" t="s">
        <v>27</v>
      </c>
      <c r="E1301">
        <v>1000</v>
      </c>
      <c r="F1301" t="s">
        <v>22</v>
      </c>
      <c r="G1301" t="s">
        <v>28</v>
      </c>
    </row>
    <row r="1302" spans="1:7" x14ac:dyDescent="0.3">
      <c r="A1302">
        <v>45512</v>
      </c>
      <c r="B1302" t="s">
        <v>36</v>
      </c>
      <c r="C1302" t="s">
        <v>26</v>
      </c>
      <c r="D1302" t="s">
        <v>21</v>
      </c>
      <c r="E1302">
        <v>1000</v>
      </c>
      <c r="F1302" t="s">
        <v>37</v>
      </c>
      <c r="G1302" t="s">
        <v>28</v>
      </c>
    </row>
    <row r="1303" spans="1:7" x14ac:dyDescent="0.3">
      <c r="A1303">
        <v>45500</v>
      </c>
      <c r="B1303" t="s">
        <v>19</v>
      </c>
      <c r="C1303" t="s">
        <v>20</v>
      </c>
      <c r="D1303" t="s">
        <v>21</v>
      </c>
      <c r="E1303">
        <v>500</v>
      </c>
      <c r="F1303" t="s">
        <v>32</v>
      </c>
      <c r="G1303" t="s">
        <v>47</v>
      </c>
    </row>
    <row r="1304" spans="1:7" x14ac:dyDescent="0.3">
      <c r="A1304">
        <v>45504</v>
      </c>
      <c r="B1304" t="s">
        <v>29</v>
      </c>
      <c r="C1304" t="s">
        <v>26</v>
      </c>
      <c r="D1304" t="s">
        <v>27</v>
      </c>
      <c r="E1304">
        <v>1000</v>
      </c>
      <c r="F1304" t="s">
        <v>22</v>
      </c>
      <c r="G1304" t="s">
        <v>28</v>
      </c>
    </row>
    <row r="1305" spans="1:7" x14ac:dyDescent="0.3">
      <c r="A1305">
        <v>45511</v>
      </c>
      <c r="B1305" t="s">
        <v>46</v>
      </c>
      <c r="C1305" t="s">
        <v>20</v>
      </c>
      <c r="D1305" t="s">
        <v>27</v>
      </c>
      <c r="E1305">
        <v>1000</v>
      </c>
      <c r="F1305" t="s">
        <v>22</v>
      </c>
      <c r="G1305" t="s">
        <v>28</v>
      </c>
    </row>
    <row r="1306" spans="1:7" x14ac:dyDescent="0.3">
      <c r="A1306">
        <v>45514</v>
      </c>
      <c r="B1306" t="s">
        <v>43</v>
      </c>
      <c r="C1306" t="s">
        <v>20</v>
      </c>
      <c r="D1306" t="s">
        <v>31</v>
      </c>
      <c r="E1306">
        <v>1000</v>
      </c>
      <c r="F1306" t="s">
        <v>41</v>
      </c>
      <c r="G1306" t="s">
        <v>47</v>
      </c>
    </row>
    <row r="1307" spans="1:7" x14ac:dyDescent="0.3">
      <c r="A1307">
        <v>45506</v>
      </c>
      <c r="B1307" t="s">
        <v>38</v>
      </c>
      <c r="C1307" t="s">
        <v>26</v>
      </c>
      <c r="D1307" t="s">
        <v>21</v>
      </c>
      <c r="E1307">
        <v>1000</v>
      </c>
      <c r="F1307" t="s">
        <v>34</v>
      </c>
      <c r="G1307" t="s">
        <v>39</v>
      </c>
    </row>
    <row r="1308" spans="1:7" x14ac:dyDescent="0.3">
      <c r="A1308">
        <v>45513</v>
      </c>
      <c r="B1308" t="s">
        <v>19</v>
      </c>
      <c r="C1308" t="s">
        <v>20</v>
      </c>
      <c r="D1308" t="s">
        <v>21</v>
      </c>
      <c r="E1308">
        <v>1000</v>
      </c>
      <c r="F1308" t="s">
        <v>22</v>
      </c>
      <c r="G1308" t="s">
        <v>23</v>
      </c>
    </row>
    <row r="1309" spans="1:7" x14ac:dyDescent="0.3">
      <c r="A1309">
        <v>45505</v>
      </c>
      <c r="B1309" t="s">
        <v>49</v>
      </c>
      <c r="C1309" t="s">
        <v>20</v>
      </c>
      <c r="D1309" t="s">
        <v>31</v>
      </c>
      <c r="E1309">
        <v>800</v>
      </c>
      <c r="F1309" t="s">
        <v>41</v>
      </c>
      <c r="G1309" t="s">
        <v>39</v>
      </c>
    </row>
    <row r="1310" spans="1:7" x14ac:dyDescent="0.3">
      <c r="A1310">
        <v>45502</v>
      </c>
      <c r="B1310" t="s">
        <v>40</v>
      </c>
      <c r="C1310" t="s">
        <v>20</v>
      </c>
      <c r="D1310" t="s">
        <v>31</v>
      </c>
      <c r="E1310">
        <v>800</v>
      </c>
      <c r="F1310" t="s">
        <v>41</v>
      </c>
      <c r="G1310" t="s">
        <v>23</v>
      </c>
    </row>
    <row r="1311" spans="1:7" x14ac:dyDescent="0.3">
      <c r="A1311">
        <v>45507</v>
      </c>
      <c r="B1311" t="s">
        <v>33</v>
      </c>
      <c r="C1311" t="s">
        <v>26</v>
      </c>
      <c r="D1311" t="s">
        <v>21</v>
      </c>
      <c r="E1311">
        <v>1000</v>
      </c>
      <c r="F1311" t="s">
        <v>34</v>
      </c>
      <c r="G1311" t="s">
        <v>35</v>
      </c>
    </row>
    <row r="1312" spans="1:7" x14ac:dyDescent="0.3">
      <c r="A1312">
        <v>45507</v>
      </c>
      <c r="B1312" t="s">
        <v>33</v>
      </c>
      <c r="C1312" t="s">
        <v>26</v>
      </c>
      <c r="D1312" t="s">
        <v>21</v>
      </c>
      <c r="E1312">
        <v>1000</v>
      </c>
      <c r="F1312" t="s">
        <v>34</v>
      </c>
      <c r="G1312" t="s">
        <v>35</v>
      </c>
    </row>
    <row r="1313" spans="1:7" x14ac:dyDescent="0.3">
      <c r="A1313">
        <v>45504</v>
      </c>
      <c r="B1313" t="s">
        <v>29</v>
      </c>
      <c r="C1313" t="s">
        <v>26</v>
      </c>
      <c r="D1313" t="s">
        <v>27</v>
      </c>
      <c r="E1313">
        <v>1000</v>
      </c>
      <c r="F1313" t="s">
        <v>22</v>
      </c>
      <c r="G1313" t="s">
        <v>28</v>
      </c>
    </row>
    <row r="1314" spans="1:7" x14ac:dyDescent="0.3">
      <c r="A1314">
        <v>45506</v>
      </c>
      <c r="B1314" t="s">
        <v>38</v>
      </c>
      <c r="C1314" t="s">
        <v>26</v>
      </c>
      <c r="D1314" t="s">
        <v>21</v>
      </c>
      <c r="E1314">
        <v>1000</v>
      </c>
      <c r="F1314" t="s">
        <v>34</v>
      </c>
      <c r="G1314" t="s">
        <v>39</v>
      </c>
    </row>
    <row r="1315" spans="1:7" x14ac:dyDescent="0.3">
      <c r="A1315">
        <v>45500</v>
      </c>
      <c r="B1315" t="s">
        <v>19</v>
      </c>
      <c r="C1315" t="s">
        <v>20</v>
      </c>
      <c r="D1315" t="s">
        <v>21</v>
      </c>
      <c r="E1315">
        <v>500</v>
      </c>
      <c r="F1315" t="s">
        <v>32</v>
      </c>
      <c r="G1315" t="s">
        <v>47</v>
      </c>
    </row>
    <row r="1316" spans="1:7" x14ac:dyDescent="0.3">
      <c r="A1316">
        <v>45502</v>
      </c>
      <c r="B1316" t="s">
        <v>40</v>
      </c>
      <c r="C1316" t="s">
        <v>20</v>
      </c>
      <c r="D1316" t="s">
        <v>31</v>
      </c>
      <c r="E1316">
        <v>800</v>
      </c>
      <c r="F1316" t="s">
        <v>41</v>
      </c>
      <c r="G1316" t="s">
        <v>23</v>
      </c>
    </row>
    <row r="1317" spans="1:7" x14ac:dyDescent="0.3">
      <c r="A1317">
        <v>45507</v>
      </c>
      <c r="B1317" t="s">
        <v>33</v>
      </c>
      <c r="C1317" t="s">
        <v>26</v>
      </c>
      <c r="D1317" t="s">
        <v>21</v>
      </c>
      <c r="E1317">
        <v>1000</v>
      </c>
      <c r="F1317" t="s">
        <v>34</v>
      </c>
      <c r="G1317" t="s">
        <v>35</v>
      </c>
    </row>
    <row r="1318" spans="1:7" x14ac:dyDescent="0.3">
      <c r="A1318">
        <v>45505</v>
      </c>
      <c r="B1318" t="s">
        <v>49</v>
      </c>
      <c r="C1318" t="s">
        <v>20</v>
      </c>
      <c r="D1318" t="s">
        <v>31</v>
      </c>
      <c r="E1318">
        <v>800</v>
      </c>
      <c r="F1318" t="s">
        <v>41</v>
      </c>
      <c r="G1318" t="s">
        <v>39</v>
      </c>
    </row>
    <row r="1319" spans="1:7" x14ac:dyDescent="0.3">
      <c r="A1319">
        <v>45511</v>
      </c>
      <c r="B1319" t="s">
        <v>46</v>
      </c>
      <c r="C1319" t="s">
        <v>20</v>
      </c>
      <c r="D1319" t="s">
        <v>27</v>
      </c>
      <c r="E1319">
        <v>1000</v>
      </c>
      <c r="F1319" t="s">
        <v>22</v>
      </c>
      <c r="G1319" t="s">
        <v>28</v>
      </c>
    </row>
    <row r="1320" spans="1:7" x14ac:dyDescent="0.3">
      <c r="A1320">
        <v>45509</v>
      </c>
      <c r="B1320" t="s">
        <v>30</v>
      </c>
      <c r="C1320" t="s">
        <v>26</v>
      </c>
      <c r="D1320" t="s">
        <v>31</v>
      </c>
      <c r="E1320">
        <v>500</v>
      </c>
      <c r="F1320" t="s">
        <v>32</v>
      </c>
      <c r="G1320" t="s">
        <v>23</v>
      </c>
    </row>
    <row r="1321" spans="1:7" x14ac:dyDescent="0.3">
      <c r="A1321">
        <v>45508</v>
      </c>
      <c r="B1321" t="s">
        <v>42</v>
      </c>
      <c r="C1321" t="s">
        <v>20</v>
      </c>
      <c r="D1321" t="s">
        <v>31</v>
      </c>
      <c r="E1321">
        <v>1000</v>
      </c>
      <c r="F1321" t="s">
        <v>22</v>
      </c>
      <c r="G1321" t="s">
        <v>28</v>
      </c>
    </row>
    <row r="1322" spans="1:7" x14ac:dyDescent="0.3">
      <c r="A1322">
        <v>45504</v>
      </c>
      <c r="B1322" t="s">
        <v>29</v>
      </c>
      <c r="C1322" t="s">
        <v>26</v>
      </c>
      <c r="D1322" t="s">
        <v>27</v>
      </c>
      <c r="E1322">
        <v>1000</v>
      </c>
      <c r="F1322" t="s">
        <v>22</v>
      </c>
      <c r="G1322" t="s">
        <v>28</v>
      </c>
    </row>
    <row r="1323" spans="1:7" x14ac:dyDescent="0.3">
      <c r="A1323">
        <v>45504</v>
      </c>
      <c r="B1323" t="s">
        <v>29</v>
      </c>
      <c r="C1323" t="s">
        <v>26</v>
      </c>
      <c r="D1323" t="s">
        <v>27</v>
      </c>
      <c r="E1323">
        <v>1000</v>
      </c>
      <c r="F1323" t="s">
        <v>22</v>
      </c>
      <c r="G1323" t="s">
        <v>28</v>
      </c>
    </row>
    <row r="1324" spans="1:7" x14ac:dyDescent="0.3">
      <c r="A1324">
        <v>45507</v>
      </c>
      <c r="B1324" t="s">
        <v>33</v>
      </c>
      <c r="C1324" t="s">
        <v>26</v>
      </c>
      <c r="D1324" t="s">
        <v>21</v>
      </c>
      <c r="E1324">
        <v>1000</v>
      </c>
      <c r="F1324" t="s">
        <v>34</v>
      </c>
      <c r="G1324" t="s">
        <v>35</v>
      </c>
    </row>
    <row r="1325" spans="1:7" x14ac:dyDescent="0.3">
      <c r="A1325">
        <v>45509</v>
      </c>
      <c r="B1325" t="s">
        <v>30</v>
      </c>
      <c r="C1325" t="s">
        <v>26</v>
      </c>
      <c r="D1325" t="s">
        <v>31</v>
      </c>
      <c r="E1325">
        <v>500</v>
      </c>
      <c r="F1325" t="s">
        <v>32</v>
      </c>
      <c r="G1325" t="s">
        <v>23</v>
      </c>
    </row>
    <row r="1326" spans="1:7" x14ac:dyDescent="0.3">
      <c r="A1326">
        <v>45511</v>
      </c>
      <c r="B1326" t="s">
        <v>46</v>
      </c>
      <c r="C1326" t="s">
        <v>20</v>
      </c>
      <c r="D1326" t="s">
        <v>27</v>
      </c>
      <c r="E1326">
        <v>1000</v>
      </c>
      <c r="F1326" t="s">
        <v>22</v>
      </c>
      <c r="G1326" t="s">
        <v>28</v>
      </c>
    </row>
    <row r="1327" spans="1:7" x14ac:dyDescent="0.3">
      <c r="A1327">
        <v>45504</v>
      </c>
      <c r="B1327" t="s">
        <v>29</v>
      </c>
      <c r="C1327" t="s">
        <v>26</v>
      </c>
      <c r="D1327" t="s">
        <v>27</v>
      </c>
      <c r="E1327">
        <v>1000</v>
      </c>
      <c r="F1327" t="s">
        <v>22</v>
      </c>
      <c r="G1327" t="s">
        <v>28</v>
      </c>
    </row>
    <row r="1328" spans="1:7" x14ac:dyDescent="0.3">
      <c r="A1328">
        <v>45503</v>
      </c>
      <c r="B1328" t="s">
        <v>43</v>
      </c>
      <c r="C1328" t="s">
        <v>20</v>
      </c>
      <c r="D1328" t="s">
        <v>31</v>
      </c>
      <c r="E1328">
        <v>500</v>
      </c>
      <c r="F1328" t="s">
        <v>44</v>
      </c>
      <c r="G1328" t="s">
        <v>45</v>
      </c>
    </row>
    <row r="1329" spans="1:7" x14ac:dyDescent="0.3">
      <c r="A1329">
        <v>45505</v>
      </c>
      <c r="B1329" t="s">
        <v>49</v>
      </c>
      <c r="C1329" t="s">
        <v>20</v>
      </c>
      <c r="D1329" t="s">
        <v>31</v>
      </c>
      <c r="E1329">
        <v>800</v>
      </c>
      <c r="F1329" t="s">
        <v>41</v>
      </c>
      <c r="G1329" t="s">
        <v>39</v>
      </c>
    </row>
    <row r="1330" spans="1:7" x14ac:dyDescent="0.3">
      <c r="A1330">
        <v>45501</v>
      </c>
      <c r="B1330" t="s">
        <v>25</v>
      </c>
      <c r="C1330" t="s">
        <v>26</v>
      </c>
      <c r="D1330" t="s">
        <v>27</v>
      </c>
      <c r="E1330">
        <v>1000</v>
      </c>
      <c r="F1330" t="s">
        <v>22</v>
      </c>
      <c r="G1330" t="s">
        <v>28</v>
      </c>
    </row>
    <row r="1331" spans="1:7" x14ac:dyDescent="0.3">
      <c r="A1331">
        <v>45512</v>
      </c>
      <c r="B1331" t="s">
        <v>36</v>
      </c>
      <c r="C1331" t="s">
        <v>26</v>
      </c>
      <c r="D1331" t="s">
        <v>21</v>
      </c>
      <c r="E1331">
        <v>1000</v>
      </c>
      <c r="F1331" t="s">
        <v>37</v>
      </c>
      <c r="G1331" t="s">
        <v>28</v>
      </c>
    </row>
    <row r="1332" spans="1:7" x14ac:dyDescent="0.3">
      <c r="A1332">
        <v>45505</v>
      </c>
      <c r="B1332" t="s">
        <v>49</v>
      </c>
      <c r="C1332" t="s">
        <v>20</v>
      </c>
      <c r="D1332" t="s">
        <v>31</v>
      </c>
      <c r="E1332">
        <v>800</v>
      </c>
      <c r="F1332" t="s">
        <v>41</v>
      </c>
      <c r="G1332" t="s">
        <v>39</v>
      </c>
    </row>
    <row r="1333" spans="1:7" x14ac:dyDescent="0.3">
      <c r="A1333">
        <v>45507</v>
      </c>
      <c r="B1333" t="s">
        <v>33</v>
      </c>
      <c r="C1333" t="s">
        <v>26</v>
      </c>
      <c r="D1333" t="s">
        <v>21</v>
      </c>
      <c r="E1333">
        <v>1000</v>
      </c>
      <c r="F1333" t="s">
        <v>34</v>
      </c>
      <c r="G1333" t="s">
        <v>35</v>
      </c>
    </row>
    <row r="1334" spans="1:7" x14ac:dyDescent="0.3">
      <c r="A1334">
        <v>45507</v>
      </c>
      <c r="B1334" t="s">
        <v>33</v>
      </c>
      <c r="C1334" t="s">
        <v>26</v>
      </c>
      <c r="D1334" t="s">
        <v>21</v>
      </c>
      <c r="E1334">
        <v>1000</v>
      </c>
      <c r="F1334" t="s">
        <v>34</v>
      </c>
      <c r="G1334" t="s">
        <v>35</v>
      </c>
    </row>
    <row r="1335" spans="1:7" x14ac:dyDescent="0.3">
      <c r="A1335">
        <v>45503</v>
      </c>
      <c r="B1335" t="s">
        <v>43</v>
      </c>
      <c r="C1335" t="s">
        <v>20</v>
      </c>
      <c r="D1335" t="s">
        <v>31</v>
      </c>
      <c r="E1335">
        <v>500</v>
      </c>
      <c r="F1335" t="s">
        <v>44</v>
      </c>
      <c r="G1335" t="s">
        <v>45</v>
      </c>
    </row>
    <row r="1336" spans="1:7" x14ac:dyDescent="0.3">
      <c r="A1336">
        <v>45503</v>
      </c>
      <c r="B1336" t="s">
        <v>43</v>
      </c>
      <c r="C1336" t="s">
        <v>20</v>
      </c>
      <c r="D1336" t="s">
        <v>31</v>
      </c>
      <c r="E1336">
        <v>500</v>
      </c>
      <c r="F1336" t="s">
        <v>44</v>
      </c>
      <c r="G1336" t="s">
        <v>45</v>
      </c>
    </row>
    <row r="1337" spans="1:7" x14ac:dyDescent="0.3">
      <c r="A1337">
        <v>45503</v>
      </c>
      <c r="B1337" t="s">
        <v>43</v>
      </c>
      <c r="C1337" t="s">
        <v>20</v>
      </c>
      <c r="D1337" t="s">
        <v>31</v>
      </c>
      <c r="E1337">
        <v>500</v>
      </c>
      <c r="F1337" t="s">
        <v>44</v>
      </c>
      <c r="G1337" t="s">
        <v>45</v>
      </c>
    </row>
    <row r="1338" spans="1:7" x14ac:dyDescent="0.3">
      <c r="A1338">
        <v>45507</v>
      </c>
      <c r="B1338" t="s">
        <v>33</v>
      </c>
      <c r="C1338" t="s">
        <v>26</v>
      </c>
      <c r="D1338" t="s">
        <v>21</v>
      </c>
      <c r="E1338">
        <v>1000</v>
      </c>
      <c r="F1338" t="s">
        <v>34</v>
      </c>
      <c r="G1338" t="s">
        <v>35</v>
      </c>
    </row>
    <row r="1339" spans="1:7" x14ac:dyDescent="0.3">
      <c r="A1339">
        <v>45514</v>
      </c>
      <c r="B1339" t="s">
        <v>43</v>
      </c>
      <c r="C1339" t="s">
        <v>20</v>
      </c>
      <c r="D1339" t="s">
        <v>31</v>
      </c>
      <c r="E1339">
        <v>1000</v>
      </c>
      <c r="F1339" t="s">
        <v>41</v>
      </c>
      <c r="G1339" t="s">
        <v>47</v>
      </c>
    </row>
    <row r="1340" spans="1:7" x14ac:dyDescent="0.3">
      <c r="A1340">
        <v>45511</v>
      </c>
      <c r="B1340" t="s">
        <v>46</v>
      </c>
      <c r="C1340" t="s">
        <v>20</v>
      </c>
      <c r="D1340" t="s">
        <v>27</v>
      </c>
      <c r="E1340">
        <v>1000</v>
      </c>
      <c r="F1340" t="s">
        <v>22</v>
      </c>
      <c r="G1340" t="s">
        <v>28</v>
      </c>
    </row>
    <row r="1341" spans="1:7" x14ac:dyDescent="0.3">
      <c r="A1341">
        <v>45501</v>
      </c>
      <c r="B1341" t="s">
        <v>25</v>
      </c>
      <c r="C1341" t="s">
        <v>26</v>
      </c>
      <c r="D1341" t="s">
        <v>27</v>
      </c>
      <c r="E1341">
        <v>1000</v>
      </c>
      <c r="F1341" t="s">
        <v>22</v>
      </c>
      <c r="G1341" t="s">
        <v>28</v>
      </c>
    </row>
    <row r="1342" spans="1:7" x14ac:dyDescent="0.3">
      <c r="A1342">
        <v>45507</v>
      </c>
      <c r="B1342" t="s">
        <v>33</v>
      </c>
      <c r="C1342" t="s">
        <v>26</v>
      </c>
      <c r="D1342" t="s">
        <v>21</v>
      </c>
      <c r="E1342">
        <v>1000</v>
      </c>
      <c r="F1342" t="s">
        <v>34</v>
      </c>
      <c r="G1342" t="s">
        <v>35</v>
      </c>
    </row>
    <row r="1343" spans="1:7" x14ac:dyDescent="0.3">
      <c r="A1343">
        <v>45512</v>
      </c>
      <c r="B1343" t="s">
        <v>36</v>
      </c>
      <c r="C1343" t="s">
        <v>26</v>
      </c>
      <c r="D1343" t="s">
        <v>21</v>
      </c>
      <c r="E1343">
        <v>1000</v>
      </c>
      <c r="F1343" t="s">
        <v>37</v>
      </c>
      <c r="G1343" t="s">
        <v>28</v>
      </c>
    </row>
    <row r="1344" spans="1:7" x14ac:dyDescent="0.3">
      <c r="A1344">
        <v>45504</v>
      </c>
      <c r="B1344" t="s">
        <v>29</v>
      </c>
      <c r="C1344" t="s">
        <v>26</v>
      </c>
      <c r="D1344" t="s">
        <v>27</v>
      </c>
      <c r="E1344">
        <v>1000</v>
      </c>
      <c r="F1344" t="s">
        <v>22</v>
      </c>
      <c r="G1344" t="s">
        <v>28</v>
      </c>
    </row>
    <row r="1345" spans="1:7" x14ac:dyDescent="0.3">
      <c r="A1345">
        <v>45511</v>
      </c>
      <c r="B1345" t="s">
        <v>46</v>
      </c>
      <c r="C1345" t="s">
        <v>20</v>
      </c>
      <c r="D1345" t="s">
        <v>27</v>
      </c>
      <c r="E1345">
        <v>1000</v>
      </c>
      <c r="F1345" t="s">
        <v>22</v>
      </c>
      <c r="G1345" t="s">
        <v>28</v>
      </c>
    </row>
    <row r="1346" spans="1:7" x14ac:dyDescent="0.3">
      <c r="A1346">
        <v>45500</v>
      </c>
      <c r="B1346" t="s">
        <v>19</v>
      </c>
      <c r="C1346" t="s">
        <v>20</v>
      </c>
      <c r="D1346" t="s">
        <v>21</v>
      </c>
      <c r="E1346">
        <v>500</v>
      </c>
      <c r="F1346" t="s">
        <v>32</v>
      </c>
      <c r="G1346" t="s">
        <v>47</v>
      </c>
    </row>
    <row r="1347" spans="1:7" x14ac:dyDescent="0.3">
      <c r="A1347">
        <v>45510</v>
      </c>
      <c r="B1347" t="s">
        <v>48</v>
      </c>
      <c r="C1347" t="s">
        <v>20</v>
      </c>
      <c r="D1347" t="s">
        <v>27</v>
      </c>
      <c r="E1347">
        <v>1000</v>
      </c>
      <c r="F1347" t="s">
        <v>22</v>
      </c>
      <c r="G1347" t="s">
        <v>28</v>
      </c>
    </row>
    <row r="1348" spans="1:7" x14ac:dyDescent="0.3">
      <c r="A1348">
        <v>45503</v>
      </c>
      <c r="B1348" t="s">
        <v>43</v>
      </c>
      <c r="C1348" t="s">
        <v>20</v>
      </c>
      <c r="D1348" t="s">
        <v>31</v>
      </c>
      <c r="E1348">
        <v>500</v>
      </c>
      <c r="F1348" t="s">
        <v>44</v>
      </c>
      <c r="G1348" t="s">
        <v>45</v>
      </c>
    </row>
    <row r="1349" spans="1:7" x14ac:dyDescent="0.3">
      <c r="A1349">
        <v>45505</v>
      </c>
      <c r="B1349" t="s">
        <v>49</v>
      </c>
      <c r="C1349" t="s">
        <v>20</v>
      </c>
      <c r="D1349" t="s">
        <v>31</v>
      </c>
      <c r="E1349">
        <v>800</v>
      </c>
      <c r="F1349" t="s">
        <v>41</v>
      </c>
      <c r="G1349" t="s">
        <v>39</v>
      </c>
    </row>
    <row r="1350" spans="1:7" x14ac:dyDescent="0.3">
      <c r="A1350">
        <v>45505</v>
      </c>
      <c r="B1350" t="s">
        <v>49</v>
      </c>
      <c r="C1350" t="s">
        <v>20</v>
      </c>
      <c r="D1350" t="s">
        <v>31</v>
      </c>
      <c r="E1350">
        <v>800</v>
      </c>
      <c r="F1350" t="s">
        <v>41</v>
      </c>
      <c r="G1350" t="s">
        <v>39</v>
      </c>
    </row>
    <row r="1351" spans="1:7" x14ac:dyDescent="0.3">
      <c r="A1351">
        <v>45512</v>
      </c>
      <c r="B1351" t="s">
        <v>36</v>
      </c>
      <c r="C1351" t="s">
        <v>26</v>
      </c>
      <c r="D1351" t="s">
        <v>21</v>
      </c>
      <c r="E1351">
        <v>1000</v>
      </c>
      <c r="F1351" t="s">
        <v>37</v>
      </c>
      <c r="G1351" t="s">
        <v>28</v>
      </c>
    </row>
    <row r="1352" spans="1:7" x14ac:dyDescent="0.3">
      <c r="A1352">
        <v>45511</v>
      </c>
      <c r="B1352" t="s">
        <v>46</v>
      </c>
      <c r="C1352" t="s">
        <v>20</v>
      </c>
      <c r="D1352" t="s">
        <v>27</v>
      </c>
      <c r="E1352">
        <v>1000</v>
      </c>
      <c r="F1352" t="s">
        <v>22</v>
      </c>
      <c r="G1352" t="s">
        <v>28</v>
      </c>
    </row>
    <row r="1353" spans="1:7" x14ac:dyDescent="0.3">
      <c r="A1353">
        <v>45504</v>
      </c>
      <c r="B1353" t="s">
        <v>29</v>
      </c>
      <c r="C1353" t="s">
        <v>26</v>
      </c>
      <c r="D1353" t="s">
        <v>27</v>
      </c>
      <c r="E1353">
        <v>1000</v>
      </c>
      <c r="F1353" t="s">
        <v>22</v>
      </c>
      <c r="G1353" t="s">
        <v>28</v>
      </c>
    </row>
    <row r="1354" spans="1:7" x14ac:dyDescent="0.3">
      <c r="A1354">
        <v>45500</v>
      </c>
      <c r="B1354" t="s">
        <v>19</v>
      </c>
      <c r="C1354" t="s">
        <v>20</v>
      </c>
      <c r="D1354" t="s">
        <v>21</v>
      </c>
      <c r="E1354">
        <v>500</v>
      </c>
      <c r="F1354" t="s">
        <v>32</v>
      </c>
      <c r="G1354" t="s">
        <v>47</v>
      </c>
    </row>
    <row r="1355" spans="1:7" x14ac:dyDescent="0.3">
      <c r="A1355">
        <v>45511</v>
      </c>
      <c r="B1355" t="s">
        <v>46</v>
      </c>
      <c r="C1355" t="s">
        <v>20</v>
      </c>
      <c r="D1355" t="s">
        <v>27</v>
      </c>
      <c r="E1355">
        <v>1000</v>
      </c>
      <c r="F1355" t="s">
        <v>22</v>
      </c>
      <c r="G1355" t="s">
        <v>28</v>
      </c>
    </row>
    <row r="1356" spans="1:7" x14ac:dyDescent="0.3">
      <c r="A1356">
        <v>45507</v>
      </c>
      <c r="B1356" t="s">
        <v>33</v>
      </c>
      <c r="C1356" t="s">
        <v>26</v>
      </c>
      <c r="D1356" t="s">
        <v>21</v>
      </c>
      <c r="E1356">
        <v>1000</v>
      </c>
      <c r="F1356" t="s">
        <v>34</v>
      </c>
      <c r="G1356" t="s">
        <v>35</v>
      </c>
    </row>
    <row r="1357" spans="1:7" x14ac:dyDescent="0.3">
      <c r="A1357">
        <v>45513</v>
      </c>
      <c r="B1357" t="s">
        <v>19</v>
      </c>
      <c r="C1357" t="s">
        <v>20</v>
      </c>
      <c r="D1357" t="s">
        <v>21</v>
      </c>
      <c r="E1357">
        <v>1000</v>
      </c>
      <c r="F1357" t="s">
        <v>22</v>
      </c>
      <c r="G1357" t="s">
        <v>23</v>
      </c>
    </row>
    <row r="1358" spans="1:7" x14ac:dyDescent="0.3">
      <c r="A1358">
        <v>45510</v>
      </c>
      <c r="B1358" t="s">
        <v>48</v>
      </c>
      <c r="C1358" t="s">
        <v>20</v>
      </c>
      <c r="D1358" t="s">
        <v>27</v>
      </c>
      <c r="E1358">
        <v>1000</v>
      </c>
      <c r="F1358" t="s">
        <v>22</v>
      </c>
      <c r="G1358" t="s">
        <v>28</v>
      </c>
    </row>
    <row r="1359" spans="1:7" x14ac:dyDescent="0.3">
      <c r="A1359">
        <v>45510</v>
      </c>
      <c r="B1359" t="s">
        <v>48</v>
      </c>
      <c r="C1359" t="s">
        <v>20</v>
      </c>
      <c r="D1359" t="s">
        <v>27</v>
      </c>
      <c r="E1359">
        <v>1000</v>
      </c>
      <c r="F1359" t="s">
        <v>22</v>
      </c>
      <c r="G1359" t="s">
        <v>28</v>
      </c>
    </row>
    <row r="1360" spans="1:7" x14ac:dyDescent="0.3">
      <c r="A1360">
        <v>45511</v>
      </c>
      <c r="B1360" t="s">
        <v>46</v>
      </c>
      <c r="C1360" t="s">
        <v>20</v>
      </c>
      <c r="D1360" t="s">
        <v>27</v>
      </c>
      <c r="E1360">
        <v>1000</v>
      </c>
      <c r="F1360" t="s">
        <v>22</v>
      </c>
      <c r="G1360" t="s">
        <v>28</v>
      </c>
    </row>
    <row r="1361" spans="1:7" x14ac:dyDescent="0.3">
      <c r="A1361">
        <v>45504</v>
      </c>
      <c r="B1361" t="s">
        <v>29</v>
      </c>
      <c r="C1361" t="s">
        <v>26</v>
      </c>
      <c r="D1361" t="s">
        <v>27</v>
      </c>
      <c r="E1361">
        <v>1000</v>
      </c>
      <c r="F1361" t="s">
        <v>22</v>
      </c>
      <c r="G1361" t="s">
        <v>28</v>
      </c>
    </row>
    <row r="1362" spans="1:7" x14ac:dyDescent="0.3">
      <c r="A1362">
        <v>45514</v>
      </c>
      <c r="B1362" t="s">
        <v>43</v>
      </c>
      <c r="C1362" t="s">
        <v>20</v>
      </c>
      <c r="D1362" t="s">
        <v>31</v>
      </c>
      <c r="E1362">
        <v>1000</v>
      </c>
      <c r="F1362" t="s">
        <v>41</v>
      </c>
      <c r="G1362" t="s">
        <v>47</v>
      </c>
    </row>
    <row r="1363" spans="1:7" x14ac:dyDescent="0.3">
      <c r="A1363">
        <v>45511</v>
      </c>
      <c r="B1363" t="s">
        <v>46</v>
      </c>
      <c r="C1363" t="s">
        <v>20</v>
      </c>
      <c r="D1363" t="s">
        <v>27</v>
      </c>
      <c r="E1363">
        <v>1000</v>
      </c>
      <c r="F1363" t="s">
        <v>22</v>
      </c>
      <c r="G1363" t="s">
        <v>28</v>
      </c>
    </row>
    <row r="1364" spans="1:7" x14ac:dyDescent="0.3">
      <c r="A1364">
        <v>45510</v>
      </c>
      <c r="B1364" t="s">
        <v>48</v>
      </c>
      <c r="C1364" t="s">
        <v>20</v>
      </c>
      <c r="D1364" t="s">
        <v>27</v>
      </c>
      <c r="E1364">
        <v>1000</v>
      </c>
      <c r="F1364" t="s">
        <v>22</v>
      </c>
      <c r="G1364" t="s">
        <v>28</v>
      </c>
    </row>
    <row r="1365" spans="1:7" x14ac:dyDescent="0.3">
      <c r="A1365">
        <v>45513</v>
      </c>
      <c r="B1365" t="s">
        <v>19</v>
      </c>
      <c r="C1365" t="s">
        <v>20</v>
      </c>
      <c r="D1365" t="s">
        <v>21</v>
      </c>
      <c r="E1365">
        <v>1000</v>
      </c>
      <c r="F1365" t="s">
        <v>22</v>
      </c>
      <c r="G1365" t="s">
        <v>23</v>
      </c>
    </row>
    <row r="1366" spans="1:7" x14ac:dyDescent="0.3">
      <c r="A1366">
        <v>45508</v>
      </c>
      <c r="B1366" t="s">
        <v>42</v>
      </c>
      <c r="C1366" t="s">
        <v>20</v>
      </c>
      <c r="D1366" t="s">
        <v>31</v>
      </c>
      <c r="E1366">
        <v>1000</v>
      </c>
      <c r="F1366" t="s">
        <v>22</v>
      </c>
      <c r="G1366" t="s">
        <v>28</v>
      </c>
    </row>
    <row r="1367" spans="1:7" x14ac:dyDescent="0.3">
      <c r="A1367">
        <v>45513</v>
      </c>
      <c r="B1367" t="s">
        <v>19</v>
      </c>
      <c r="C1367" t="s">
        <v>20</v>
      </c>
      <c r="D1367" t="s">
        <v>21</v>
      </c>
      <c r="E1367">
        <v>1000</v>
      </c>
      <c r="F1367" t="s">
        <v>22</v>
      </c>
      <c r="G1367" t="s">
        <v>23</v>
      </c>
    </row>
    <row r="1368" spans="1:7" x14ac:dyDescent="0.3">
      <c r="A1368">
        <v>45504</v>
      </c>
      <c r="B1368" t="s">
        <v>29</v>
      </c>
      <c r="C1368" t="s">
        <v>26</v>
      </c>
      <c r="D1368" t="s">
        <v>27</v>
      </c>
      <c r="E1368">
        <v>1000</v>
      </c>
      <c r="F1368" t="s">
        <v>22</v>
      </c>
      <c r="G1368" t="s">
        <v>28</v>
      </c>
    </row>
    <row r="1369" spans="1:7" x14ac:dyDescent="0.3">
      <c r="A1369">
        <v>45508</v>
      </c>
      <c r="B1369" t="s">
        <v>42</v>
      </c>
      <c r="C1369" t="s">
        <v>20</v>
      </c>
      <c r="D1369" t="s">
        <v>31</v>
      </c>
      <c r="E1369">
        <v>1000</v>
      </c>
      <c r="F1369" t="s">
        <v>22</v>
      </c>
      <c r="G1369" t="s">
        <v>28</v>
      </c>
    </row>
    <row r="1370" spans="1:7" x14ac:dyDescent="0.3">
      <c r="A1370">
        <v>45505</v>
      </c>
      <c r="B1370" t="s">
        <v>49</v>
      </c>
      <c r="C1370" t="s">
        <v>20</v>
      </c>
      <c r="D1370" t="s">
        <v>31</v>
      </c>
      <c r="E1370">
        <v>800</v>
      </c>
      <c r="F1370" t="s">
        <v>41</v>
      </c>
      <c r="G1370" t="s">
        <v>39</v>
      </c>
    </row>
    <row r="1371" spans="1:7" x14ac:dyDescent="0.3">
      <c r="A1371">
        <v>45504</v>
      </c>
      <c r="B1371" t="s">
        <v>29</v>
      </c>
      <c r="C1371" t="s">
        <v>26</v>
      </c>
      <c r="D1371" t="s">
        <v>27</v>
      </c>
      <c r="E1371">
        <v>1000</v>
      </c>
      <c r="F1371" t="s">
        <v>22</v>
      </c>
      <c r="G1371" t="s">
        <v>28</v>
      </c>
    </row>
    <row r="1372" spans="1:7" x14ac:dyDescent="0.3">
      <c r="A1372">
        <v>45506</v>
      </c>
      <c r="B1372" t="s">
        <v>38</v>
      </c>
      <c r="C1372" t="s">
        <v>26</v>
      </c>
      <c r="D1372" t="s">
        <v>21</v>
      </c>
      <c r="E1372">
        <v>1000</v>
      </c>
      <c r="F1372" t="s">
        <v>34</v>
      </c>
      <c r="G1372" t="s">
        <v>39</v>
      </c>
    </row>
    <row r="1373" spans="1:7" x14ac:dyDescent="0.3">
      <c r="A1373">
        <v>45513</v>
      </c>
      <c r="B1373" t="s">
        <v>19</v>
      </c>
      <c r="C1373" t="s">
        <v>20</v>
      </c>
      <c r="D1373" t="s">
        <v>21</v>
      </c>
      <c r="E1373">
        <v>1000</v>
      </c>
      <c r="F1373" t="s">
        <v>22</v>
      </c>
      <c r="G1373" t="s">
        <v>23</v>
      </c>
    </row>
    <row r="1374" spans="1:7" x14ac:dyDescent="0.3">
      <c r="A1374">
        <v>45509</v>
      </c>
      <c r="B1374" t="s">
        <v>30</v>
      </c>
      <c r="C1374" t="s">
        <v>26</v>
      </c>
      <c r="D1374" t="s">
        <v>31</v>
      </c>
      <c r="E1374">
        <v>500</v>
      </c>
      <c r="F1374" t="s">
        <v>32</v>
      </c>
      <c r="G1374" t="s">
        <v>23</v>
      </c>
    </row>
    <row r="1375" spans="1:7" x14ac:dyDescent="0.3">
      <c r="A1375">
        <v>45502</v>
      </c>
      <c r="B1375" t="s">
        <v>40</v>
      </c>
      <c r="C1375" t="s">
        <v>20</v>
      </c>
      <c r="D1375" t="s">
        <v>31</v>
      </c>
      <c r="E1375">
        <v>800</v>
      </c>
      <c r="F1375" t="s">
        <v>41</v>
      </c>
      <c r="G1375" t="s">
        <v>23</v>
      </c>
    </row>
    <row r="1376" spans="1:7" x14ac:dyDescent="0.3">
      <c r="A1376">
        <v>45511</v>
      </c>
      <c r="B1376" t="s">
        <v>46</v>
      </c>
      <c r="C1376" t="s">
        <v>20</v>
      </c>
      <c r="D1376" t="s">
        <v>27</v>
      </c>
      <c r="E1376">
        <v>1000</v>
      </c>
      <c r="F1376" t="s">
        <v>22</v>
      </c>
      <c r="G1376" t="s">
        <v>28</v>
      </c>
    </row>
    <row r="1377" spans="1:7" x14ac:dyDescent="0.3">
      <c r="A1377">
        <v>45511</v>
      </c>
      <c r="B1377" t="s">
        <v>46</v>
      </c>
      <c r="C1377" t="s">
        <v>20</v>
      </c>
      <c r="D1377" t="s">
        <v>27</v>
      </c>
      <c r="E1377">
        <v>1000</v>
      </c>
      <c r="F1377" t="s">
        <v>22</v>
      </c>
      <c r="G1377" t="s">
        <v>28</v>
      </c>
    </row>
    <row r="1378" spans="1:7" x14ac:dyDescent="0.3">
      <c r="A1378">
        <v>45510</v>
      </c>
      <c r="B1378" t="s">
        <v>48</v>
      </c>
      <c r="C1378" t="s">
        <v>20</v>
      </c>
      <c r="D1378" t="s">
        <v>27</v>
      </c>
      <c r="E1378">
        <v>1000</v>
      </c>
      <c r="F1378" t="s">
        <v>22</v>
      </c>
      <c r="G1378" t="s">
        <v>28</v>
      </c>
    </row>
    <row r="1379" spans="1:7" x14ac:dyDescent="0.3">
      <c r="A1379">
        <v>45506</v>
      </c>
      <c r="B1379" t="s">
        <v>38</v>
      </c>
      <c r="C1379" t="s">
        <v>26</v>
      </c>
      <c r="D1379" t="s">
        <v>21</v>
      </c>
      <c r="E1379">
        <v>1000</v>
      </c>
      <c r="F1379" t="s">
        <v>34</v>
      </c>
      <c r="G1379" t="s">
        <v>39</v>
      </c>
    </row>
    <row r="1380" spans="1:7" x14ac:dyDescent="0.3">
      <c r="A1380">
        <v>45500</v>
      </c>
      <c r="B1380" t="s">
        <v>19</v>
      </c>
      <c r="C1380" t="s">
        <v>20</v>
      </c>
      <c r="D1380" t="s">
        <v>21</v>
      </c>
      <c r="E1380">
        <v>500</v>
      </c>
      <c r="F1380" t="s">
        <v>32</v>
      </c>
      <c r="G1380" t="s">
        <v>47</v>
      </c>
    </row>
    <row r="1381" spans="1:7" x14ac:dyDescent="0.3">
      <c r="A1381">
        <v>45500</v>
      </c>
      <c r="B1381" t="s">
        <v>19</v>
      </c>
      <c r="C1381" t="s">
        <v>20</v>
      </c>
      <c r="D1381" t="s">
        <v>21</v>
      </c>
      <c r="E1381">
        <v>500</v>
      </c>
      <c r="F1381" t="s">
        <v>32</v>
      </c>
      <c r="G1381" t="s">
        <v>47</v>
      </c>
    </row>
    <row r="1382" spans="1:7" x14ac:dyDescent="0.3">
      <c r="A1382">
        <v>45510</v>
      </c>
      <c r="B1382" t="s">
        <v>48</v>
      </c>
      <c r="C1382" t="s">
        <v>20</v>
      </c>
      <c r="D1382" t="s">
        <v>27</v>
      </c>
      <c r="E1382">
        <v>1000</v>
      </c>
      <c r="F1382" t="s">
        <v>22</v>
      </c>
      <c r="G1382" t="s">
        <v>28</v>
      </c>
    </row>
    <row r="1383" spans="1:7" x14ac:dyDescent="0.3">
      <c r="A1383">
        <v>45502</v>
      </c>
      <c r="B1383" t="s">
        <v>40</v>
      </c>
      <c r="C1383" t="s">
        <v>20</v>
      </c>
      <c r="D1383" t="s">
        <v>31</v>
      </c>
      <c r="E1383">
        <v>800</v>
      </c>
      <c r="F1383" t="s">
        <v>41</v>
      </c>
      <c r="G1383" t="s">
        <v>23</v>
      </c>
    </row>
    <row r="1384" spans="1:7" x14ac:dyDescent="0.3">
      <c r="A1384">
        <v>45503</v>
      </c>
      <c r="B1384" t="s">
        <v>43</v>
      </c>
      <c r="C1384" t="s">
        <v>20</v>
      </c>
      <c r="D1384" t="s">
        <v>31</v>
      </c>
      <c r="E1384">
        <v>500</v>
      </c>
      <c r="F1384" t="s">
        <v>44</v>
      </c>
      <c r="G1384" t="s">
        <v>45</v>
      </c>
    </row>
    <row r="1385" spans="1:7" x14ac:dyDescent="0.3">
      <c r="A1385">
        <v>45502</v>
      </c>
      <c r="B1385" t="s">
        <v>40</v>
      </c>
      <c r="C1385" t="s">
        <v>20</v>
      </c>
      <c r="D1385" t="s">
        <v>31</v>
      </c>
      <c r="E1385">
        <v>800</v>
      </c>
      <c r="F1385" t="s">
        <v>41</v>
      </c>
      <c r="G1385" t="s">
        <v>23</v>
      </c>
    </row>
    <row r="1386" spans="1:7" x14ac:dyDescent="0.3">
      <c r="A1386">
        <v>45510</v>
      </c>
      <c r="B1386" t="s">
        <v>48</v>
      </c>
      <c r="C1386" t="s">
        <v>20</v>
      </c>
      <c r="D1386" t="s">
        <v>27</v>
      </c>
      <c r="E1386">
        <v>1000</v>
      </c>
      <c r="F1386" t="s">
        <v>22</v>
      </c>
      <c r="G1386" t="s">
        <v>28</v>
      </c>
    </row>
    <row r="1387" spans="1:7" x14ac:dyDescent="0.3">
      <c r="A1387">
        <v>45501</v>
      </c>
      <c r="B1387" t="s">
        <v>25</v>
      </c>
      <c r="C1387" t="s">
        <v>26</v>
      </c>
      <c r="D1387" t="s">
        <v>27</v>
      </c>
      <c r="E1387">
        <v>1000</v>
      </c>
      <c r="F1387" t="s">
        <v>22</v>
      </c>
      <c r="G1387" t="s">
        <v>28</v>
      </c>
    </row>
    <row r="1388" spans="1:7" x14ac:dyDescent="0.3">
      <c r="A1388">
        <v>45513</v>
      </c>
      <c r="B1388" t="s">
        <v>19</v>
      </c>
      <c r="C1388" t="s">
        <v>20</v>
      </c>
      <c r="D1388" t="s">
        <v>21</v>
      </c>
      <c r="E1388">
        <v>1000</v>
      </c>
      <c r="F1388" t="s">
        <v>22</v>
      </c>
      <c r="G1388" t="s">
        <v>23</v>
      </c>
    </row>
    <row r="1389" spans="1:7" x14ac:dyDescent="0.3">
      <c r="A1389">
        <v>45502</v>
      </c>
      <c r="B1389" t="s">
        <v>40</v>
      </c>
      <c r="C1389" t="s">
        <v>20</v>
      </c>
      <c r="D1389" t="s">
        <v>31</v>
      </c>
      <c r="E1389">
        <v>800</v>
      </c>
      <c r="F1389" t="s">
        <v>41</v>
      </c>
      <c r="G1389" t="s">
        <v>23</v>
      </c>
    </row>
    <row r="1390" spans="1:7" x14ac:dyDescent="0.3">
      <c r="A1390">
        <v>45505</v>
      </c>
      <c r="B1390" t="s">
        <v>49</v>
      </c>
      <c r="C1390" t="s">
        <v>20</v>
      </c>
      <c r="D1390" t="s">
        <v>31</v>
      </c>
      <c r="E1390">
        <v>800</v>
      </c>
      <c r="F1390" t="s">
        <v>41</v>
      </c>
      <c r="G1390" t="s">
        <v>39</v>
      </c>
    </row>
    <row r="1391" spans="1:7" x14ac:dyDescent="0.3">
      <c r="A1391">
        <v>45513</v>
      </c>
      <c r="B1391" t="s">
        <v>19</v>
      </c>
      <c r="C1391" t="s">
        <v>20</v>
      </c>
      <c r="D1391" t="s">
        <v>21</v>
      </c>
      <c r="E1391">
        <v>1000</v>
      </c>
      <c r="F1391" t="s">
        <v>22</v>
      </c>
      <c r="G1391" t="s">
        <v>23</v>
      </c>
    </row>
    <row r="1392" spans="1:7" x14ac:dyDescent="0.3">
      <c r="A1392">
        <v>45504</v>
      </c>
      <c r="B1392" t="s">
        <v>29</v>
      </c>
      <c r="C1392" t="s">
        <v>26</v>
      </c>
      <c r="D1392" t="s">
        <v>27</v>
      </c>
      <c r="E1392">
        <v>1000</v>
      </c>
      <c r="F1392" t="s">
        <v>22</v>
      </c>
      <c r="G1392" t="s">
        <v>28</v>
      </c>
    </row>
    <row r="1393" spans="1:7" x14ac:dyDescent="0.3">
      <c r="A1393">
        <v>45506</v>
      </c>
      <c r="B1393" t="s">
        <v>38</v>
      </c>
      <c r="C1393" t="s">
        <v>26</v>
      </c>
      <c r="D1393" t="s">
        <v>21</v>
      </c>
      <c r="E1393">
        <v>1000</v>
      </c>
      <c r="F1393" t="s">
        <v>34</v>
      </c>
      <c r="G1393" t="s">
        <v>39</v>
      </c>
    </row>
    <row r="1394" spans="1:7" x14ac:dyDescent="0.3">
      <c r="A1394">
        <v>45513</v>
      </c>
      <c r="B1394" t="s">
        <v>19</v>
      </c>
      <c r="C1394" t="s">
        <v>20</v>
      </c>
      <c r="D1394" t="s">
        <v>21</v>
      </c>
      <c r="E1394">
        <v>1000</v>
      </c>
      <c r="F1394" t="s">
        <v>22</v>
      </c>
      <c r="G1394" t="s">
        <v>23</v>
      </c>
    </row>
    <row r="1395" spans="1:7" x14ac:dyDescent="0.3">
      <c r="A1395">
        <v>45514</v>
      </c>
      <c r="B1395" t="s">
        <v>43</v>
      </c>
      <c r="C1395" t="s">
        <v>20</v>
      </c>
      <c r="D1395" t="s">
        <v>31</v>
      </c>
      <c r="E1395">
        <v>1000</v>
      </c>
      <c r="F1395" t="s">
        <v>41</v>
      </c>
      <c r="G1395" t="s">
        <v>47</v>
      </c>
    </row>
    <row r="1396" spans="1:7" x14ac:dyDescent="0.3">
      <c r="A1396">
        <v>45509</v>
      </c>
      <c r="B1396" t="s">
        <v>30</v>
      </c>
      <c r="C1396" t="s">
        <v>26</v>
      </c>
      <c r="D1396" t="s">
        <v>31</v>
      </c>
      <c r="E1396">
        <v>500</v>
      </c>
      <c r="F1396" t="s">
        <v>32</v>
      </c>
      <c r="G1396" t="s">
        <v>23</v>
      </c>
    </row>
    <row r="1397" spans="1:7" x14ac:dyDescent="0.3">
      <c r="A1397">
        <v>45509</v>
      </c>
      <c r="B1397" t="s">
        <v>30</v>
      </c>
      <c r="C1397" t="s">
        <v>26</v>
      </c>
      <c r="D1397" t="s">
        <v>31</v>
      </c>
      <c r="E1397">
        <v>500</v>
      </c>
      <c r="F1397" t="s">
        <v>32</v>
      </c>
      <c r="G1397" t="s">
        <v>23</v>
      </c>
    </row>
    <row r="1398" spans="1:7" x14ac:dyDescent="0.3">
      <c r="A1398">
        <v>45507</v>
      </c>
      <c r="B1398" t="s">
        <v>33</v>
      </c>
      <c r="C1398" t="s">
        <v>26</v>
      </c>
      <c r="D1398" t="s">
        <v>21</v>
      </c>
      <c r="E1398">
        <v>1000</v>
      </c>
      <c r="F1398" t="s">
        <v>34</v>
      </c>
      <c r="G1398" t="s">
        <v>35</v>
      </c>
    </row>
    <row r="1399" spans="1:7" x14ac:dyDescent="0.3">
      <c r="A1399">
        <v>45506</v>
      </c>
      <c r="B1399" t="s">
        <v>38</v>
      </c>
      <c r="C1399" t="s">
        <v>26</v>
      </c>
      <c r="D1399" t="s">
        <v>21</v>
      </c>
      <c r="E1399">
        <v>1000</v>
      </c>
      <c r="F1399" t="s">
        <v>34</v>
      </c>
      <c r="G1399" t="s">
        <v>39</v>
      </c>
    </row>
    <row r="1400" spans="1:7" x14ac:dyDescent="0.3">
      <c r="A1400">
        <v>45503</v>
      </c>
      <c r="B1400" t="s">
        <v>43</v>
      </c>
      <c r="C1400" t="s">
        <v>20</v>
      </c>
      <c r="D1400" t="s">
        <v>31</v>
      </c>
      <c r="E1400">
        <v>500</v>
      </c>
      <c r="F1400" t="s">
        <v>44</v>
      </c>
      <c r="G1400" t="s">
        <v>45</v>
      </c>
    </row>
    <row r="1401" spans="1:7" x14ac:dyDescent="0.3">
      <c r="A1401">
        <v>45507</v>
      </c>
      <c r="B1401" t="s">
        <v>33</v>
      </c>
      <c r="C1401" t="s">
        <v>26</v>
      </c>
      <c r="D1401" t="s">
        <v>21</v>
      </c>
      <c r="E1401">
        <v>1000</v>
      </c>
      <c r="F1401" t="s">
        <v>34</v>
      </c>
      <c r="G1401" t="s">
        <v>35</v>
      </c>
    </row>
    <row r="1402" spans="1:7" x14ac:dyDescent="0.3">
      <c r="A1402">
        <v>45507</v>
      </c>
      <c r="B1402" t="s">
        <v>33</v>
      </c>
      <c r="C1402" t="s">
        <v>26</v>
      </c>
      <c r="D1402" t="s">
        <v>21</v>
      </c>
      <c r="E1402">
        <v>1000</v>
      </c>
      <c r="F1402" t="s">
        <v>34</v>
      </c>
      <c r="G1402" t="s">
        <v>35</v>
      </c>
    </row>
    <row r="1403" spans="1:7" x14ac:dyDescent="0.3">
      <c r="A1403">
        <v>45512</v>
      </c>
      <c r="B1403" t="s">
        <v>36</v>
      </c>
      <c r="C1403" t="s">
        <v>26</v>
      </c>
      <c r="D1403" t="s">
        <v>21</v>
      </c>
      <c r="E1403">
        <v>1000</v>
      </c>
      <c r="F1403" t="s">
        <v>37</v>
      </c>
      <c r="G1403" t="s">
        <v>28</v>
      </c>
    </row>
    <row r="1404" spans="1:7" x14ac:dyDescent="0.3">
      <c r="A1404">
        <v>45503</v>
      </c>
      <c r="B1404" t="s">
        <v>43</v>
      </c>
      <c r="C1404" t="s">
        <v>20</v>
      </c>
      <c r="D1404" t="s">
        <v>31</v>
      </c>
      <c r="E1404">
        <v>500</v>
      </c>
      <c r="F1404" t="s">
        <v>44</v>
      </c>
      <c r="G1404" t="s">
        <v>45</v>
      </c>
    </row>
    <row r="1405" spans="1:7" x14ac:dyDescent="0.3">
      <c r="A1405">
        <v>45501</v>
      </c>
      <c r="B1405" t="s">
        <v>25</v>
      </c>
      <c r="C1405" t="s">
        <v>26</v>
      </c>
      <c r="D1405" t="s">
        <v>27</v>
      </c>
      <c r="E1405">
        <v>1000</v>
      </c>
      <c r="F1405" t="s">
        <v>22</v>
      </c>
      <c r="G1405" t="s">
        <v>28</v>
      </c>
    </row>
    <row r="1406" spans="1:7" x14ac:dyDescent="0.3">
      <c r="A1406">
        <v>45505</v>
      </c>
      <c r="B1406" t="s">
        <v>49</v>
      </c>
      <c r="C1406" t="s">
        <v>20</v>
      </c>
      <c r="D1406" t="s">
        <v>31</v>
      </c>
      <c r="E1406">
        <v>800</v>
      </c>
      <c r="F1406" t="s">
        <v>41</v>
      </c>
      <c r="G1406" t="s">
        <v>39</v>
      </c>
    </row>
    <row r="1407" spans="1:7" x14ac:dyDescent="0.3">
      <c r="A1407">
        <v>45506</v>
      </c>
      <c r="B1407" t="s">
        <v>38</v>
      </c>
      <c r="C1407" t="s">
        <v>26</v>
      </c>
      <c r="D1407" t="s">
        <v>21</v>
      </c>
      <c r="E1407">
        <v>1000</v>
      </c>
      <c r="F1407" t="s">
        <v>34</v>
      </c>
      <c r="G1407" t="s">
        <v>39</v>
      </c>
    </row>
    <row r="1408" spans="1:7" x14ac:dyDescent="0.3">
      <c r="A1408">
        <v>45513</v>
      </c>
      <c r="B1408" t="s">
        <v>19</v>
      </c>
      <c r="C1408" t="s">
        <v>20</v>
      </c>
      <c r="D1408" t="s">
        <v>21</v>
      </c>
      <c r="E1408">
        <v>1000</v>
      </c>
      <c r="F1408" t="s">
        <v>22</v>
      </c>
      <c r="G1408" t="s">
        <v>23</v>
      </c>
    </row>
    <row r="1409" spans="1:7" x14ac:dyDescent="0.3">
      <c r="A1409">
        <v>45512</v>
      </c>
      <c r="B1409" t="s">
        <v>36</v>
      </c>
      <c r="C1409" t="s">
        <v>26</v>
      </c>
      <c r="D1409" t="s">
        <v>21</v>
      </c>
      <c r="E1409">
        <v>1000</v>
      </c>
      <c r="F1409" t="s">
        <v>37</v>
      </c>
      <c r="G1409" t="s">
        <v>28</v>
      </c>
    </row>
    <row r="1410" spans="1:7" x14ac:dyDescent="0.3">
      <c r="A1410">
        <v>45510</v>
      </c>
      <c r="B1410" t="s">
        <v>48</v>
      </c>
      <c r="C1410" t="s">
        <v>20</v>
      </c>
      <c r="D1410" t="s">
        <v>27</v>
      </c>
      <c r="E1410">
        <v>1000</v>
      </c>
      <c r="F1410" t="s">
        <v>22</v>
      </c>
      <c r="G1410" t="s">
        <v>28</v>
      </c>
    </row>
    <row r="1411" spans="1:7" x14ac:dyDescent="0.3">
      <c r="A1411">
        <v>45511</v>
      </c>
      <c r="B1411" t="s">
        <v>46</v>
      </c>
      <c r="C1411" t="s">
        <v>20</v>
      </c>
      <c r="D1411" t="s">
        <v>27</v>
      </c>
      <c r="E1411">
        <v>1000</v>
      </c>
      <c r="F1411" t="s">
        <v>22</v>
      </c>
      <c r="G1411" t="s">
        <v>28</v>
      </c>
    </row>
    <row r="1412" spans="1:7" x14ac:dyDescent="0.3">
      <c r="A1412">
        <v>45503</v>
      </c>
      <c r="B1412" t="s">
        <v>43</v>
      </c>
      <c r="C1412" t="s">
        <v>20</v>
      </c>
      <c r="D1412" t="s">
        <v>31</v>
      </c>
      <c r="E1412">
        <v>500</v>
      </c>
      <c r="F1412" t="s">
        <v>44</v>
      </c>
      <c r="G1412" t="s">
        <v>45</v>
      </c>
    </row>
    <row r="1413" spans="1:7" x14ac:dyDescent="0.3">
      <c r="A1413">
        <v>45514</v>
      </c>
      <c r="B1413" t="s">
        <v>43</v>
      </c>
      <c r="C1413" t="s">
        <v>20</v>
      </c>
      <c r="D1413" t="s">
        <v>31</v>
      </c>
      <c r="E1413">
        <v>1000</v>
      </c>
      <c r="F1413" t="s">
        <v>41</v>
      </c>
      <c r="G1413" t="s">
        <v>47</v>
      </c>
    </row>
    <row r="1414" spans="1:7" x14ac:dyDescent="0.3">
      <c r="A1414">
        <v>45508</v>
      </c>
      <c r="B1414" t="s">
        <v>42</v>
      </c>
      <c r="C1414" t="s">
        <v>20</v>
      </c>
      <c r="D1414" t="s">
        <v>31</v>
      </c>
      <c r="E1414">
        <v>1000</v>
      </c>
      <c r="F1414" t="s">
        <v>22</v>
      </c>
      <c r="G1414" t="s">
        <v>28</v>
      </c>
    </row>
    <row r="1415" spans="1:7" x14ac:dyDescent="0.3">
      <c r="A1415">
        <v>45505</v>
      </c>
      <c r="B1415" t="s">
        <v>49</v>
      </c>
      <c r="C1415" t="s">
        <v>20</v>
      </c>
      <c r="D1415" t="s">
        <v>31</v>
      </c>
      <c r="E1415">
        <v>800</v>
      </c>
      <c r="F1415" t="s">
        <v>41</v>
      </c>
      <c r="G1415" t="s">
        <v>39</v>
      </c>
    </row>
    <row r="1416" spans="1:7" x14ac:dyDescent="0.3">
      <c r="A1416">
        <v>45507</v>
      </c>
      <c r="B1416" t="s">
        <v>33</v>
      </c>
      <c r="C1416" t="s">
        <v>26</v>
      </c>
      <c r="D1416" t="s">
        <v>21</v>
      </c>
      <c r="E1416">
        <v>1000</v>
      </c>
      <c r="F1416" t="s">
        <v>34</v>
      </c>
      <c r="G1416" t="s">
        <v>35</v>
      </c>
    </row>
    <row r="1417" spans="1:7" x14ac:dyDescent="0.3">
      <c r="A1417">
        <v>45508</v>
      </c>
      <c r="B1417" t="s">
        <v>42</v>
      </c>
      <c r="C1417" t="s">
        <v>20</v>
      </c>
      <c r="D1417" t="s">
        <v>31</v>
      </c>
      <c r="E1417">
        <v>1000</v>
      </c>
      <c r="F1417" t="s">
        <v>22</v>
      </c>
      <c r="G1417" t="s">
        <v>28</v>
      </c>
    </row>
    <row r="1418" spans="1:7" x14ac:dyDescent="0.3">
      <c r="A1418">
        <v>45509</v>
      </c>
      <c r="B1418" t="s">
        <v>30</v>
      </c>
      <c r="C1418" t="s">
        <v>26</v>
      </c>
      <c r="D1418" t="s">
        <v>31</v>
      </c>
      <c r="E1418">
        <v>500</v>
      </c>
      <c r="F1418" t="s">
        <v>32</v>
      </c>
      <c r="G1418" t="s">
        <v>23</v>
      </c>
    </row>
    <row r="1419" spans="1:7" x14ac:dyDescent="0.3">
      <c r="A1419">
        <v>45501</v>
      </c>
      <c r="B1419" t="s">
        <v>25</v>
      </c>
      <c r="C1419" t="s">
        <v>26</v>
      </c>
      <c r="D1419" t="s">
        <v>27</v>
      </c>
      <c r="E1419">
        <v>1000</v>
      </c>
      <c r="F1419" t="s">
        <v>22</v>
      </c>
      <c r="G1419" t="s">
        <v>28</v>
      </c>
    </row>
    <row r="1420" spans="1:7" x14ac:dyDescent="0.3">
      <c r="A1420">
        <v>45511</v>
      </c>
      <c r="B1420" t="s">
        <v>46</v>
      </c>
      <c r="C1420" t="s">
        <v>20</v>
      </c>
      <c r="D1420" t="s">
        <v>27</v>
      </c>
      <c r="E1420">
        <v>1000</v>
      </c>
      <c r="F1420" t="s">
        <v>22</v>
      </c>
      <c r="G1420" t="s">
        <v>28</v>
      </c>
    </row>
    <row r="1421" spans="1:7" x14ac:dyDescent="0.3">
      <c r="A1421">
        <v>45509</v>
      </c>
      <c r="B1421" t="s">
        <v>30</v>
      </c>
      <c r="C1421" t="s">
        <v>26</v>
      </c>
      <c r="D1421" t="s">
        <v>31</v>
      </c>
      <c r="E1421">
        <v>500</v>
      </c>
      <c r="F1421" t="s">
        <v>32</v>
      </c>
      <c r="G1421" t="s">
        <v>23</v>
      </c>
    </row>
    <row r="1422" spans="1:7" x14ac:dyDescent="0.3">
      <c r="A1422">
        <v>45501</v>
      </c>
      <c r="B1422" t="s">
        <v>25</v>
      </c>
      <c r="C1422" t="s">
        <v>26</v>
      </c>
      <c r="D1422" t="s">
        <v>27</v>
      </c>
      <c r="E1422">
        <v>1000</v>
      </c>
      <c r="F1422" t="s">
        <v>22</v>
      </c>
      <c r="G1422" t="s">
        <v>28</v>
      </c>
    </row>
    <row r="1423" spans="1:7" x14ac:dyDescent="0.3">
      <c r="A1423">
        <v>45511</v>
      </c>
      <c r="B1423" t="s">
        <v>46</v>
      </c>
      <c r="C1423" t="s">
        <v>20</v>
      </c>
      <c r="D1423" t="s">
        <v>27</v>
      </c>
      <c r="E1423">
        <v>1000</v>
      </c>
      <c r="F1423" t="s">
        <v>22</v>
      </c>
      <c r="G1423" t="s">
        <v>28</v>
      </c>
    </row>
    <row r="1424" spans="1:7" x14ac:dyDescent="0.3">
      <c r="A1424">
        <v>45508</v>
      </c>
      <c r="B1424" t="s">
        <v>42</v>
      </c>
      <c r="C1424" t="s">
        <v>20</v>
      </c>
      <c r="D1424" t="s">
        <v>31</v>
      </c>
      <c r="E1424">
        <v>1000</v>
      </c>
      <c r="F1424" t="s">
        <v>22</v>
      </c>
      <c r="G1424" t="s">
        <v>28</v>
      </c>
    </row>
    <row r="1425" spans="1:7" x14ac:dyDescent="0.3">
      <c r="A1425">
        <v>45514</v>
      </c>
      <c r="B1425" t="s">
        <v>43</v>
      </c>
      <c r="C1425" t="s">
        <v>20</v>
      </c>
      <c r="D1425" t="s">
        <v>31</v>
      </c>
      <c r="E1425">
        <v>1000</v>
      </c>
      <c r="F1425" t="s">
        <v>41</v>
      </c>
      <c r="G1425" t="s">
        <v>47</v>
      </c>
    </row>
    <row r="1426" spans="1:7" x14ac:dyDescent="0.3">
      <c r="A1426">
        <v>45511</v>
      </c>
      <c r="B1426" t="s">
        <v>46</v>
      </c>
      <c r="C1426" t="s">
        <v>20</v>
      </c>
      <c r="D1426" t="s">
        <v>27</v>
      </c>
      <c r="E1426">
        <v>1000</v>
      </c>
      <c r="F1426" t="s">
        <v>22</v>
      </c>
      <c r="G1426" t="s">
        <v>28</v>
      </c>
    </row>
    <row r="1427" spans="1:7" x14ac:dyDescent="0.3">
      <c r="A1427">
        <v>45509</v>
      </c>
      <c r="B1427" t="s">
        <v>30</v>
      </c>
      <c r="C1427" t="s">
        <v>26</v>
      </c>
      <c r="D1427" t="s">
        <v>31</v>
      </c>
      <c r="E1427">
        <v>500</v>
      </c>
      <c r="F1427" t="s">
        <v>32</v>
      </c>
      <c r="G1427" t="s">
        <v>23</v>
      </c>
    </row>
    <row r="1428" spans="1:7" x14ac:dyDescent="0.3">
      <c r="A1428">
        <v>45502</v>
      </c>
      <c r="B1428" t="s">
        <v>40</v>
      </c>
      <c r="C1428" t="s">
        <v>20</v>
      </c>
      <c r="D1428" t="s">
        <v>31</v>
      </c>
      <c r="E1428">
        <v>800</v>
      </c>
      <c r="F1428" t="s">
        <v>41</v>
      </c>
      <c r="G1428" t="s">
        <v>23</v>
      </c>
    </row>
    <row r="1429" spans="1:7" x14ac:dyDescent="0.3">
      <c r="A1429">
        <v>45514</v>
      </c>
      <c r="B1429" t="s">
        <v>43</v>
      </c>
      <c r="C1429" t="s">
        <v>20</v>
      </c>
      <c r="D1429" t="s">
        <v>31</v>
      </c>
      <c r="E1429">
        <v>1000</v>
      </c>
      <c r="F1429" t="s">
        <v>41</v>
      </c>
      <c r="G1429" t="s">
        <v>47</v>
      </c>
    </row>
    <row r="1430" spans="1:7" x14ac:dyDescent="0.3">
      <c r="A1430">
        <v>45509</v>
      </c>
      <c r="B1430" t="s">
        <v>30</v>
      </c>
      <c r="C1430" t="s">
        <v>26</v>
      </c>
      <c r="D1430" t="s">
        <v>31</v>
      </c>
      <c r="E1430">
        <v>500</v>
      </c>
      <c r="F1430" t="s">
        <v>32</v>
      </c>
      <c r="G1430" t="s">
        <v>23</v>
      </c>
    </row>
    <row r="1431" spans="1:7" x14ac:dyDescent="0.3">
      <c r="A1431">
        <v>45500</v>
      </c>
      <c r="B1431" t="s">
        <v>19</v>
      </c>
      <c r="C1431" t="s">
        <v>20</v>
      </c>
      <c r="D1431" t="s">
        <v>21</v>
      </c>
      <c r="E1431">
        <v>500</v>
      </c>
      <c r="F1431" t="s">
        <v>32</v>
      </c>
      <c r="G1431" t="s">
        <v>47</v>
      </c>
    </row>
    <row r="1432" spans="1:7" x14ac:dyDescent="0.3">
      <c r="A1432">
        <v>45513</v>
      </c>
      <c r="B1432" t="s">
        <v>19</v>
      </c>
      <c r="C1432" t="s">
        <v>20</v>
      </c>
      <c r="D1432" t="s">
        <v>21</v>
      </c>
      <c r="E1432">
        <v>1000</v>
      </c>
      <c r="F1432" t="s">
        <v>22</v>
      </c>
      <c r="G1432" t="s">
        <v>23</v>
      </c>
    </row>
    <row r="1433" spans="1:7" x14ac:dyDescent="0.3">
      <c r="A1433">
        <v>45502</v>
      </c>
      <c r="B1433" t="s">
        <v>40</v>
      </c>
      <c r="C1433" t="s">
        <v>20</v>
      </c>
      <c r="D1433" t="s">
        <v>31</v>
      </c>
      <c r="E1433">
        <v>800</v>
      </c>
      <c r="F1433" t="s">
        <v>41</v>
      </c>
      <c r="G1433" t="s">
        <v>23</v>
      </c>
    </row>
    <row r="1434" spans="1:7" x14ac:dyDescent="0.3">
      <c r="A1434">
        <v>45503</v>
      </c>
      <c r="B1434" t="s">
        <v>43</v>
      </c>
      <c r="C1434" t="s">
        <v>20</v>
      </c>
      <c r="D1434" t="s">
        <v>31</v>
      </c>
      <c r="E1434">
        <v>500</v>
      </c>
      <c r="F1434" t="s">
        <v>44</v>
      </c>
      <c r="G1434" t="s">
        <v>45</v>
      </c>
    </row>
    <row r="1435" spans="1:7" x14ac:dyDescent="0.3">
      <c r="A1435">
        <v>45501</v>
      </c>
      <c r="B1435" t="s">
        <v>25</v>
      </c>
      <c r="C1435" t="s">
        <v>26</v>
      </c>
      <c r="D1435" t="s">
        <v>27</v>
      </c>
      <c r="E1435">
        <v>1000</v>
      </c>
      <c r="F1435" t="s">
        <v>22</v>
      </c>
      <c r="G1435" t="s">
        <v>28</v>
      </c>
    </row>
    <row r="1436" spans="1:7" x14ac:dyDescent="0.3">
      <c r="A1436">
        <v>45503</v>
      </c>
      <c r="B1436" t="s">
        <v>43</v>
      </c>
      <c r="C1436" t="s">
        <v>20</v>
      </c>
      <c r="D1436" t="s">
        <v>31</v>
      </c>
      <c r="E1436">
        <v>500</v>
      </c>
      <c r="F1436" t="s">
        <v>44</v>
      </c>
      <c r="G1436" t="s">
        <v>45</v>
      </c>
    </row>
    <row r="1437" spans="1:7" x14ac:dyDescent="0.3">
      <c r="A1437">
        <v>45511</v>
      </c>
      <c r="B1437" t="s">
        <v>46</v>
      </c>
      <c r="C1437" t="s">
        <v>20</v>
      </c>
      <c r="D1437" t="s">
        <v>27</v>
      </c>
      <c r="E1437">
        <v>1000</v>
      </c>
      <c r="F1437" t="s">
        <v>22</v>
      </c>
      <c r="G1437" t="s">
        <v>28</v>
      </c>
    </row>
    <row r="1438" spans="1:7" x14ac:dyDescent="0.3">
      <c r="A1438">
        <v>45501</v>
      </c>
      <c r="B1438" t="s">
        <v>25</v>
      </c>
      <c r="C1438" t="s">
        <v>26</v>
      </c>
      <c r="D1438" t="s">
        <v>27</v>
      </c>
      <c r="E1438">
        <v>1000</v>
      </c>
      <c r="F1438" t="s">
        <v>22</v>
      </c>
      <c r="G1438" t="s">
        <v>28</v>
      </c>
    </row>
    <row r="1439" spans="1:7" x14ac:dyDescent="0.3">
      <c r="A1439">
        <v>45500</v>
      </c>
      <c r="B1439" t="s">
        <v>19</v>
      </c>
      <c r="C1439" t="s">
        <v>20</v>
      </c>
      <c r="D1439" t="s">
        <v>21</v>
      </c>
      <c r="E1439">
        <v>500</v>
      </c>
      <c r="F1439" t="s">
        <v>32</v>
      </c>
      <c r="G1439" t="s">
        <v>47</v>
      </c>
    </row>
    <row r="1440" spans="1:7" x14ac:dyDescent="0.3">
      <c r="A1440">
        <v>45514</v>
      </c>
      <c r="B1440" t="s">
        <v>43</v>
      </c>
      <c r="C1440" t="s">
        <v>20</v>
      </c>
      <c r="D1440" t="s">
        <v>31</v>
      </c>
      <c r="E1440">
        <v>1000</v>
      </c>
      <c r="F1440" t="s">
        <v>41</v>
      </c>
      <c r="G1440" t="s">
        <v>47</v>
      </c>
    </row>
    <row r="1441" spans="1:7" x14ac:dyDescent="0.3">
      <c r="A1441">
        <v>45505</v>
      </c>
      <c r="B1441" t="s">
        <v>49</v>
      </c>
      <c r="C1441" t="s">
        <v>20</v>
      </c>
      <c r="D1441" t="s">
        <v>31</v>
      </c>
      <c r="E1441">
        <v>800</v>
      </c>
      <c r="F1441" t="s">
        <v>41</v>
      </c>
      <c r="G1441" t="s">
        <v>39</v>
      </c>
    </row>
    <row r="1442" spans="1:7" x14ac:dyDescent="0.3">
      <c r="A1442">
        <v>45512</v>
      </c>
      <c r="B1442" t="s">
        <v>36</v>
      </c>
      <c r="C1442" t="s">
        <v>26</v>
      </c>
      <c r="D1442" t="s">
        <v>21</v>
      </c>
      <c r="E1442">
        <v>1000</v>
      </c>
      <c r="F1442" t="s">
        <v>37</v>
      </c>
      <c r="G1442" t="s">
        <v>28</v>
      </c>
    </row>
    <row r="1443" spans="1:7" x14ac:dyDescent="0.3">
      <c r="A1443">
        <v>45508</v>
      </c>
      <c r="B1443" t="s">
        <v>42</v>
      </c>
      <c r="C1443" t="s">
        <v>20</v>
      </c>
      <c r="D1443" t="s">
        <v>31</v>
      </c>
      <c r="E1443">
        <v>1000</v>
      </c>
      <c r="F1443" t="s">
        <v>22</v>
      </c>
      <c r="G1443" t="s">
        <v>28</v>
      </c>
    </row>
    <row r="1444" spans="1:7" x14ac:dyDescent="0.3">
      <c r="A1444">
        <v>45500</v>
      </c>
      <c r="B1444" t="s">
        <v>19</v>
      </c>
      <c r="C1444" t="s">
        <v>20</v>
      </c>
      <c r="D1444" t="s">
        <v>21</v>
      </c>
      <c r="E1444">
        <v>500</v>
      </c>
      <c r="F1444" t="s">
        <v>32</v>
      </c>
      <c r="G1444" t="s">
        <v>47</v>
      </c>
    </row>
    <row r="1445" spans="1:7" x14ac:dyDescent="0.3">
      <c r="A1445">
        <v>45511</v>
      </c>
      <c r="B1445" t="s">
        <v>46</v>
      </c>
      <c r="C1445" t="s">
        <v>20</v>
      </c>
      <c r="D1445" t="s">
        <v>27</v>
      </c>
      <c r="E1445">
        <v>1000</v>
      </c>
      <c r="F1445" t="s">
        <v>22</v>
      </c>
      <c r="G1445" t="s">
        <v>28</v>
      </c>
    </row>
    <row r="1446" spans="1:7" x14ac:dyDescent="0.3">
      <c r="A1446">
        <v>45511</v>
      </c>
      <c r="B1446" t="s">
        <v>46</v>
      </c>
      <c r="C1446" t="s">
        <v>20</v>
      </c>
      <c r="D1446" t="s">
        <v>27</v>
      </c>
      <c r="E1446">
        <v>1000</v>
      </c>
      <c r="F1446" t="s">
        <v>22</v>
      </c>
      <c r="G1446" t="s">
        <v>28</v>
      </c>
    </row>
    <row r="1447" spans="1:7" x14ac:dyDescent="0.3">
      <c r="A1447">
        <v>45509</v>
      </c>
      <c r="B1447" t="s">
        <v>30</v>
      </c>
      <c r="C1447" t="s">
        <v>26</v>
      </c>
      <c r="D1447" t="s">
        <v>31</v>
      </c>
      <c r="E1447">
        <v>500</v>
      </c>
      <c r="F1447" t="s">
        <v>32</v>
      </c>
      <c r="G1447" t="s">
        <v>23</v>
      </c>
    </row>
    <row r="1448" spans="1:7" x14ac:dyDescent="0.3">
      <c r="A1448">
        <v>45504</v>
      </c>
      <c r="B1448" t="s">
        <v>29</v>
      </c>
      <c r="C1448" t="s">
        <v>26</v>
      </c>
      <c r="D1448" t="s">
        <v>27</v>
      </c>
      <c r="E1448">
        <v>1000</v>
      </c>
      <c r="F1448" t="s">
        <v>22</v>
      </c>
      <c r="G1448" t="s">
        <v>28</v>
      </c>
    </row>
    <row r="1449" spans="1:7" x14ac:dyDescent="0.3">
      <c r="A1449">
        <v>45500</v>
      </c>
      <c r="B1449" t="s">
        <v>19</v>
      </c>
      <c r="C1449" t="s">
        <v>20</v>
      </c>
      <c r="D1449" t="s">
        <v>21</v>
      </c>
      <c r="E1449">
        <v>500</v>
      </c>
      <c r="F1449" t="s">
        <v>32</v>
      </c>
      <c r="G1449" t="s">
        <v>47</v>
      </c>
    </row>
    <row r="1450" spans="1:7" x14ac:dyDescent="0.3">
      <c r="A1450">
        <v>45514</v>
      </c>
      <c r="B1450" t="s">
        <v>43</v>
      </c>
      <c r="C1450" t="s">
        <v>20</v>
      </c>
      <c r="D1450" t="s">
        <v>31</v>
      </c>
      <c r="E1450">
        <v>1000</v>
      </c>
      <c r="F1450" t="s">
        <v>41</v>
      </c>
      <c r="G1450" t="s">
        <v>47</v>
      </c>
    </row>
    <row r="1451" spans="1:7" x14ac:dyDescent="0.3">
      <c r="A1451">
        <v>45509</v>
      </c>
      <c r="B1451" t="s">
        <v>30</v>
      </c>
      <c r="C1451" t="s">
        <v>26</v>
      </c>
      <c r="D1451" t="s">
        <v>31</v>
      </c>
      <c r="E1451">
        <v>500</v>
      </c>
      <c r="F1451" t="s">
        <v>32</v>
      </c>
      <c r="G1451" t="s">
        <v>23</v>
      </c>
    </row>
    <row r="1452" spans="1:7" x14ac:dyDescent="0.3">
      <c r="A1452">
        <v>45504</v>
      </c>
      <c r="B1452" t="s">
        <v>29</v>
      </c>
      <c r="C1452" t="s">
        <v>26</v>
      </c>
      <c r="D1452" t="s">
        <v>27</v>
      </c>
      <c r="E1452">
        <v>1000</v>
      </c>
      <c r="F1452" t="s">
        <v>22</v>
      </c>
      <c r="G1452" t="s">
        <v>28</v>
      </c>
    </row>
    <row r="1453" spans="1:7" x14ac:dyDescent="0.3">
      <c r="A1453">
        <v>45512</v>
      </c>
      <c r="B1453" t="s">
        <v>36</v>
      </c>
      <c r="C1453" t="s">
        <v>26</v>
      </c>
      <c r="D1453" t="s">
        <v>21</v>
      </c>
      <c r="E1453">
        <v>1000</v>
      </c>
      <c r="F1453" t="s">
        <v>37</v>
      </c>
      <c r="G1453" t="s">
        <v>28</v>
      </c>
    </row>
    <row r="1454" spans="1:7" x14ac:dyDescent="0.3">
      <c r="A1454">
        <v>45501</v>
      </c>
      <c r="B1454" t="s">
        <v>25</v>
      </c>
      <c r="C1454" t="s">
        <v>26</v>
      </c>
      <c r="D1454" t="s">
        <v>27</v>
      </c>
      <c r="E1454">
        <v>1000</v>
      </c>
      <c r="F1454" t="s">
        <v>22</v>
      </c>
      <c r="G1454" t="s">
        <v>28</v>
      </c>
    </row>
    <row r="1455" spans="1:7" x14ac:dyDescent="0.3">
      <c r="A1455">
        <v>45501</v>
      </c>
      <c r="B1455" t="s">
        <v>25</v>
      </c>
      <c r="C1455" t="s">
        <v>26</v>
      </c>
      <c r="D1455" t="s">
        <v>27</v>
      </c>
      <c r="E1455">
        <v>1000</v>
      </c>
      <c r="F1455" t="s">
        <v>22</v>
      </c>
      <c r="G1455" t="s">
        <v>28</v>
      </c>
    </row>
    <row r="1456" spans="1:7" x14ac:dyDescent="0.3">
      <c r="A1456">
        <v>45511</v>
      </c>
      <c r="B1456" t="s">
        <v>46</v>
      </c>
      <c r="C1456" t="s">
        <v>20</v>
      </c>
      <c r="D1456" t="s">
        <v>27</v>
      </c>
      <c r="E1456">
        <v>1000</v>
      </c>
      <c r="F1456" t="s">
        <v>22</v>
      </c>
      <c r="G1456" t="s">
        <v>28</v>
      </c>
    </row>
    <row r="1457" spans="1:7" x14ac:dyDescent="0.3">
      <c r="A1457">
        <v>45501</v>
      </c>
      <c r="B1457" t="s">
        <v>25</v>
      </c>
      <c r="C1457" t="s">
        <v>26</v>
      </c>
      <c r="D1457" t="s">
        <v>27</v>
      </c>
      <c r="E1457">
        <v>1000</v>
      </c>
      <c r="F1457" t="s">
        <v>22</v>
      </c>
      <c r="G1457" t="s">
        <v>28</v>
      </c>
    </row>
    <row r="1458" spans="1:7" x14ac:dyDescent="0.3">
      <c r="A1458">
        <v>45510</v>
      </c>
      <c r="B1458" t="s">
        <v>48</v>
      </c>
      <c r="C1458" t="s">
        <v>20</v>
      </c>
      <c r="D1458" t="s">
        <v>27</v>
      </c>
      <c r="E1458">
        <v>1000</v>
      </c>
      <c r="F1458" t="s">
        <v>22</v>
      </c>
      <c r="G1458" t="s">
        <v>28</v>
      </c>
    </row>
    <row r="1459" spans="1:7" x14ac:dyDescent="0.3">
      <c r="A1459">
        <v>45504</v>
      </c>
      <c r="B1459" t="s">
        <v>29</v>
      </c>
      <c r="C1459" t="s">
        <v>26</v>
      </c>
      <c r="D1459" t="s">
        <v>27</v>
      </c>
      <c r="E1459">
        <v>1000</v>
      </c>
      <c r="F1459" t="s">
        <v>22</v>
      </c>
      <c r="G1459" t="s">
        <v>28</v>
      </c>
    </row>
    <row r="1460" spans="1:7" x14ac:dyDescent="0.3">
      <c r="A1460">
        <v>45502</v>
      </c>
      <c r="B1460" t="s">
        <v>40</v>
      </c>
      <c r="C1460" t="s">
        <v>20</v>
      </c>
      <c r="D1460" t="s">
        <v>31</v>
      </c>
      <c r="E1460">
        <v>800</v>
      </c>
      <c r="F1460" t="s">
        <v>41</v>
      </c>
      <c r="G1460" t="s">
        <v>23</v>
      </c>
    </row>
    <row r="1461" spans="1:7" x14ac:dyDescent="0.3">
      <c r="A1461">
        <v>45507</v>
      </c>
      <c r="B1461" t="s">
        <v>33</v>
      </c>
      <c r="C1461" t="s">
        <v>26</v>
      </c>
      <c r="D1461" t="s">
        <v>21</v>
      </c>
      <c r="E1461">
        <v>1000</v>
      </c>
      <c r="F1461" t="s">
        <v>34</v>
      </c>
      <c r="G1461" t="s">
        <v>35</v>
      </c>
    </row>
    <row r="1462" spans="1:7" x14ac:dyDescent="0.3">
      <c r="A1462">
        <v>45503</v>
      </c>
      <c r="B1462" t="s">
        <v>43</v>
      </c>
      <c r="C1462" t="s">
        <v>20</v>
      </c>
      <c r="D1462" t="s">
        <v>31</v>
      </c>
      <c r="E1462">
        <v>500</v>
      </c>
      <c r="F1462" t="s">
        <v>44</v>
      </c>
      <c r="G1462" t="s">
        <v>45</v>
      </c>
    </row>
    <row r="1463" spans="1:7" x14ac:dyDescent="0.3">
      <c r="A1463">
        <v>45513</v>
      </c>
      <c r="B1463" t="s">
        <v>19</v>
      </c>
      <c r="C1463" t="s">
        <v>20</v>
      </c>
      <c r="D1463" t="s">
        <v>21</v>
      </c>
      <c r="E1463">
        <v>1000</v>
      </c>
      <c r="F1463" t="s">
        <v>22</v>
      </c>
      <c r="G1463" t="s">
        <v>23</v>
      </c>
    </row>
    <row r="1464" spans="1:7" x14ac:dyDescent="0.3">
      <c r="A1464">
        <v>45507</v>
      </c>
      <c r="B1464" t="s">
        <v>33</v>
      </c>
      <c r="C1464" t="s">
        <v>26</v>
      </c>
      <c r="D1464" t="s">
        <v>21</v>
      </c>
      <c r="E1464">
        <v>1000</v>
      </c>
      <c r="F1464" t="s">
        <v>34</v>
      </c>
      <c r="G1464" t="s">
        <v>35</v>
      </c>
    </row>
    <row r="1465" spans="1:7" x14ac:dyDescent="0.3">
      <c r="A1465">
        <v>45512</v>
      </c>
      <c r="B1465" t="s">
        <v>36</v>
      </c>
      <c r="C1465" t="s">
        <v>26</v>
      </c>
      <c r="D1465" t="s">
        <v>21</v>
      </c>
      <c r="E1465">
        <v>1000</v>
      </c>
      <c r="F1465" t="s">
        <v>37</v>
      </c>
      <c r="G1465" t="s">
        <v>28</v>
      </c>
    </row>
    <row r="1466" spans="1:7" x14ac:dyDescent="0.3">
      <c r="A1466">
        <v>45502</v>
      </c>
      <c r="B1466" t="s">
        <v>40</v>
      </c>
      <c r="C1466" t="s">
        <v>20</v>
      </c>
      <c r="D1466" t="s">
        <v>31</v>
      </c>
      <c r="E1466">
        <v>800</v>
      </c>
      <c r="F1466" t="s">
        <v>41</v>
      </c>
      <c r="G1466" t="s">
        <v>23</v>
      </c>
    </row>
    <row r="1467" spans="1:7" x14ac:dyDescent="0.3">
      <c r="A1467">
        <v>45510</v>
      </c>
      <c r="B1467" t="s">
        <v>48</v>
      </c>
      <c r="C1467" t="s">
        <v>20</v>
      </c>
      <c r="D1467" t="s">
        <v>27</v>
      </c>
      <c r="E1467">
        <v>1000</v>
      </c>
      <c r="F1467" t="s">
        <v>22</v>
      </c>
      <c r="G1467" t="s">
        <v>28</v>
      </c>
    </row>
    <row r="1468" spans="1:7" x14ac:dyDescent="0.3">
      <c r="A1468">
        <v>45510</v>
      </c>
      <c r="B1468" t="s">
        <v>48</v>
      </c>
      <c r="C1468" t="s">
        <v>20</v>
      </c>
      <c r="D1468" t="s">
        <v>27</v>
      </c>
      <c r="E1468">
        <v>1000</v>
      </c>
      <c r="F1468" t="s">
        <v>22</v>
      </c>
      <c r="G1468" t="s">
        <v>28</v>
      </c>
    </row>
    <row r="1469" spans="1:7" x14ac:dyDescent="0.3">
      <c r="A1469">
        <v>45511</v>
      </c>
      <c r="B1469" t="s">
        <v>46</v>
      </c>
      <c r="C1469" t="s">
        <v>20</v>
      </c>
      <c r="D1469" t="s">
        <v>27</v>
      </c>
      <c r="E1469">
        <v>1000</v>
      </c>
      <c r="F1469" t="s">
        <v>22</v>
      </c>
      <c r="G1469" t="s">
        <v>28</v>
      </c>
    </row>
    <row r="1470" spans="1:7" x14ac:dyDescent="0.3">
      <c r="A1470">
        <v>45502</v>
      </c>
      <c r="B1470" t="s">
        <v>40</v>
      </c>
      <c r="C1470" t="s">
        <v>20</v>
      </c>
      <c r="D1470" t="s">
        <v>31</v>
      </c>
      <c r="E1470">
        <v>800</v>
      </c>
      <c r="F1470" t="s">
        <v>41</v>
      </c>
      <c r="G1470" t="s">
        <v>23</v>
      </c>
    </row>
    <row r="1471" spans="1:7" x14ac:dyDescent="0.3">
      <c r="A1471">
        <v>45510</v>
      </c>
      <c r="B1471" t="s">
        <v>48</v>
      </c>
      <c r="C1471" t="s">
        <v>20</v>
      </c>
      <c r="D1471" t="s">
        <v>27</v>
      </c>
      <c r="E1471">
        <v>1000</v>
      </c>
      <c r="F1471" t="s">
        <v>22</v>
      </c>
      <c r="G1471" t="s">
        <v>28</v>
      </c>
    </row>
    <row r="1472" spans="1:7" x14ac:dyDescent="0.3">
      <c r="A1472">
        <v>45514</v>
      </c>
      <c r="B1472" t="s">
        <v>43</v>
      </c>
      <c r="C1472" t="s">
        <v>20</v>
      </c>
      <c r="D1472" t="s">
        <v>31</v>
      </c>
      <c r="E1472">
        <v>1000</v>
      </c>
      <c r="F1472" t="s">
        <v>41</v>
      </c>
      <c r="G1472" t="s">
        <v>47</v>
      </c>
    </row>
    <row r="1473" spans="1:7" x14ac:dyDescent="0.3">
      <c r="A1473">
        <v>45514</v>
      </c>
      <c r="B1473" t="s">
        <v>43</v>
      </c>
      <c r="C1473" t="s">
        <v>20</v>
      </c>
      <c r="D1473" t="s">
        <v>31</v>
      </c>
      <c r="E1473">
        <v>1000</v>
      </c>
      <c r="F1473" t="s">
        <v>41</v>
      </c>
      <c r="G1473" t="s">
        <v>47</v>
      </c>
    </row>
    <row r="1474" spans="1:7" x14ac:dyDescent="0.3">
      <c r="A1474">
        <v>45502</v>
      </c>
      <c r="B1474" t="s">
        <v>40</v>
      </c>
      <c r="C1474" t="s">
        <v>20</v>
      </c>
      <c r="D1474" t="s">
        <v>31</v>
      </c>
      <c r="E1474">
        <v>800</v>
      </c>
      <c r="F1474" t="s">
        <v>41</v>
      </c>
      <c r="G1474" t="s">
        <v>23</v>
      </c>
    </row>
    <row r="1475" spans="1:7" x14ac:dyDescent="0.3">
      <c r="A1475">
        <v>45506</v>
      </c>
      <c r="B1475" t="s">
        <v>38</v>
      </c>
      <c r="C1475" t="s">
        <v>26</v>
      </c>
      <c r="D1475" t="s">
        <v>21</v>
      </c>
      <c r="E1475">
        <v>1000</v>
      </c>
      <c r="F1475" t="s">
        <v>34</v>
      </c>
      <c r="G1475" t="s">
        <v>39</v>
      </c>
    </row>
    <row r="1476" spans="1:7" x14ac:dyDescent="0.3">
      <c r="A1476">
        <v>45507</v>
      </c>
      <c r="B1476" t="s">
        <v>33</v>
      </c>
      <c r="C1476" t="s">
        <v>26</v>
      </c>
      <c r="D1476" t="s">
        <v>21</v>
      </c>
      <c r="E1476">
        <v>1000</v>
      </c>
      <c r="F1476" t="s">
        <v>34</v>
      </c>
      <c r="G1476" t="s">
        <v>35</v>
      </c>
    </row>
    <row r="1477" spans="1:7" x14ac:dyDescent="0.3">
      <c r="A1477">
        <v>45513</v>
      </c>
      <c r="B1477" t="s">
        <v>19</v>
      </c>
      <c r="C1477" t="s">
        <v>20</v>
      </c>
      <c r="D1477" t="s">
        <v>21</v>
      </c>
      <c r="E1477">
        <v>1000</v>
      </c>
      <c r="F1477" t="s">
        <v>22</v>
      </c>
      <c r="G1477" t="s">
        <v>23</v>
      </c>
    </row>
    <row r="1478" spans="1:7" x14ac:dyDescent="0.3">
      <c r="A1478">
        <v>45512</v>
      </c>
      <c r="B1478" t="s">
        <v>36</v>
      </c>
      <c r="C1478" t="s">
        <v>26</v>
      </c>
      <c r="D1478" t="s">
        <v>21</v>
      </c>
      <c r="E1478">
        <v>1000</v>
      </c>
      <c r="F1478" t="s">
        <v>37</v>
      </c>
      <c r="G1478" t="s">
        <v>28</v>
      </c>
    </row>
    <row r="1479" spans="1:7" x14ac:dyDescent="0.3">
      <c r="A1479">
        <v>45502</v>
      </c>
      <c r="B1479" t="s">
        <v>40</v>
      </c>
      <c r="C1479" t="s">
        <v>20</v>
      </c>
      <c r="D1479" t="s">
        <v>31</v>
      </c>
      <c r="E1479">
        <v>800</v>
      </c>
      <c r="F1479" t="s">
        <v>41</v>
      </c>
      <c r="G1479" t="s">
        <v>23</v>
      </c>
    </row>
    <row r="1480" spans="1:7" x14ac:dyDescent="0.3">
      <c r="A1480">
        <v>45510</v>
      </c>
      <c r="B1480" t="s">
        <v>48</v>
      </c>
      <c r="C1480" t="s">
        <v>20</v>
      </c>
      <c r="D1480" t="s">
        <v>27</v>
      </c>
      <c r="E1480">
        <v>1000</v>
      </c>
      <c r="F1480" t="s">
        <v>22</v>
      </c>
      <c r="G1480" t="s">
        <v>28</v>
      </c>
    </row>
    <row r="1481" spans="1:7" x14ac:dyDescent="0.3">
      <c r="A1481">
        <v>45504</v>
      </c>
      <c r="B1481" t="s">
        <v>29</v>
      </c>
      <c r="C1481" t="s">
        <v>26</v>
      </c>
      <c r="D1481" t="s">
        <v>27</v>
      </c>
      <c r="E1481">
        <v>1000</v>
      </c>
      <c r="F1481" t="s">
        <v>22</v>
      </c>
      <c r="G1481" t="s">
        <v>28</v>
      </c>
    </row>
    <row r="1482" spans="1:7" x14ac:dyDescent="0.3">
      <c r="A1482">
        <v>45510</v>
      </c>
      <c r="B1482" t="s">
        <v>48</v>
      </c>
      <c r="C1482" t="s">
        <v>20</v>
      </c>
      <c r="D1482" t="s">
        <v>27</v>
      </c>
      <c r="E1482">
        <v>1000</v>
      </c>
      <c r="F1482" t="s">
        <v>22</v>
      </c>
      <c r="G1482" t="s">
        <v>28</v>
      </c>
    </row>
    <row r="1483" spans="1:7" x14ac:dyDescent="0.3">
      <c r="A1483">
        <v>45502</v>
      </c>
      <c r="B1483" t="s">
        <v>40</v>
      </c>
      <c r="C1483" t="s">
        <v>20</v>
      </c>
      <c r="D1483" t="s">
        <v>31</v>
      </c>
      <c r="E1483">
        <v>800</v>
      </c>
      <c r="F1483" t="s">
        <v>41</v>
      </c>
      <c r="G1483" t="s">
        <v>23</v>
      </c>
    </row>
    <row r="1484" spans="1:7" x14ac:dyDescent="0.3">
      <c r="A1484">
        <v>45505</v>
      </c>
      <c r="B1484" t="s">
        <v>49</v>
      </c>
      <c r="C1484" t="s">
        <v>20</v>
      </c>
      <c r="D1484" t="s">
        <v>31</v>
      </c>
      <c r="E1484">
        <v>800</v>
      </c>
      <c r="F1484" t="s">
        <v>41</v>
      </c>
      <c r="G1484" t="s">
        <v>39</v>
      </c>
    </row>
    <row r="1485" spans="1:7" x14ac:dyDescent="0.3">
      <c r="A1485">
        <v>45511</v>
      </c>
      <c r="B1485" t="s">
        <v>46</v>
      </c>
      <c r="C1485" t="s">
        <v>20</v>
      </c>
      <c r="D1485" t="s">
        <v>27</v>
      </c>
      <c r="E1485">
        <v>1000</v>
      </c>
      <c r="F1485" t="s">
        <v>22</v>
      </c>
      <c r="G1485" t="s">
        <v>28</v>
      </c>
    </row>
    <row r="1486" spans="1:7" x14ac:dyDescent="0.3">
      <c r="A1486">
        <v>45508</v>
      </c>
      <c r="B1486" t="s">
        <v>42</v>
      </c>
      <c r="C1486" t="s">
        <v>20</v>
      </c>
      <c r="D1486" t="s">
        <v>31</v>
      </c>
      <c r="E1486">
        <v>1000</v>
      </c>
      <c r="F1486" t="s">
        <v>22</v>
      </c>
      <c r="G1486" t="s">
        <v>28</v>
      </c>
    </row>
    <row r="1487" spans="1:7" x14ac:dyDescent="0.3">
      <c r="A1487">
        <v>45514</v>
      </c>
      <c r="B1487" t="s">
        <v>43</v>
      </c>
      <c r="C1487" t="s">
        <v>20</v>
      </c>
      <c r="D1487" t="s">
        <v>31</v>
      </c>
      <c r="E1487">
        <v>1000</v>
      </c>
      <c r="F1487" t="s">
        <v>41</v>
      </c>
      <c r="G1487" t="s">
        <v>47</v>
      </c>
    </row>
    <row r="1488" spans="1:7" x14ac:dyDescent="0.3">
      <c r="A1488">
        <v>45507</v>
      </c>
      <c r="B1488" t="s">
        <v>33</v>
      </c>
      <c r="C1488" t="s">
        <v>26</v>
      </c>
      <c r="D1488" t="s">
        <v>21</v>
      </c>
      <c r="E1488">
        <v>1000</v>
      </c>
      <c r="F1488" t="s">
        <v>34</v>
      </c>
      <c r="G1488" t="s">
        <v>35</v>
      </c>
    </row>
    <row r="1489" spans="1:7" x14ac:dyDescent="0.3">
      <c r="A1489">
        <v>45501</v>
      </c>
      <c r="B1489" t="s">
        <v>25</v>
      </c>
      <c r="C1489" t="s">
        <v>26</v>
      </c>
      <c r="D1489" t="s">
        <v>27</v>
      </c>
      <c r="E1489">
        <v>1000</v>
      </c>
      <c r="F1489" t="s">
        <v>22</v>
      </c>
      <c r="G1489" t="s">
        <v>28</v>
      </c>
    </row>
    <row r="1490" spans="1:7" x14ac:dyDescent="0.3">
      <c r="A1490">
        <v>45507</v>
      </c>
      <c r="B1490" t="s">
        <v>33</v>
      </c>
      <c r="C1490" t="s">
        <v>26</v>
      </c>
      <c r="D1490" t="s">
        <v>21</v>
      </c>
      <c r="E1490">
        <v>1000</v>
      </c>
      <c r="F1490" t="s">
        <v>34</v>
      </c>
      <c r="G1490" t="s">
        <v>35</v>
      </c>
    </row>
    <row r="1491" spans="1:7" x14ac:dyDescent="0.3">
      <c r="A1491">
        <v>45503</v>
      </c>
      <c r="B1491" t="s">
        <v>43</v>
      </c>
      <c r="C1491" t="s">
        <v>20</v>
      </c>
      <c r="D1491" t="s">
        <v>31</v>
      </c>
      <c r="E1491">
        <v>500</v>
      </c>
      <c r="F1491" t="s">
        <v>44</v>
      </c>
      <c r="G1491" t="s">
        <v>45</v>
      </c>
    </row>
    <row r="1492" spans="1:7" x14ac:dyDescent="0.3">
      <c r="A1492">
        <v>45509</v>
      </c>
      <c r="B1492" t="s">
        <v>30</v>
      </c>
      <c r="C1492" t="s">
        <v>26</v>
      </c>
      <c r="D1492" t="s">
        <v>31</v>
      </c>
      <c r="E1492">
        <v>500</v>
      </c>
      <c r="F1492" t="s">
        <v>32</v>
      </c>
      <c r="G1492" t="s">
        <v>23</v>
      </c>
    </row>
    <row r="1493" spans="1:7" x14ac:dyDescent="0.3">
      <c r="A1493">
        <v>45510</v>
      </c>
      <c r="B1493" t="s">
        <v>48</v>
      </c>
      <c r="C1493" t="s">
        <v>20</v>
      </c>
      <c r="D1493" t="s">
        <v>27</v>
      </c>
      <c r="E1493">
        <v>1000</v>
      </c>
      <c r="F1493" t="s">
        <v>22</v>
      </c>
      <c r="G1493" t="s">
        <v>28</v>
      </c>
    </row>
    <row r="1494" spans="1:7" x14ac:dyDescent="0.3">
      <c r="A1494">
        <v>45507</v>
      </c>
      <c r="B1494" t="s">
        <v>33</v>
      </c>
      <c r="C1494" t="s">
        <v>26</v>
      </c>
      <c r="D1494" t="s">
        <v>21</v>
      </c>
      <c r="E1494">
        <v>1000</v>
      </c>
      <c r="F1494" t="s">
        <v>34</v>
      </c>
      <c r="G1494" t="s">
        <v>35</v>
      </c>
    </row>
    <row r="1495" spans="1:7" x14ac:dyDescent="0.3">
      <c r="A1495">
        <v>45500</v>
      </c>
      <c r="B1495" t="s">
        <v>19</v>
      </c>
      <c r="C1495" t="s">
        <v>20</v>
      </c>
      <c r="D1495" t="s">
        <v>21</v>
      </c>
      <c r="E1495">
        <v>500</v>
      </c>
      <c r="F1495" t="s">
        <v>32</v>
      </c>
      <c r="G1495" t="s">
        <v>47</v>
      </c>
    </row>
    <row r="1496" spans="1:7" x14ac:dyDescent="0.3">
      <c r="A1496">
        <v>45508</v>
      </c>
      <c r="B1496" t="s">
        <v>42</v>
      </c>
      <c r="C1496" t="s">
        <v>20</v>
      </c>
      <c r="D1496" t="s">
        <v>31</v>
      </c>
      <c r="E1496">
        <v>1000</v>
      </c>
      <c r="F1496" t="s">
        <v>22</v>
      </c>
      <c r="G1496" t="s">
        <v>28</v>
      </c>
    </row>
    <row r="1497" spans="1:7" x14ac:dyDescent="0.3">
      <c r="A1497">
        <v>45502</v>
      </c>
      <c r="B1497" t="s">
        <v>40</v>
      </c>
      <c r="C1497" t="s">
        <v>20</v>
      </c>
      <c r="D1497" t="s">
        <v>31</v>
      </c>
      <c r="E1497">
        <v>800</v>
      </c>
      <c r="F1497" t="s">
        <v>41</v>
      </c>
      <c r="G1497" t="s">
        <v>23</v>
      </c>
    </row>
    <row r="1498" spans="1:7" x14ac:dyDescent="0.3">
      <c r="A1498">
        <v>45506</v>
      </c>
      <c r="B1498" t="s">
        <v>38</v>
      </c>
      <c r="C1498" t="s">
        <v>26</v>
      </c>
      <c r="D1498" t="s">
        <v>21</v>
      </c>
      <c r="E1498">
        <v>1000</v>
      </c>
      <c r="F1498" t="s">
        <v>34</v>
      </c>
      <c r="G1498" t="s">
        <v>39</v>
      </c>
    </row>
    <row r="1499" spans="1:7" x14ac:dyDescent="0.3">
      <c r="A1499">
        <v>45510</v>
      </c>
      <c r="B1499" t="s">
        <v>48</v>
      </c>
      <c r="C1499" t="s">
        <v>20</v>
      </c>
      <c r="D1499" t="s">
        <v>27</v>
      </c>
      <c r="E1499">
        <v>1000</v>
      </c>
      <c r="F1499" t="s">
        <v>22</v>
      </c>
      <c r="G1499" t="s">
        <v>28</v>
      </c>
    </row>
    <row r="1500" spans="1:7" x14ac:dyDescent="0.3">
      <c r="A1500">
        <v>45511</v>
      </c>
      <c r="B1500" t="s">
        <v>46</v>
      </c>
      <c r="C1500" t="s">
        <v>20</v>
      </c>
      <c r="D1500" t="s">
        <v>27</v>
      </c>
      <c r="E1500">
        <v>1000</v>
      </c>
      <c r="F1500" t="s">
        <v>22</v>
      </c>
      <c r="G1500" t="s">
        <v>28</v>
      </c>
    </row>
    <row r="1501" spans="1:7" x14ac:dyDescent="0.3">
      <c r="A1501">
        <v>45503</v>
      </c>
      <c r="B1501" t="s">
        <v>43</v>
      </c>
      <c r="C1501" t="s">
        <v>20</v>
      </c>
      <c r="D1501" t="s">
        <v>31</v>
      </c>
      <c r="E1501">
        <v>500</v>
      </c>
      <c r="F1501" t="s">
        <v>44</v>
      </c>
      <c r="G1501" t="s">
        <v>45</v>
      </c>
    </row>
    <row r="1502" spans="1:7" x14ac:dyDescent="0.3">
      <c r="A1502">
        <v>45503</v>
      </c>
      <c r="B1502" t="s">
        <v>43</v>
      </c>
      <c r="C1502" t="s">
        <v>20</v>
      </c>
      <c r="D1502" t="s">
        <v>31</v>
      </c>
      <c r="E1502">
        <v>500</v>
      </c>
      <c r="F1502" t="s">
        <v>44</v>
      </c>
      <c r="G1502" t="s">
        <v>45</v>
      </c>
    </row>
    <row r="1503" spans="1:7" x14ac:dyDescent="0.3">
      <c r="A1503">
        <v>45510</v>
      </c>
      <c r="B1503" t="s">
        <v>48</v>
      </c>
      <c r="C1503" t="s">
        <v>20</v>
      </c>
      <c r="D1503" t="s">
        <v>27</v>
      </c>
      <c r="E1503">
        <v>1000</v>
      </c>
      <c r="F1503" t="s">
        <v>22</v>
      </c>
      <c r="G1503" t="s">
        <v>28</v>
      </c>
    </row>
    <row r="1504" spans="1:7" x14ac:dyDescent="0.3">
      <c r="A1504">
        <v>45500</v>
      </c>
      <c r="B1504" t="s">
        <v>19</v>
      </c>
      <c r="C1504" t="s">
        <v>20</v>
      </c>
      <c r="D1504" t="s">
        <v>21</v>
      </c>
      <c r="E1504">
        <v>500</v>
      </c>
      <c r="F1504" t="s">
        <v>32</v>
      </c>
      <c r="G1504" t="s">
        <v>47</v>
      </c>
    </row>
    <row r="1505" spans="1:7" x14ac:dyDescent="0.3">
      <c r="A1505">
        <v>45506</v>
      </c>
      <c r="B1505" t="s">
        <v>38</v>
      </c>
      <c r="C1505" t="s">
        <v>26</v>
      </c>
      <c r="D1505" t="s">
        <v>21</v>
      </c>
      <c r="E1505">
        <v>1000</v>
      </c>
      <c r="F1505" t="s">
        <v>34</v>
      </c>
      <c r="G1505" t="s">
        <v>39</v>
      </c>
    </row>
    <row r="1506" spans="1:7" x14ac:dyDescent="0.3">
      <c r="A1506">
        <v>45506</v>
      </c>
      <c r="B1506" t="s">
        <v>38</v>
      </c>
      <c r="C1506" t="s">
        <v>26</v>
      </c>
      <c r="D1506" t="s">
        <v>21</v>
      </c>
      <c r="E1506">
        <v>1000</v>
      </c>
      <c r="F1506" t="s">
        <v>34</v>
      </c>
      <c r="G1506" t="s">
        <v>39</v>
      </c>
    </row>
    <row r="1507" spans="1:7" x14ac:dyDescent="0.3">
      <c r="A1507">
        <v>45502</v>
      </c>
      <c r="B1507" t="s">
        <v>40</v>
      </c>
      <c r="C1507" t="s">
        <v>20</v>
      </c>
      <c r="D1507" t="s">
        <v>31</v>
      </c>
      <c r="E1507">
        <v>800</v>
      </c>
      <c r="F1507" t="s">
        <v>41</v>
      </c>
      <c r="G1507" t="s">
        <v>23</v>
      </c>
    </row>
    <row r="1508" spans="1:7" x14ac:dyDescent="0.3">
      <c r="A1508">
        <v>45506</v>
      </c>
      <c r="B1508" t="s">
        <v>38</v>
      </c>
      <c r="C1508" t="s">
        <v>26</v>
      </c>
      <c r="D1508" t="s">
        <v>21</v>
      </c>
      <c r="E1508">
        <v>1000</v>
      </c>
      <c r="F1508" t="s">
        <v>34</v>
      </c>
      <c r="G1508" t="s">
        <v>39</v>
      </c>
    </row>
    <row r="1509" spans="1:7" x14ac:dyDescent="0.3">
      <c r="A1509">
        <v>45510</v>
      </c>
      <c r="B1509" t="s">
        <v>48</v>
      </c>
      <c r="C1509" t="s">
        <v>20</v>
      </c>
      <c r="D1509" t="s">
        <v>27</v>
      </c>
      <c r="E1509">
        <v>1000</v>
      </c>
      <c r="F1509" t="s">
        <v>22</v>
      </c>
      <c r="G1509" t="s">
        <v>28</v>
      </c>
    </row>
    <row r="1510" spans="1:7" x14ac:dyDescent="0.3">
      <c r="A1510">
        <v>45504</v>
      </c>
      <c r="B1510" t="s">
        <v>29</v>
      </c>
      <c r="C1510" t="s">
        <v>26</v>
      </c>
      <c r="D1510" t="s">
        <v>27</v>
      </c>
      <c r="E1510">
        <v>1000</v>
      </c>
      <c r="F1510" t="s">
        <v>22</v>
      </c>
      <c r="G1510" t="s">
        <v>28</v>
      </c>
    </row>
    <row r="1511" spans="1:7" x14ac:dyDescent="0.3">
      <c r="A1511">
        <v>45506</v>
      </c>
      <c r="B1511" t="s">
        <v>38</v>
      </c>
      <c r="C1511" t="s">
        <v>26</v>
      </c>
      <c r="D1511" t="s">
        <v>21</v>
      </c>
      <c r="E1511">
        <v>1000</v>
      </c>
      <c r="F1511" t="s">
        <v>34</v>
      </c>
      <c r="G1511" t="s">
        <v>39</v>
      </c>
    </row>
    <row r="1512" spans="1:7" x14ac:dyDescent="0.3">
      <c r="A1512">
        <v>45512</v>
      </c>
      <c r="B1512" t="s">
        <v>36</v>
      </c>
      <c r="C1512" t="s">
        <v>26</v>
      </c>
      <c r="D1512" t="s">
        <v>21</v>
      </c>
      <c r="E1512">
        <v>1000</v>
      </c>
      <c r="F1512" t="s">
        <v>37</v>
      </c>
      <c r="G1512" t="s">
        <v>28</v>
      </c>
    </row>
    <row r="1513" spans="1:7" x14ac:dyDescent="0.3">
      <c r="A1513">
        <v>45501</v>
      </c>
      <c r="B1513" t="s">
        <v>25</v>
      </c>
      <c r="C1513" t="s">
        <v>26</v>
      </c>
      <c r="D1513" t="s">
        <v>27</v>
      </c>
      <c r="E1513">
        <v>1000</v>
      </c>
      <c r="F1513" t="s">
        <v>22</v>
      </c>
      <c r="G1513" t="s">
        <v>28</v>
      </c>
    </row>
    <row r="1514" spans="1:7" x14ac:dyDescent="0.3">
      <c r="A1514">
        <v>45510</v>
      </c>
      <c r="B1514" t="s">
        <v>48</v>
      </c>
      <c r="C1514" t="s">
        <v>20</v>
      </c>
      <c r="D1514" t="s">
        <v>27</v>
      </c>
      <c r="E1514">
        <v>1000</v>
      </c>
      <c r="F1514" t="s">
        <v>22</v>
      </c>
      <c r="G1514" t="s">
        <v>28</v>
      </c>
    </row>
    <row r="1515" spans="1:7" x14ac:dyDescent="0.3">
      <c r="A1515">
        <v>45508</v>
      </c>
      <c r="B1515" t="s">
        <v>42</v>
      </c>
      <c r="C1515" t="s">
        <v>20</v>
      </c>
      <c r="D1515" t="s">
        <v>31</v>
      </c>
      <c r="E1515">
        <v>1000</v>
      </c>
      <c r="F1515" t="s">
        <v>22</v>
      </c>
      <c r="G1515" t="s">
        <v>28</v>
      </c>
    </row>
    <row r="1516" spans="1:7" x14ac:dyDescent="0.3">
      <c r="A1516">
        <v>45502</v>
      </c>
      <c r="B1516" t="s">
        <v>40</v>
      </c>
      <c r="C1516" t="s">
        <v>20</v>
      </c>
      <c r="D1516" t="s">
        <v>31</v>
      </c>
      <c r="E1516">
        <v>800</v>
      </c>
      <c r="F1516" t="s">
        <v>41</v>
      </c>
      <c r="G1516" t="s">
        <v>23</v>
      </c>
    </row>
    <row r="1517" spans="1:7" x14ac:dyDescent="0.3">
      <c r="A1517">
        <v>45506</v>
      </c>
      <c r="B1517" t="s">
        <v>38</v>
      </c>
      <c r="C1517" t="s">
        <v>26</v>
      </c>
      <c r="D1517" t="s">
        <v>21</v>
      </c>
      <c r="E1517">
        <v>1000</v>
      </c>
      <c r="F1517" t="s">
        <v>34</v>
      </c>
      <c r="G1517" t="s">
        <v>39</v>
      </c>
    </row>
    <row r="1518" spans="1:7" x14ac:dyDescent="0.3">
      <c r="A1518">
        <v>45509</v>
      </c>
      <c r="B1518" t="s">
        <v>30</v>
      </c>
      <c r="C1518" t="s">
        <v>26</v>
      </c>
      <c r="D1518" t="s">
        <v>31</v>
      </c>
      <c r="E1518">
        <v>500</v>
      </c>
      <c r="F1518" t="s">
        <v>32</v>
      </c>
      <c r="G1518" t="s">
        <v>23</v>
      </c>
    </row>
    <row r="1519" spans="1:7" x14ac:dyDescent="0.3">
      <c r="A1519">
        <v>45504</v>
      </c>
      <c r="B1519" t="s">
        <v>29</v>
      </c>
      <c r="C1519" t="s">
        <v>26</v>
      </c>
      <c r="D1519" t="s">
        <v>27</v>
      </c>
      <c r="E1519">
        <v>1000</v>
      </c>
      <c r="F1519" t="s">
        <v>22</v>
      </c>
      <c r="G1519" t="s">
        <v>28</v>
      </c>
    </row>
    <row r="1520" spans="1:7" x14ac:dyDescent="0.3">
      <c r="A1520">
        <v>45513</v>
      </c>
      <c r="B1520" t="s">
        <v>19</v>
      </c>
      <c r="C1520" t="s">
        <v>20</v>
      </c>
      <c r="D1520" t="s">
        <v>21</v>
      </c>
      <c r="E1520">
        <v>1000</v>
      </c>
      <c r="F1520" t="s">
        <v>22</v>
      </c>
      <c r="G1520" t="s">
        <v>23</v>
      </c>
    </row>
    <row r="1521" spans="1:7" x14ac:dyDescent="0.3">
      <c r="A1521">
        <v>45501</v>
      </c>
      <c r="B1521" t="s">
        <v>25</v>
      </c>
      <c r="C1521" t="s">
        <v>26</v>
      </c>
      <c r="D1521" t="s">
        <v>27</v>
      </c>
      <c r="E1521">
        <v>1000</v>
      </c>
      <c r="F1521" t="s">
        <v>22</v>
      </c>
      <c r="G1521" t="s">
        <v>28</v>
      </c>
    </row>
    <row r="1522" spans="1:7" x14ac:dyDescent="0.3">
      <c r="A1522">
        <v>45505</v>
      </c>
      <c r="B1522" t="s">
        <v>49</v>
      </c>
      <c r="C1522" t="s">
        <v>20</v>
      </c>
      <c r="D1522" t="s">
        <v>31</v>
      </c>
      <c r="E1522">
        <v>800</v>
      </c>
      <c r="F1522" t="s">
        <v>41</v>
      </c>
      <c r="G1522" t="s">
        <v>39</v>
      </c>
    </row>
    <row r="1523" spans="1:7" x14ac:dyDescent="0.3">
      <c r="A1523">
        <v>45508</v>
      </c>
      <c r="B1523" t="s">
        <v>42</v>
      </c>
      <c r="C1523" t="s">
        <v>20</v>
      </c>
      <c r="D1523" t="s">
        <v>31</v>
      </c>
      <c r="E1523">
        <v>1000</v>
      </c>
      <c r="F1523" t="s">
        <v>22</v>
      </c>
      <c r="G1523" t="s">
        <v>28</v>
      </c>
    </row>
    <row r="1524" spans="1:7" x14ac:dyDescent="0.3">
      <c r="A1524">
        <v>45507</v>
      </c>
      <c r="B1524" t="s">
        <v>33</v>
      </c>
      <c r="C1524" t="s">
        <v>26</v>
      </c>
      <c r="D1524" t="s">
        <v>21</v>
      </c>
      <c r="E1524">
        <v>1000</v>
      </c>
      <c r="F1524" t="s">
        <v>34</v>
      </c>
      <c r="G1524" t="s">
        <v>35</v>
      </c>
    </row>
    <row r="1525" spans="1:7" x14ac:dyDescent="0.3">
      <c r="A1525">
        <v>45500</v>
      </c>
      <c r="B1525" t="s">
        <v>19</v>
      </c>
      <c r="C1525" t="s">
        <v>20</v>
      </c>
      <c r="D1525" t="s">
        <v>21</v>
      </c>
      <c r="E1525">
        <v>500</v>
      </c>
      <c r="F1525" t="s">
        <v>32</v>
      </c>
      <c r="G1525" t="s">
        <v>47</v>
      </c>
    </row>
    <row r="1526" spans="1:7" x14ac:dyDescent="0.3">
      <c r="A1526">
        <v>45513</v>
      </c>
      <c r="B1526" t="s">
        <v>19</v>
      </c>
      <c r="C1526" t="s">
        <v>20</v>
      </c>
      <c r="D1526" t="s">
        <v>21</v>
      </c>
      <c r="E1526">
        <v>1000</v>
      </c>
      <c r="F1526" t="s">
        <v>22</v>
      </c>
      <c r="G1526" t="s">
        <v>23</v>
      </c>
    </row>
    <row r="1527" spans="1:7" x14ac:dyDescent="0.3">
      <c r="A1527">
        <v>45512</v>
      </c>
      <c r="B1527" t="s">
        <v>36</v>
      </c>
      <c r="C1527" t="s">
        <v>26</v>
      </c>
      <c r="D1527" t="s">
        <v>21</v>
      </c>
      <c r="E1527">
        <v>1000</v>
      </c>
      <c r="F1527" t="s">
        <v>37</v>
      </c>
      <c r="G1527" t="s">
        <v>28</v>
      </c>
    </row>
    <row r="1528" spans="1:7" x14ac:dyDescent="0.3">
      <c r="A1528">
        <v>45500</v>
      </c>
      <c r="B1528" t="s">
        <v>19</v>
      </c>
      <c r="C1528" t="s">
        <v>20</v>
      </c>
      <c r="D1528" t="s">
        <v>21</v>
      </c>
      <c r="E1528">
        <v>500</v>
      </c>
      <c r="F1528" t="s">
        <v>32</v>
      </c>
      <c r="G1528" t="s">
        <v>47</v>
      </c>
    </row>
    <row r="1529" spans="1:7" x14ac:dyDescent="0.3">
      <c r="A1529">
        <v>45513</v>
      </c>
      <c r="B1529" t="s">
        <v>19</v>
      </c>
      <c r="C1529" t="s">
        <v>20</v>
      </c>
      <c r="D1529" t="s">
        <v>21</v>
      </c>
      <c r="E1529">
        <v>1000</v>
      </c>
      <c r="F1529" t="s">
        <v>22</v>
      </c>
      <c r="G1529" t="s">
        <v>23</v>
      </c>
    </row>
    <row r="1530" spans="1:7" x14ac:dyDescent="0.3">
      <c r="A1530">
        <v>45514</v>
      </c>
      <c r="B1530" t="s">
        <v>43</v>
      </c>
      <c r="C1530" t="s">
        <v>20</v>
      </c>
      <c r="D1530" t="s">
        <v>31</v>
      </c>
      <c r="E1530">
        <v>1000</v>
      </c>
      <c r="F1530" t="s">
        <v>41</v>
      </c>
      <c r="G1530" t="s">
        <v>47</v>
      </c>
    </row>
    <row r="1531" spans="1:7" x14ac:dyDescent="0.3">
      <c r="A1531">
        <v>45505</v>
      </c>
      <c r="B1531" t="s">
        <v>49</v>
      </c>
      <c r="C1531" t="s">
        <v>20</v>
      </c>
      <c r="D1531" t="s">
        <v>31</v>
      </c>
      <c r="E1531">
        <v>800</v>
      </c>
      <c r="F1531" t="s">
        <v>41</v>
      </c>
      <c r="G1531" t="s">
        <v>39</v>
      </c>
    </row>
    <row r="1532" spans="1:7" x14ac:dyDescent="0.3">
      <c r="A1532">
        <v>45514</v>
      </c>
      <c r="B1532" t="s">
        <v>43</v>
      </c>
      <c r="C1532" t="s">
        <v>20</v>
      </c>
      <c r="D1532" t="s">
        <v>31</v>
      </c>
      <c r="E1532">
        <v>1000</v>
      </c>
      <c r="F1532" t="s">
        <v>41</v>
      </c>
      <c r="G1532" t="s">
        <v>47</v>
      </c>
    </row>
    <row r="1533" spans="1:7" x14ac:dyDescent="0.3">
      <c r="A1533">
        <v>45502</v>
      </c>
      <c r="B1533" t="s">
        <v>40</v>
      </c>
      <c r="C1533" t="s">
        <v>20</v>
      </c>
      <c r="D1533" t="s">
        <v>31</v>
      </c>
      <c r="E1533">
        <v>800</v>
      </c>
      <c r="F1533" t="s">
        <v>41</v>
      </c>
      <c r="G1533" t="s">
        <v>23</v>
      </c>
    </row>
    <row r="1534" spans="1:7" x14ac:dyDescent="0.3">
      <c r="A1534">
        <v>45511</v>
      </c>
      <c r="B1534" t="s">
        <v>46</v>
      </c>
      <c r="C1534" t="s">
        <v>20</v>
      </c>
      <c r="D1534" t="s">
        <v>27</v>
      </c>
      <c r="E1534">
        <v>1000</v>
      </c>
      <c r="F1534" t="s">
        <v>22</v>
      </c>
      <c r="G1534" t="s">
        <v>28</v>
      </c>
    </row>
    <row r="1535" spans="1:7" x14ac:dyDescent="0.3">
      <c r="A1535">
        <v>45506</v>
      </c>
      <c r="B1535" t="s">
        <v>38</v>
      </c>
      <c r="C1535" t="s">
        <v>26</v>
      </c>
      <c r="D1535" t="s">
        <v>21</v>
      </c>
      <c r="E1535">
        <v>1000</v>
      </c>
      <c r="F1535" t="s">
        <v>34</v>
      </c>
      <c r="G1535" t="s">
        <v>39</v>
      </c>
    </row>
    <row r="1536" spans="1:7" x14ac:dyDescent="0.3">
      <c r="A1536">
        <v>45509</v>
      </c>
      <c r="B1536" t="s">
        <v>30</v>
      </c>
      <c r="C1536" t="s">
        <v>26</v>
      </c>
      <c r="D1536" t="s">
        <v>31</v>
      </c>
      <c r="E1536">
        <v>500</v>
      </c>
      <c r="F1536" t="s">
        <v>32</v>
      </c>
      <c r="G1536" t="s">
        <v>23</v>
      </c>
    </row>
    <row r="1537" spans="1:7" x14ac:dyDescent="0.3">
      <c r="A1537">
        <v>45508</v>
      </c>
      <c r="B1537" t="s">
        <v>42</v>
      </c>
      <c r="C1537" t="s">
        <v>20</v>
      </c>
      <c r="D1537" t="s">
        <v>31</v>
      </c>
      <c r="E1537">
        <v>1000</v>
      </c>
      <c r="F1537" t="s">
        <v>22</v>
      </c>
      <c r="G1537" t="s">
        <v>28</v>
      </c>
    </row>
    <row r="1538" spans="1:7" x14ac:dyDescent="0.3">
      <c r="A1538">
        <v>45505</v>
      </c>
      <c r="B1538" t="s">
        <v>49</v>
      </c>
      <c r="C1538" t="s">
        <v>20</v>
      </c>
      <c r="D1538" t="s">
        <v>31</v>
      </c>
      <c r="E1538">
        <v>800</v>
      </c>
      <c r="F1538" t="s">
        <v>41</v>
      </c>
      <c r="G1538" t="s">
        <v>39</v>
      </c>
    </row>
    <row r="1539" spans="1:7" x14ac:dyDescent="0.3">
      <c r="A1539">
        <v>45514</v>
      </c>
      <c r="B1539" t="s">
        <v>43</v>
      </c>
      <c r="C1539" t="s">
        <v>20</v>
      </c>
      <c r="D1539" t="s">
        <v>31</v>
      </c>
      <c r="E1539">
        <v>1000</v>
      </c>
      <c r="F1539" t="s">
        <v>41</v>
      </c>
      <c r="G1539" t="s">
        <v>47</v>
      </c>
    </row>
    <row r="1540" spans="1:7" x14ac:dyDescent="0.3">
      <c r="A1540">
        <v>45513</v>
      </c>
      <c r="B1540" t="s">
        <v>19</v>
      </c>
      <c r="C1540" t="s">
        <v>20</v>
      </c>
      <c r="D1540" t="s">
        <v>21</v>
      </c>
      <c r="E1540">
        <v>1000</v>
      </c>
      <c r="F1540" t="s">
        <v>22</v>
      </c>
      <c r="G1540" t="s">
        <v>23</v>
      </c>
    </row>
    <row r="1541" spans="1:7" x14ac:dyDescent="0.3">
      <c r="A1541">
        <v>45502</v>
      </c>
      <c r="B1541" t="s">
        <v>40</v>
      </c>
      <c r="C1541" t="s">
        <v>20</v>
      </c>
      <c r="D1541" t="s">
        <v>31</v>
      </c>
      <c r="E1541">
        <v>800</v>
      </c>
      <c r="F1541" t="s">
        <v>41</v>
      </c>
      <c r="G1541" t="s">
        <v>23</v>
      </c>
    </row>
    <row r="1542" spans="1:7" x14ac:dyDescent="0.3">
      <c r="A1542">
        <v>45503</v>
      </c>
      <c r="B1542" t="s">
        <v>43</v>
      </c>
      <c r="C1542" t="s">
        <v>20</v>
      </c>
      <c r="D1542" t="s">
        <v>31</v>
      </c>
      <c r="E1542">
        <v>500</v>
      </c>
      <c r="F1542" t="s">
        <v>44</v>
      </c>
      <c r="G1542" t="s">
        <v>45</v>
      </c>
    </row>
    <row r="1543" spans="1:7" x14ac:dyDescent="0.3">
      <c r="A1543">
        <v>45510</v>
      </c>
      <c r="B1543" t="s">
        <v>48</v>
      </c>
      <c r="C1543" t="s">
        <v>20</v>
      </c>
      <c r="D1543" t="s">
        <v>27</v>
      </c>
      <c r="E1543">
        <v>1000</v>
      </c>
      <c r="F1543" t="s">
        <v>22</v>
      </c>
      <c r="G1543" t="s">
        <v>28</v>
      </c>
    </row>
    <row r="1544" spans="1:7" x14ac:dyDescent="0.3">
      <c r="A1544">
        <v>45512</v>
      </c>
      <c r="B1544" t="s">
        <v>36</v>
      </c>
      <c r="C1544" t="s">
        <v>26</v>
      </c>
      <c r="D1544" t="s">
        <v>21</v>
      </c>
      <c r="E1544">
        <v>1000</v>
      </c>
      <c r="F1544" t="s">
        <v>37</v>
      </c>
      <c r="G1544" t="s">
        <v>28</v>
      </c>
    </row>
    <row r="1545" spans="1:7" x14ac:dyDescent="0.3">
      <c r="A1545">
        <v>45504</v>
      </c>
      <c r="B1545" t="s">
        <v>29</v>
      </c>
      <c r="C1545" t="s">
        <v>26</v>
      </c>
      <c r="D1545" t="s">
        <v>27</v>
      </c>
      <c r="E1545">
        <v>1000</v>
      </c>
      <c r="F1545" t="s">
        <v>22</v>
      </c>
      <c r="G1545" t="s">
        <v>28</v>
      </c>
    </row>
    <row r="1546" spans="1:7" x14ac:dyDescent="0.3">
      <c r="A1546">
        <v>45513</v>
      </c>
      <c r="B1546" t="s">
        <v>19</v>
      </c>
      <c r="C1546" t="s">
        <v>20</v>
      </c>
      <c r="D1546" t="s">
        <v>21</v>
      </c>
      <c r="E1546">
        <v>1000</v>
      </c>
      <c r="F1546" t="s">
        <v>22</v>
      </c>
      <c r="G1546" t="s">
        <v>23</v>
      </c>
    </row>
    <row r="1547" spans="1:7" x14ac:dyDescent="0.3">
      <c r="A1547">
        <v>45508</v>
      </c>
      <c r="B1547" t="s">
        <v>42</v>
      </c>
      <c r="C1547" t="s">
        <v>20</v>
      </c>
      <c r="D1547" t="s">
        <v>31</v>
      </c>
      <c r="E1547">
        <v>1000</v>
      </c>
      <c r="F1547" t="s">
        <v>22</v>
      </c>
      <c r="G1547" t="s">
        <v>28</v>
      </c>
    </row>
    <row r="1548" spans="1:7" x14ac:dyDescent="0.3">
      <c r="A1548">
        <v>45502</v>
      </c>
      <c r="B1548" t="s">
        <v>40</v>
      </c>
      <c r="C1548" t="s">
        <v>20</v>
      </c>
      <c r="D1548" t="s">
        <v>31</v>
      </c>
      <c r="E1548">
        <v>800</v>
      </c>
      <c r="F1548" t="s">
        <v>41</v>
      </c>
      <c r="G1548" t="s">
        <v>23</v>
      </c>
    </row>
    <row r="1549" spans="1:7" x14ac:dyDescent="0.3">
      <c r="A1549">
        <v>45514</v>
      </c>
      <c r="B1549" t="s">
        <v>43</v>
      </c>
      <c r="C1549" t="s">
        <v>20</v>
      </c>
      <c r="D1549" t="s">
        <v>31</v>
      </c>
      <c r="E1549">
        <v>1000</v>
      </c>
      <c r="F1549" t="s">
        <v>41</v>
      </c>
      <c r="G1549" t="s">
        <v>47</v>
      </c>
    </row>
    <row r="1550" spans="1:7" x14ac:dyDescent="0.3">
      <c r="A1550">
        <v>45508</v>
      </c>
      <c r="B1550" t="s">
        <v>42</v>
      </c>
      <c r="C1550" t="s">
        <v>20</v>
      </c>
      <c r="D1550" t="s">
        <v>31</v>
      </c>
      <c r="E1550">
        <v>1000</v>
      </c>
      <c r="F1550" t="s">
        <v>22</v>
      </c>
      <c r="G1550" t="s">
        <v>28</v>
      </c>
    </row>
    <row r="1551" spans="1:7" x14ac:dyDescent="0.3">
      <c r="A1551">
        <v>45511</v>
      </c>
      <c r="B1551" t="s">
        <v>46</v>
      </c>
      <c r="C1551" t="s">
        <v>20</v>
      </c>
      <c r="D1551" t="s">
        <v>27</v>
      </c>
      <c r="E1551">
        <v>1000</v>
      </c>
      <c r="F1551" t="s">
        <v>22</v>
      </c>
      <c r="G1551" t="s">
        <v>28</v>
      </c>
    </row>
    <row r="1552" spans="1:7" x14ac:dyDescent="0.3">
      <c r="A1552">
        <v>45505</v>
      </c>
      <c r="B1552" t="s">
        <v>49</v>
      </c>
      <c r="C1552" t="s">
        <v>20</v>
      </c>
      <c r="D1552" t="s">
        <v>31</v>
      </c>
      <c r="E1552">
        <v>800</v>
      </c>
      <c r="F1552" t="s">
        <v>41</v>
      </c>
      <c r="G1552" t="s">
        <v>39</v>
      </c>
    </row>
    <row r="1553" spans="1:7" x14ac:dyDescent="0.3">
      <c r="A1553">
        <v>45514</v>
      </c>
      <c r="B1553" t="s">
        <v>43</v>
      </c>
      <c r="C1553" t="s">
        <v>20</v>
      </c>
      <c r="D1553" t="s">
        <v>31</v>
      </c>
      <c r="E1553">
        <v>1000</v>
      </c>
      <c r="F1553" t="s">
        <v>41</v>
      </c>
      <c r="G1553" t="s">
        <v>47</v>
      </c>
    </row>
    <row r="1554" spans="1:7" x14ac:dyDescent="0.3">
      <c r="A1554">
        <v>45502</v>
      </c>
      <c r="B1554" t="s">
        <v>40</v>
      </c>
      <c r="C1554" t="s">
        <v>20</v>
      </c>
      <c r="D1554" t="s">
        <v>31</v>
      </c>
      <c r="E1554">
        <v>800</v>
      </c>
      <c r="F1554" t="s">
        <v>41</v>
      </c>
      <c r="G1554" t="s">
        <v>23</v>
      </c>
    </row>
    <row r="1555" spans="1:7" x14ac:dyDescent="0.3">
      <c r="A1555">
        <v>45501</v>
      </c>
      <c r="B1555" t="s">
        <v>25</v>
      </c>
      <c r="C1555" t="s">
        <v>26</v>
      </c>
      <c r="D1555" t="s">
        <v>27</v>
      </c>
      <c r="E1555">
        <v>1000</v>
      </c>
      <c r="F1555" t="s">
        <v>22</v>
      </c>
      <c r="G1555" t="s">
        <v>28</v>
      </c>
    </row>
    <row r="1556" spans="1:7" x14ac:dyDescent="0.3">
      <c r="A1556">
        <v>45511</v>
      </c>
      <c r="B1556" t="s">
        <v>46</v>
      </c>
      <c r="C1556" t="s">
        <v>20</v>
      </c>
      <c r="D1556" t="s">
        <v>27</v>
      </c>
      <c r="E1556">
        <v>1000</v>
      </c>
      <c r="F1556" t="s">
        <v>22</v>
      </c>
      <c r="G1556" t="s">
        <v>28</v>
      </c>
    </row>
    <row r="1557" spans="1:7" x14ac:dyDescent="0.3">
      <c r="A1557">
        <v>45500</v>
      </c>
      <c r="B1557" t="s">
        <v>19</v>
      </c>
      <c r="C1557" t="s">
        <v>20</v>
      </c>
      <c r="D1557" t="s">
        <v>21</v>
      </c>
      <c r="E1557">
        <v>500</v>
      </c>
      <c r="F1557" t="s">
        <v>32</v>
      </c>
      <c r="G1557" t="s">
        <v>47</v>
      </c>
    </row>
    <row r="1558" spans="1:7" x14ac:dyDescent="0.3">
      <c r="A1558">
        <v>45505</v>
      </c>
      <c r="B1558" t="s">
        <v>49</v>
      </c>
      <c r="C1558" t="s">
        <v>20</v>
      </c>
      <c r="D1558" t="s">
        <v>31</v>
      </c>
      <c r="E1558">
        <v>800</v>
      </c>
      <c r="F1558" t="s">
        <v>41</v>
      </c>
      <c r="G1558" t="s">
        <v>39</v>
      </c>
    </row>
    <row r="1559" spans="1:7" x14ac:dyDescent="0.3">
      <c r="A1559">
        <v>45513</v>
      </c>
      <c r="B1559" t="s">
        <v>19</v>
      </c>
      <c r="C1559" t="s">
        <v>20</v>
      </c>
      <c r="D1559" t="s">
        <v>21</v>
      </c>
      <c r="E1559">
        <v>1000</v>
      </c>
      <c r="F1559" t="s">
        <v>22</v>
      </c>
      <c r="G1559" t="s">
        <v>23</v>
      </c>
    </row>
    <row r="1560" spans="1:7" x14ac:dyDescent="0.3">
      <c r="A1560">
        <v>45506</v>
      </c>
      <c r="B1560" t="s">
        <v>38</v>
      </c>
      <c r="C1560" t="s">
        <v>26</v>
      </c>
      <c r="D1560" t="s">
        <v>21</v>
      </c>
      <c r="E1560">
        <v>1000</v>
      </c>
      <c r="F1560" t="s">
        <v>34</v>
      </c>
      <c r="G1560" t="s">
        <v>39</v>
      </c>
    </row>
    <row r="1561" spans="1:7" x14ac:dyDescent="0.3">
      <c r="A1561">
        <v>45509</v>
      </c>
      <c r="B1561" t="s">
        <v>30</v>
      </c>
      <c r="C1561" t="s">
        <v>26</v>
      </c>
      <c r="D1561" t="s">
        <v>31</v>
      </c>
      <c r="E1561">
        <v>500</v>
      </c>
      <c r="F1561" t="s">
        <v>32</v>
      </c>
      <c r="G1561" t="s">
        <v>23</v>
      </c>
    </row>
    <row r="1562" spans="1:7" x14ac:dyDescent="0.3">
      <c r="A1562">
        <v>45503</v>
      </c>
      <c r="B1562" t="s">
        <v>43</v>
      </c>
      <c r="C1562" t="s">
        <v>20</v>
      </c>
      <c r="D1562" t="s">
        <v>31</v>
      </c>
      <c r="E1562">
        <v>500</v>
      </c>
      <c r="F1562" t="s">
        <v>44</v>
      </c>
      <c r="G1562" t="s">
        <v>45</v>
      </c>
    </row>
    <row r="1563" spans="1:7" x14ac:dyDescent="0.3">
      <c r="A1563">
        <v>45501</v>
      </c>
      <c r="B1563" t="s">
        <v>25</v>
      </c>
      <c r="C1563" t="s">
        <v>26</v>
      </c>
      <c r="D1563" t="s">
        <v>27</v>
      </c>
      <c r="E1563">
        <v>1000</v>
      </c>
      <c r="F1563" t="s">
        <v>22</v>
      </c>
      <c r="G1563" t="s">
        <v>28</v>
      </c>
    </row>
    <row r="1564" spans="1:7" x14ac:dyDescent="0.3">
      <c r="A1564">
        <v>45507</v>
      </c>
      <c r="B1564" t="s">
        <v>33</v>
      </c>
      <c r="C1564" t="s">
        <v>26</v>
      </c>
      <c r="D1564" t="s">
        <v>21</v>
      </c>
      <c r="E1564">
        <v>1000</v>
      </c>
      <c r="F1564" t="s">
        <v>34</v>
      </c>
      <c r="G1564" t="s">
        <v>35</v>
      </c>
    </row>
    <row r="1565" spans="1:7" x14ac:dyDescent="0.3">
      <c r="A1565">
        <v>45504</v>
      </c>
      <c r="B1565" t="s">
        <v>29</v>
      </c>
      <c r="C1565" t="s">
        <v>26</v>
      </c>
      <c r="D1565" t="s">
        <v>27</v>
      </c>
      <c r="E1565">
        <v>1000</v>
      </c>
      <c r="F1565" t="s">
        <v>22</v>
      </c>
      <c r="G1565" t="s">
        <v>28</v>
      </c>
    </row>
    <row r="1566" spans="1:7" x14ac:dyDescent="0.3">
      <c r="A1566">
        <v>45508</v>
      </c>
      <c r="B1566" t="s">
        <v>42</v>
      </c>
      <c r="C1566" t="s">
        <v>20</v>
      </c>
      <c r="D1566" t="s">
        <v>31</v>
      </c>
      <c r="E1566">
        <v>1000</v>
      </c>
      <c r="F1566" t="s">
        <v>22</v>
      </c>
      <c r="G1566" t="s">
        <v>28</v>
      </c>
    </row>
    <row r="1567" spans="1:7" x14ac:dyDescent="0.3">
      <c r="A1567">
        <v>45505</v>
      </c>
      <c r="B1567" t="s">
        <v>49</v>
      </c>
      <c r="C1567" t="s">
        <v>20</v>
      </c>
      <c r="D1567" t="s">
        <v>31</v>
      </c>
      <c r="E1567">
        <v>800</v>
      </c>
      <c r="F1567" t="s">
        <v>41</v>
      </c>
      <c r="G1567" t="s">
        <v>39</v>
      </c>
    </row>
    <row r="1568" spans="1:7" x14ac:dyDescent="0.3">
      <c r="A1568">
        <v>45504</v>
      </c>
      <c r="B1568" t="s">
        <v>29</v>
      </c>
      <c r="C1568" t="s">
        <v>26</v>
      </c>
      <c r="D1568" t="s">
        <v>27</v>
      </c>
      <c r="E1568">
        <v>1000</v>
      </c>
      <c r="F1568" t="s">
        <v>22</v>
      </c>
      <c r="G1568" t="s">
        <v>28</v>
      </c>
    </row>
    <row r="1569" spans="1:7" x14ac:dyDescent="0.3">
      <c r="A1569">
        <v>45507</v>
      </c>
      <c r="B1569" t="s">
        <v>33</v>
      </c>
      <c r="C1569" t="s">
        <v>26</v>
      </c>
      <c r="D1569" t="s">
        <v>21</v>
      </c>
      <c r="E1569">
        <v>1000</v>
      </c>
      <c r="F1569" t="s">
        <v>34</v>
      </c>
      <c r="G1569" t="s">
        <v>35</v>
      </c>
    </row>
    <row r="1570" spans="1:7" x14ac:dyDescent="0.3">
      <c r="A1570">
        <v>45502</v>
      </c>
      <c r="B1570" t="s">
        <v>40</v>
      </c>
      <c r="C1570" t="s">
        <v>20</v>
      </c>
      <c r="D1570" t="s">
        <v>31</v>
      </c>
      <c r="E1570">
        <v>800</v>
      </c>
      <c r="F1570" t="s">
        <v>41</v>
      </c>
      <c r="G1570" t="s">
        <v>23</v>
      </c>
    </row>
    <row r="1571" spans="1:7" x14ac:dyDescent="0.3">
      <c r="A1571">
        <v>45501</v>
      </c>
      <c r="B1571" t="s">
        <v>25</v>
      </c>
      <c r="C1571" t="s">
        <v>26</v>
      </c>
      <c r="D1571" t="s">
        <v>27</v>
      </c>
      <c r="E1571">
        <v>1000</v>
      </c>
      <c r="F1571" t="s">
        <v>22</v>
      </c>
      <c r="G1571" t="s">
        <v>28</v>
      </c>
    </row>
    <row r="1572" spans="1:7" x14ac:dyDescent="0.3">
      <c r="A1572">
        <v>45504</v>
      </c>
      <c r="B1572" t="s">
        <v>29</v>
      </c>
      <c r="C1572" t="s">
        <v>26</v>
      </c>
      <c r="D1572" t="s">
        <v>27</v>
      </c>
      <c r="E1572">
        <v>1000</v>
      </c>
      <c r="F1572" t="s">
        <v>22</v>
      </c>
      <c r="G1572" t="s">
        <v>28</v>
      </c>
    </row>
    <row r="1573" spans="1:7" x14ac:dyDescent="0.3">
      <c r="A1573">
        <v>45507</v>
      </c>
      <c r="B1573" t="s">
        <v>33</v>
      </c>
      <c r="C1573" t="s">
        <v>26</v>
      </c>
      <c r="D1573" t="s">
        <v>21</v>
      </c>
      <c r="E1573">
        <v>1000</v>
      </c>
      <c r="F1573" t="s">
        <v>34</v>
      </c>
      <c r="G1573" t="s">
        <v>35</v>
      </c>
    </row>
    <row r="1574" spans="1:7" x14ac:dyDescent="0.3">
      <c r="A1574">
        <v>45508</v>
      </c>
      <c r="B1574" t="s">
        <v>42</v>
      </c>
      <c r="C1574" t="s">
        <v>20</v>
      </c>
      <c r="D1574" t="s">
        <v>31</v>
      </c>
      <c r="E1574">
        <v>1000</v>
      </c>
      <c r="F1574" t="s">
        <v>22</v>
      </c>
      <c r="G1574" t="s">
        <v>28</v>
      </c>
    </row>
    <row r="1575" spans="1:7" x14ac:dyDescent="0.3">
      <c r="A1575">
        <v>45505</v>
      </c>
      <c r="B1575" t="s">
        <v>49</v>
      </c>
      <c r="C1575" t="s">
        <v>20</v>
      </c>
      <c r="D1575" t="s">
        <v>31</v>
      </c>
      <c r="E1575">
        <v>800</v>
      </c>
      <c r="F1575" t="s">
        <v>41</v>
      </c>
      <c r="G1575" t="s">
        <v>39</v>
      </c>
    </row>
    <row r="1576" spans="1:7" x14ac:dyDescent="0.3">
      <c r="A1576">
        <v>45507</v>
      </c>
      <c r="B1576" t="s">
        <v>33</v>
      </c>
      <c r="C1576" t="s">
        <v>26</v>
      </c>
      <c r="D1576" t="s">
        <v>21</v>
      </c>
      <c r="E1576">
        <v>1000</v>
      </c>
      <c r="F1576" t="s">
        <v>34</v>
      </c>
      <c r="G1576" t="s">
        <v>35</v>
      </c>
    </row>
    <row r="1577" spans="1:7" x14ac:dyDescent="0.3">
      <c r="A1577">
        <v>45501</v>
      </c>
      <c r="B1577" t="s">
        <v>25</v>
      </c>
      <c r="C1577" t="s">
        <v>26</v>
      </c>
      <c r="D1577" t="s">
        <v>27</v>
      </c>
      <c r="E1577">
        <v>1000</v>
      </c>
      <c r="F1577" t="s">
        <v>22</v>
      </c>
      <c r="G1577" t="s">
        <v>28</v>
      </c>
    </row>
    <row r="1578" spans="1:7" x14ac:dyDescent="0.3">
      <c r="A1578">
        <v>45502</v>
      </c>
      <c r="B1578" t="s">
        <v>40</v>
      </c>
      <c r="C1578" t="s">
        <v>20</v>
      </c>
      <c r="D1578" t="s">
        <v>31</v>
      </c>
      <c r="E1578">
        <v>800</v>
      </c>
      <c r="F1578" t="s">
        <v>41</v>
      </c>
      <c r="G1578" t="s">
        <v>23</v>
      </c>
    </row>
    <row r="1579" spans="1:7" x14ac:dyDescent="0.3">
      <c r="A1579">
        <v>45501</v>
      </c>
      <c r="B1579" t="s">
        <v>25</v>
      </c>
      <c r="C1579" t="s">
        <v>26</v>
      </c>
      <c r="D1579" t="s">
        <v>27</v>
      </c>
      <c r="E1579">
        <v>1000</v>
      </c>
      <c r="F1579" t="s">
        <v>22</v>
      </c>
      <c r="G1579" t="s">
        <v>28</v>
      </c>
    </row>
    <row r="1580" spans="1:7" x14ac:dyDescent="0.3">
      <c r="A1580">
        <v>45506</v>
      </c>
      <c r="B1580" t="s">
        <v>38</v>
      </c>
      <c r="C1580" t="s">
        <v>26</v>
      </c>
      <c r="D1580" t="s">
        <v>21</v>
      </c>
      <c r="E1580">
        <v>1000</v>
      </c>
      <c r="F1580" t="s">
        <v>34</v>
      </c>
      <c r="G1580" t="s">
        <v>39</v>
      </c>
    </row>
    <row r="1581" spans="1:7" x14ac:dyDescent="0.3">
      <c r="A1581">
        <v>45511</v>
      </c>
      <c r="B1581" t="s">
        <v>46</v>
      </c>
      <c r="C1581" t="s">
        <v>20</v>
      </c>
      <c r="D1581" t="s">
        <v>27</v>
      </c>
      <c r="E1581">
        <v>1000</v>
      </c>
      <c r="F1581" t="s">
        <v>22</v>
      </c>
      <c r="G1581" t="s">
        <v>28</v>
      </c>
    </row>
    <row r="1582" spans="1:7" x14ac:dyDescent="0.3">
      <c r="A1582">
        <v>45503</v>
      </c>
      <c r="B1582" t="s">
        <v>43</v>
      </c>
      <c r="C1582" t="s">
        <v>20</v>
      </c>
      <c r="D1582" t="s">
        <v>31</v>
      </c>
      <c r="E1582">
        <v>500</v>
      </c>
      <c r="F1582" t="s">
        <v>44</v>
      </c>
      <c r="G1582" t="s">
        <v>45</v>
      </c>
    </row>
    <row r="1583" spans="1:7" x14ac:dyDescent="0.3">
      <c r="A1583">
        <v>45500</v>
      </c>
      <c r="B1583" t="s">
        <v>19</v>
      </c>
      <c r="C1583" t="s">
        <v>20</v>
      </c>
      <c r="D1583" t="s">
        <v>21</v>
      </c>
      <c r="E1583">
        <v>500</v>
      </c>
      <c r="F1583" t="s">
        <v>32</v>
      </c>
      <c r="G1583" t="s">
        <v>47</v>
      </c>
    </row>
    <row r="1584" spans="1:7" x14ac:dyDescent="0.3">
      <c r="A1584">
        <v>45512</v>
      </c>
      <c r="B1584" t="s">
        <v>36</v>
      </c>
      <c r="C1584" t="s">
        <v>26</v>
      </c>
      <c r="D1584" t="s">
        <v>21</v>
      </c>
      <c r="E1584">
        <v>1000</v>
      </c>
      <c r="F1584" t="s">
        <v>37</v>
      </c>
      <c r="G1584" t="s">
        <v>28</v>
      </c>
    </row>
    <row r="1585" spans="1:7" x14ac:dyDescent="0.3">
      <c r="A1585">
        <v>45508</v>
      </c>
      <c r="B1585" t="s">
        <v>42</v>
      </c>
      <c r="C1585" t="s">
        <v>20</v>
      </c>
      <c r="D1585" t="s">
        <v>31</v>
      </c>
      <c r="E1585">
        <v>1000</v>
      </c>
      <c r="F1585" t="s">
        <v>22</v>
      </c>
      <c r="G1585" t="s">
        <v>28</v>
      </c>
    </row>
    <row r="1586" spans="1:7" x14ac:dyDescent="0.3">
      <c r="A1586">
        <v>45514</v>
      </c>
      <c r="B1586" t="s">
        <v>43</v>
      </c>
      <c r="C1586" t="s">
        <v>20</v>
      </c>
      <c r="D1586" t="s">
        <v>31</v>
      </c>
      <c r="E1586">
        <v>1000</v>
      </c>
      <c r="F1586" t="s">
        <v>41</v>
      </c>
      <c r="G1586" t="s">
        <v>47</v>
      </c>
    </row>
    <row r="1587" spans="1:7" x14ac:dyDescent="0.3">
      <c r="A1587">
        <v>45502</v>
      </c>
      <c r="B1587" t="s">
        <v>40</v>
      </c>
      <c r="C1587" t="s">
        <v>20</v>
      </c>
      <c r="D1587" t="s">
        <v>31</v>
      </c>
      <c r="E1587">
        <v>800</v>
      </c>
      <c r="F1587" t="s">
        <v>41</v>
      </c>
      <c r="G1587" t="s">
        <v>23</v>
      </c>
    </row>
    <row r="1588" spans="1:7" x14ac:dyDescent="0.3">
      <c r="A1588">
        <v>45506</v>
      </c>
      <c r="B1588" t="s">
        <v>38</v>
      </c>
      <c r="C1588" t="s">
        <v>26</v>
      </c>
      <c r="D1588" t="s">
        <v>21</v>
      </c>
      <c r="E1588">
        <v>1000</v>
      </c>
      <c r="F1588" t="s">
        <v>34</v>
      </c>
      <c r="G1588" t="s">
        <v>39</v>
      </c>
    </row>
    <row r="1589" spans="1:7" x14ac:dyDescent="0.3">
      <c r="A1589">
        <v>45508</v>
      </c>
      <c r="B1589" t="s">
        <v>42</v>
      </c>
      <c r="C1589" t="s">
        <v>20</v>
      </c>
      <c r="D1589" t="s">
        <v>31</v>
      </c>
      <c r="E1589">
        <v>1000</v>
      </c>
      <c r="F1589" t="s">
        <v>22</v>
      </c>
      <c r="G1589" t="s">
        <v>28</v>
      </c>
    </row>
    <row r="1590" spans="1:7" x14ac:dyDescent="0.3">
      <c r="A1590">
        <v>45501</v>
      </c>
      <c r="B1590" t="s">
        <v>25</v>
      </c>
      <c r="C1590" t="s">
        <v>26</v>
      </c>
      <c r="D1590" t="s">
        <v>27</v>
      </c>
      <c r="E1590">
        <v>1000</v>
      </c>
      <c r="F1590" t="s">
        <v>22</v>
      </c>
      <c r="G1590" t="s">
        <v>28</v>
      </c>
    </row>
    <row r="1591" spans="1:7" x14ac:dyDescent="0.3">
      <c r="A1591">
        <v>45505</v>
      </c>
      <c r="B1591" t="s">
        <v>49</v>
      </c>
      <c r="C1591" t="s">
        <v>20</v>
      </c>
      <c r="D1591" t="s">
        <v>31</v>
      </c>
      <c r="E1591">
        <v>800</v>
      </c>
      <c r="F1591" t="s">
        <v>41</v>
      </c>
      <c r="G1591" t="s">
        <v>39</v>
      </c>
    </row>
    <row r="1592" spans="1:7" x14ac:dyDescent="0.3">
      <c r="A1592">
        <v>45507</v>
      </c>
      <c r="B1592" t="s">
        <v>33</v>
      </c>
      <c r="C1592" t="s">
        <v>26</v>
      </c>
      <c r="D1592" t="s">
        <v>21</v>
      </c>
      <c r="E1592">
        <v>1000</v>
      </c>
      <c r="F1592" t="s">
        <v>34</v>
      </c>
      <c r="G1592" t="s">
        <v>35</v>
      </c>
    </row>
    <row r="1593" spans="1:7" x14ac:dyDescent="0.3">
      <c r="A1593">
        <v>45506</v>
      </c>
      <c r="B1593" t="s">
        <v>38</v>
      </c>
      <c r="C1593" t="s">
        <v>26</v>
      </c>
      <c r="D1593" t="s">
        <v>21</v>
      </c>
      <c r="E1593">
        <v>1000</v>
      </c>
      <c r="F1593" t="s">
        <v>34</v>
      </c>
      <c r="G1593" t="s">
        <v>39</v>
      </c>
    </row>
    <row r="1594" spans="1:7" x14ac:dyDescent="0.3">
      <c r="A1594">
        <v>45512</v>
      </c>
      <c r="B1594" t="s">
        <v>36</v>
      </c>
      <c r="C1594" t="s">
        <v>26</v>
      </c>
      <c r="D1594" t="s">
        <v>21</v>
      </c>
      <c r="E1594">
        <v>1000</v>
      </c>
      <c r="F1594" t="s">
        <v>37</v>
      </c>
      <c r="G1594" t="s">
        <v>28</v>
      </c>
    </row>
    <row r="1595" spans="1:7" x14ac:dyDescent="0.3">
      <c r="A1595">
        <v>45501</v>
      </c>
      <c r="B1595" t="s">
        <v>25</v>
      </c>
      <c r="C1595" t="s">
        <v>26</v>
      </c>
      <c r="D1595" t="s">
        <v>27</v>
      </c>
      <c r="E1595">
        <v>1000</v>
      </c>
      <c r="F1595" t="s">
        <v>22</v>
      </c>
      <c r="G1595" t="s">
        <v>28</v>
      </c>
    </row>
    <row r="1596" spans="1:7" x14ac:dyDescent="0.3">
      <c r="A1596">
        <v>45513</v>
      </c>
      <c r="B1596" t="s">
        <v>19</v>
      </c>
      <c r="C1596" t="s">
        <v>20</v>
      </c>
      <c r="D1596" t="s">
        <v>21</v>
      </c>
      <c r="E1596">
        <v>1000</v>
      </c>
      <c r="F1596" t="s">
        <v>22</v>
      </c>
      <c r="G1596" t="s">
        <v>23</v>
      </c>
    </row>
    <row r="1597" spans="1:7" x14ac:dyDescent="0.3">
      <c r="A1597">
        <v>45513</v>
      </c>
      <c r="B1597" t="s">
        <v>19</v>
      </c>
      <c r="C1597" t="s">
        <v>20</v>
      </c>
      <c r="D1597" t="s">
        <v>21</v>
      </c>
      <c r="E1597">
        <v>1000</v>
      </c>
      <c r="F1597" t="s">
        <v>22</v>
      </c>
      <c r="G1597" t="s">
        <v>23</v>
      </c>
    </row>
    <row r="1598" spans="1:7" x14ac:dyDescent="0.3">
      <c r="A1598">
        <v>45508</v>
      </c>
      <c r="B1598" t="s">
        <v>42</v>
      </c>
      <c r="C1598" t="s">
        <v>20</v>
      </c>
      <c r="D1598" t="s">
        <v>31</v>
      </c>
      <c r="E1598">
        <v>1000</v>
      </c>
      <c r="F1598" t="s">
        <v>22</v>
      </c>
      <c r="G1598" t="s">
        <v>28</v>
      </c>
    </row>
    <row r="1599" spans="1:7" x14ac:dyDescent="0.3">
      <c r="A1599">
        <v>45513</v>
      </c>
      <c r="B1599" t="s">
        <v>19</v>
      </c>
      <c r="C1599" t="s">
        <v>20</v>
      </c>
      <c r="D1599" t="s">
        <v>21</v>
      </c>
      <c r="E1599">
        <v>1000</v>
      </c>
      <c r="F1599" t="s">
        <v>22</v>
      </c>
      <c r="G1599" t="s">
        <v>23</v>
      </c>
    </row>
    <row r="1600" spans="1:7" x14ac:dyDescent="0.3">
      <c r="A1600">
        <v>45506</v>
      </c>
      <c r="B1600" t="s">
        <v>38</v>
      </c>
      <c r="C1600" t="s">
        <v>26</v>
      </c>
      <c r="D1600" t="s">
        <v>21</v>
      </c>
      <c r="E1600">
        <v>1000</v>
      </c>
      <c r="F1600" t="s">
        <v>34</v>
      </c>
      <c r="G1600" t="s">
        <v>39</v>
      </c>
    </row>
    <row r="1601" spans="1:7" x14ac:dyDescent="0.3">
      <c r="A1601">
        <v>45503</v>
      </c>
      <c r="B1601" t="s">
        <v>43</v>
      </c>
      <c r="C1601" t="s">
        <v>20</v>
      </c>
      <c r="D1601" t="s">
        <v>31</v>
      </c>
      <c r="E1601">
        <v>500</v>
      </c>
      <c r="F1601" t="s">
        <v>44</v>
      </c>
      <c r="G1601" t="s">
        <v>45</v>
      </c>
    </row>
    <row r="1602" spans="1:7" x14ac:dyDescent="0.3">
      <c r="A1602">
        <v>45503</v>
      </c>
      <c r="B1602" t="s">
        <v>43</v>
      </c>
      <c r="C1602" t="s">
        <v>20</v>
      </c>
      <c r="D1602" t="s">
        <v>31</v>
      </c>
      <c r="E1602">
        <v>500</v>
      </c>
      <c r="F1602" t="s">
        <v>44</v>
      </c>
      <c r="G1602" t="s">
        <v>45</v>
      </c>
    </row>
    <row r="1603" spans="1:7" x14ac:dyDescent="0.3">
      <c r="A1603">
        <v>45508</v>
      </c>
      <c r="B1603" t="s">
        <v>42</v>
      </c>
      <c r="C1603" t="s">
        <v>20</v>
      </c>
      <c r="D1603" t="s">
        <v>31</v>
      </c>
      <c r="E1603">
        <v>1000</v>
      </c>
      <c r="F1603" t="s">
        <v>22</v>
      </c>
      <c r="G1603" t="s">
        <v>28</v>
      </c>
    </row>
    <row r="1604" spans="1:7" x14ac:dyDescent="0.3">
      <c r="A1604">
        <v>45513</v>
      </c>
      <c r="B1604" t="s">
        <v>19</v>
      </c>
      <c r="C1604" t="s">
        <v>20</v>
      </c>
      <c r="D1604" t="s">
        <v>21</v>
      </c>
      <c r="E1604">
        <v>1000</v>
      </c>
      <c r="F1604" t="s">
        <v>22</v>
      </c>
      <c r="G1604" t="s">
        <v>23</v>
      </c>
    </row>
    <row r="1605" spans="1:7" x14ac:dyDescent="0.3">
      <c r="A1605">
        <v>45511</v>
      </c>
      <c r="B1605" t="s">
        <v>46</v>
      </c>
      <c r="C1605" t="s">
        <v>20</v>
      </c>
      <c r="D1605" t="s">
        <v>27</v>
      </c>
      <c r="E1605">
        <v>1000</v>
      </c>
      <c r="F1605" t="s">
        <v>22</v>
      </c>
      <c r="G1605" t="s">
        <v>28</v>
      </c>
    </row>
    <row r="1606" spans="1:7" x14ac:dyDescent="0.3">
      <c r="A1606">
        <v>45500</v>
      </c>
      <c r="B1606" t="s">
        <v>19</v>
      </c>
      <c r="C1606" t="s">
        <v>20</v>
      </c>
      <c r="D1606" t="s">
        <v>21</v>
      </c>
      <c r="E1606">
        <v>500</v>
      </c>
      <c r="F1606" t="s">
        <v>32</v>
      </c>
      <c r="G1606" t="s">
        <v>47</v>
      </c>
    </row>
    <row r="1607" spans="1:7" x14ac:dyDescent="0.3">
      <c r="A1607">
        <v>45505</v>
      </c>
      <c r="B1607" t="s">
        <v>49</v>
      </c>
      <c r="C1607" t="s">
        <v>20</v>
      </c>
      <c r="D1607" t="s">
        <v>31</v>
      </c>
      <c r="E1607">
        <v>800</v>
      </c>
      <c r="F1607" t="s">
        <v>41</v>
      </c>
      <c r="G1607" t="s">
        <v>39</v>
      </c>
    </row>
    <row r="1608" spans="1:7" x14ac:dyDescent="0.3">
      <c r="A1608">
        <v>45500</v>
      </c>
      <c r="B1608" t="s">
        <v>19</v>
      </c>
      <c r="C1608" t="s">
        <v>20</v>
      </c>
      <c r="D1608" t="s">
        <v>21</v>
      </c>
      <c r="E1608">
        <v>500</v>
      </c>
      <c r="F1608" t="s">
        <v>32</v>
      </c>
      <c r="G1608" t="s">
        <v>47</v>
      </c>
    </row>
    <row r="1609" spans="1:7" x14ac:dyDescent="0.3">
      <c r="A1609">
        <v>45507</v>
      </c>
      <c r="B1609" t="s">
        <v>33</v>
      </c>
      <c r="C1609" t="s">
        <v>26</v>
      </c>
      <c r="D1609" t="s">
        <v>21</v>
      </c>
      <c r="E1609">
        <v>1000</v>
      </c>
      <c r="F1609" t="s">
        <v>34</v>
      </c>
      <c r="G1609" t="s">
        <v>35</v>
      </c>
    </row>
    <row r="1610" spans="1:7" x14ac:dyDescent="0.3">
      <c r="A1610">
        <v>45514</v>
      </c>
      <c r="B1610" t="s">
        <v>43</v>
      </c>
      <c r="C1610" t="s">
        <v>20</v>
      </c>
      <c r="D1610" t="s">
        <v>31</v>
      </c>
      <c r="E1610">
        <v>1000</v>
      </c>
      <c r="F1610" t="s">
        <v>41</v>
      </c>
      <c r="G1610" t="s">
        <v>47</v>
      </c>
    </row>
    <row r="1611" spans="1:7" x14ac:dyDescent="0.3">
      <c r="A1611">
        <v>45501</v>
      </c>
      <c r="B1611" t="s">
        <v>25</v>
      </c>
      <c r="C1611" t="s">
        <v>26</v>
      </c>
      <c r="D1611" t="s">
        <v>27</v>
      </c>
      <c r="E1611">
        <v>1000</v>
      </c>
      <c r="F1611" t="s">
        <v>22</v>
      </c>
      <c r="G1611" t="s">
        <v>28</v>
      </c>
    </row>
    <row r="1612" spans="1:7" x14ac:dyDescent="0.3">
      <c r="A1612">
        <v>45508</v>
      </c>
      <c r="B1612" t="s">
        <v>42</v>
      </c>
      <c r="C1612" t="s">
        <v>20</v>
      </c>
      <c r="D1612" t="s">
        <v>31</v>
      </c>
      <c r="E1612">
        <v>1000</v>
      </c>
      <c r="F1612" t="s">
        <v>22</v>
      </c>
      <c r="G1612" t="s">
        <v>28</v>
      </c>
    </row>
    <row r="1613" spans="1:7" x14ac:dyDescent="0.3">
      <c r="A1613">
        <v>45507</v>
      </c>
      <c r="B1613" t="s">
        <v>33</v>
      </c>
      <c r="C1613" t="s">
        <v>26</v>
      </c>
      <c r="D1613" t="s">
        <v>21</v>
      </c>
      <c r="E1613">
        <v>1000</v>
      </c>
      <c r="F1613" t="s">
        <v>34</v>
      </c>
      <c r="G1613" t="s">
        <v>35</v>
      </c>
    </row>
    <row r="1614" spans="1:7" x14ac:dyDescent="0.3">
      <c r="A1614">
        <v>45501</v>
      </c>
      <c r="B1614" t="s">
        <v>25</v>
      </c>
      <c r="C1614" t="s">
        <v>26</v>
      </c>
      <c r="D1614" t="s">
        <v>27</v>
      </c>
      <c r="E1614">
        <v>1000</v>
      </c>
      <c r="F1614" t="s">
        <v>22</v>
      </c>
      <c r="G1614" t="s">
        <v>28</v>
      </c>
    </row>
    <row r="1615" spans="1:7" x14ac:dyDescent="0.3">
      <c r="A1615">
        <v>45503</v>
      </c>
      <c r="B1615" t="s">
        <v>43</v>
      </c>
      <c r="C1615" t="s">
        <v>20</v>
      </c>
      <c r="D1615" t="s">
        <v>31</v>
      </c>
      <c r="E1615">
        <v>500</v>
      </c>
      <c r="F1615" t="s">
        <v>44</v>
      </c>
      <c r="G1615" t="s">
        <v>45</v>
      </c>
    </row>
    <row r="1616" spans="1:7" x14ac:dyDescent="0.3">
      <c r="A1616">
        <v>45508</v>
      </c>
      <c r="B1616" t="s">
        <v>42</v>
      </c>
      <c r="C1616" t="s">
        <v>20</v>
      </c>
      <c r="D1616" t="s">
        <v>31</v>
      </c>
      <c r="E1616">
        <v>1000</v>
      </c>
      <c r="F1616" t="s">
        <v>22</v>
      </c>
      <c r="G1616" t="s">
        <v>28</v>
      </c>
    </row>
    <row r="1617" spans="1:7" x14ac:dyDescent="0.3">
      <c r="A1617">
        <v>45500</v>
      </c>
      <c r="B1617" t="s">
        <v>19</v>
      </c>
      <c r="C1617" t="s">
        <v>20</v>
      </c>
      <c r="D1617" t="s">
        <v>21</v>
      </c>
      <c r="E1617">
        <v>500</v>
      </c>
      <c r="F1617" t="s">
        <v>32</v>
      </c>
      <c r="G1617" t="s">
        <v>47</v>
      </c>
    </row>
    <row r="1618" spans="1:7" x14ac:dyDescent="0.3">
      <c r="A1618">
        <v>45502</v>
      </c>
      <c r="B1618" t="s">
        <v>40</v>
      </c>
      <c r="C1618" t="s">
        <v>20</v>
      </c>
      <c r="D1618" t="s">
        <v>31</v>
      </c>
      <c r="E1618">
        <v>800</v>
      </c>
      <c r="F1618" t="s">
        <v>41</v>
      </c>
      <c r="G1618" t="s">
        <v>23</v>
      </c>
    </row>
    <row r="1619" spans="1:7" x14ac:dyDescent="0.3">
      <c r="A1619">
        <v>45509</v>
      </c>
      <c r="B1619" t="s">
        <v>30</v>
      </c>
      <c r="C1619" t="s">
        <v>26</v>
      </c>
      <c r="D1619" t="s">
        <v>31</v>
      </c>
      <c r="E1619">
        <v>500</v>
      </c>
      <c r="F1619" t="s">
        <v>32</v>
      </c>
      <c r="G1619" t="s">
        <v>23</v>
      </c>
    </row>
    <row r="1620" spans="1:7" x14ac:dyDescent="0.3">
      <c r="A1620">
        <v>45511</v>
      </c>
      <c r="B1620" t="s">
        <v>46</v>
      </c>
      <c r="C1620" t="s">
        <v>20</v>
      </c>
      <c r="D1620" t="s">
        <v>27</v>
      </c>
      <c r="E1620">
        <v>1000</v>
      </c>
      <c r="F1620" t="s">
        <v>22</v>
      </c>
      <c r="G1620" t="s">
        <v>28</v>
      </c>
    </row>
    <row r="1621" spans="1:7" x14ac:dyDescent="0.3">
      <c r="A1621">
        <v>45508</v>
      </c>
      <c r="B1621" t="s">
        <v>42</v>
      </c>
      <c r="C1621" t="s">
        <v>20</v>
      </c>
      <c r="D1621" t="s">
        <v>31</v>
      </c>
      <c r="E1621">
        <v>1000</v>
      </c>
      <c r="F1621" t="s">
        <v>22</v>
      </c>
      <c r="G1621" t="s">
        <v>28</v>
      </c>
    </row>
    <row r="1622" spans="1:7" x14ac:dyDescent="0.3">
      <c r="A1622">
        <v>45503</v>
      </c>
      <c r="B1622" t="s">
        <v>43</v>
      </c>
      <c r="C1622" t="s">
        <v>20</v>
      </c>
      <c r="D1622" t="s">
        <v>31</v>
      </c>
      <c r="E1622">
        <v>500</v>
      </c>
      <c r="F1622" t="s">
        <v>44</v>
      </c>
      <c r="G1622" t="s">
        <v>45</v>
      </c>
    </row>
    <row r="1623" spans="1:7" x14ac:dyDescent="0.3">
      <c r="A1623">
        <v>45502</v>
      </c>
      <c r="B1623" t="s">
        <v>40</v>
      </c>
      <c r="C1623" t="s">
        <v>20</v>
      </c>
      <c r="D1623" t="s">
        <v>31</v>
      </c>
      <c r="E1623">
        <v>800</v>
      </c>
      <c r="F1623" t="s">
        <v>41</v>
      </c>
      <c r="G1623" t="s">
        <v>23</v>
      </c>
    </row>
    <row r="1624" spans="1:7" x14ac:dyDescent="0.3">
      <c r="A1624">
        <v>45508</v>
      </c>
      <c r="B1624" t="s">
        <v>42</v>
      </c>
      <c r="C1624" t="s">
        <v>20</v>
      </c>
      <c r="D1624" t="s">
        <v>31</v>
      </c>
      <c r="E1624">
        <v>1000</v>
      </c>
      <c r="F1624" t="s">
        <v>22</v>
      </c>
      <c r="G1624" t="s">
        <v>28</v>
      </c>
    </row>
    <row r="1625" spans="1:7" x14ac:dyDescent="0.3">
      <c r="A1625">
        <v>45506</v>
      </c>
      <c r="B1625" t="s">
        <v>38</v>
      </c>
      <c r="C1625" t="s">
        <v>26</v>
      </c>
      <c r="D1625" t="s">
        <v>21</v>
      </c>
      <c r="E1625">
        <v>1000</v>
      </c>
      <c r="F1625" t="s">
        <v>34</v>
      </c>
      <c r="G1625" t="s">
        <v>39</v>
      </c>
    </row>
    <row r="1626" spans="1:7" x14ac:dyDescent="0.3">
      <c r="A1626">
        <v>45512</v>
      </c>
      <c r="B1626" t="s">
        <v>36</v>
      </c>
      <c r="C1626" t="s">
        <v>26</v>
      </c>
      <c r="D1626" t="s">
        <v>21</v>
      </c>
      <c r="E1626">
        <v>1000</v>
      </c>
      <c r="F1626" t="s">
        <v>37</v>
      </c>
      <c r="G1626" t="s">
        <v>28</v>
      </c>
    </row>
    <row r="1627" spans="1:7" x14ac:dyDescent="0.3">
      <c r="A1627">
        <v>45505</v>
      </c>
      <c r="B1627" t="s">
        <v>49</v>
      </c>
      <c r="C1627" t="s">
        <v>20</v>
      </c>
      <c r="D1627" t="s">
        <v>31</v>
      </c>
      <c r="E1627">
        <v>800</v>
      </c>
      <c r="F1627" t="s">
        <v>41</v>
      </c>
      <c r="G1627" t="s">
        <v>39</v>
      </c>
    </row>
    <row r="1628" spans="1:7" x14ac:dyDescent="0.3">
      <c r="A1628">
        <v>45511</v>
      </c>
      <c r="B1628" t="s">
        <v>46</v>
      </c>
      <c r="C1628" t="s">
        <v>20</v>
      </c>
      <c r="D1628" t="s">
        <v>27</v>
      </c>
      <c r="E1628">
        <v>1000</v>
      </c>
      <c r="F1628" t="s">
        <v>22</v>
      </c>
      <c r="G1628" t="s">
        <v>28</v>
      </c>
    </row>
    <row r="1629" spans="1:7" x14ac:dyDescent="0.3">
      <c r="A1629">
        <v>45512</v>
      </c>
      <c r="B1629" t="s">
        <v>36</v>
      </c>
      <c r="C1629" t="s">
        <v>26</v>
      </c>
      <c r="D1629" t="s">
        <v>21</v>
      </c>
      <c r="E1629">
        <v>1000</v>
      </c>
      <c r="F1629" t="s">
        <v>37</v>
      </c>
      <c r="G1629" t="s">
        <v>28</v>
      </c>
    </row>
    <row r="1630" spans="1:7" x14ac:dyDescent="0.3">
      <c r="A1630">
        <v>45510</v>
      </c>
      <c r="B1630" t="s">
        <v>48</v>
      </c>
      <c r="C1630" t="s">
        <v>20</v>
      </c>
      <c r="D1630" t="s">
        <v>27</v>
      </c>
      <c r="E1630">
        <v>1000</v>
      </c>
      <c r="F1630" t="s">
        <v>22</v>
      </c>
      <c r="G1630" t="s">
        <v>28</v>
      </c>
    </row>
    <row r="1631" spans="1:7" x14ac:dyDescent="0.3">
      <c r="A1631">
        <v>45500</v>
      </c>
      <c r="B1631" t="s">
        <v>19</v>
      </c>
      <c r="C1631" t="s">
        <v>20</v>
      </c>
      <c r="D1631" t="s">
        <v>21</v>
      </c>
      <c r="E1631">
        <v>500</v>
      </c>
      <c r="F1631" t="s">
        <v>32</v>
      </c>
      <c r="G1631" t="s">
        <v>47</v>
      </c>
    </row>
    <row r="1632" spans="1:7" x14ac:dyDescent="0.3">
      <c r="A1632">
        <v>45513</v>
      </c>
      <c r="B1632" t="s">
        <v>19</v>
      </c>
      <c r="C1632" t="s">
        <v>20</v>
      </c>
      <c r="D1632" t="s">
        <v>21</v>
      </c>
      <c r="E1632">
        <v>1000</v>
      </c>
      <c r="F1632" t="s">
        <v>22</v>
      </c>
      <c r="G1632" t="s">
        <v>23</v>
      </c>
    </row>
    <row r="1633" spans="1:7" x14ac:dyDescent="0.3">
      <c r="A1633">
        <v>45510</v>
      </c>
      <c r="B1633" t="s">
        <v>48</v>
      </c>
      <c r="C1633" t="s">
        <v>20</v>
      </c>
      <c r="D1633" t="s">
        <v>27</v>
      </c>
      <c r="E1633">
        <v>1000</v>
      </c>
      <c r="F1633" t="s">
        <v>22</v>
      </c>
      <c r="G1633" t="s">
        <v>28</v>
      </c>
    </row>
    <row r="1634" spans="1:7" x14ac:dyDescent="0.3">
      <c r="A1634">
        <v>45509</v>
      </c>
      <c r="B1634" t="s">
        <v>30</v>
      </c>
      <c r="C1634" t="s">
        <v>26</v>
      </c>
      <c r="D1634" t="s">
        <v>31</v>
      </c>
      <c r="E1634">
        <v>500</v>
      </c>
      <c r="F1634" t="s">
        <v>32</v>
      </c>
      <c r="G1634" t="s">
        <v>23</v>
      </c>
    </row>
    <row r="1635" spans="1:7" x14ac:dyDescent="0.3">
      <c r="A1635">
        <v>45509</v>
      </c>
      <c r="B1635" t="s">
        <v>30</v>
      </c>
      <c r="C1635" t="s">
        <v>26</v>
      </c>
      <c r="D1635" t="s">
        <v>31</v>
      </c>
      <c r="E1635">
        <v>500</v>
      </c>
      <c r="F1635" t="s">
        <v>32</v>
      </c>
      <c r="G1635" t="s">
        <v>23</v>
      </c>
    </row>
    <row r="1636" spans="1:7" x14ac:dyDescent="0.3">
      <c r="A1636">
        <v>45509</v>
      </c>
      <c r="B1636" t="s">
        <v>30</v>
      </c>
      <c r="C1636" t="s">
        <v>26</v>
      </c>
      <c r="D1636" t="s">
        <v>31</v>
      </c>
      <c r="E1636">
        <v>500</v>
      </c>
      <c r="F1636" t="s">
        <v>32</v>
      </c>
      <c r="G1636" t="s">
        <v>23</v>
      </c>
    </row>
    <row r="1637" spans="1:7" x14ac:dyDescent="0.3">
      <c r="A1637">
        <v>45506</v>
      </c>
      <c r="B1637" t="s">
        <v>38</v>
      </c>
      <c r="C1637" t="s">
        <v>26</v>
      </c>
      <c r="D1637" t="s">
        <v>21</v>
      </c>
      <c r="E1637">
        <v>1000</v>
      </c>
      <c r="F1637" t="s">
        <v>34</v>
      </c>
      <c r="G1637" t="s">
        <v>39</v>
      </c>
    </row>
    <row r="1638" spans="1:7" x14ac:dyDescent="0.3">
      <c r="A1638">
        <v>45510</v>
      </c>
      <c r="B1638" t="s">
        <v>48</v>
      </c>
      <c r="C1638" t="s">
        <v>20</v>
      </c>
      <c r="D1638" t="s">
        <v>27</v>
      </c>
      <c r="E1638">
        <v>1000</v>
      </c>
      <c r="F1638" t="s">
        <v>22</v>
      </c>
      <c r="G1638" t="s">
        <v>28</v>
      </c>
    </row>
    <row r="1639" spans="1:7" x14ac:dyDescent="0.3">
      <c r="A1639">
        <v>45505</v>
      </c>
      <c r="B1639" t="s">
        <v>49</v>
      </c>
      <c r="C1639" t="s">
        <v>20</v>
      </c>
      <c r="D1639" t="s">
        <v>31</v>
      </c>
      <c r="E1639">
        <v>800</v>
      </c>
      <c r="F1639" t="s">
        <v>41</v>
      </c>
      <c r="G1639" t="s">
        <v>39</v>
      </c>
    </row>
    <row r="1640" spans="1:7" x14ac:dyDescent="0.3">
      <c r="A1640">
        <v>45509</v>
      </c>
      <c r="B1640" t="s">
        <v>30</v>
      </c>
      <c r="C1640" t="s">
        <v>26</v>
      </c>
      <c r="D1640" t="s">
        <v>31</v>
      </c>
      <c r="E1640">
        <v>500</v>
      </c>
      <c r="F1640" t="s">
        <v>32</v>
      </c>
      <c r="G1640" t="s">
        <v>23</v>
      </c>
    </row>
    <row r="1641" spans="1:7" x14ac:dyDescent="0.3">
      <c r="A1641">
        <v>45507</v>
      </c>
      <c r="B1641" t="s">
        <v>33</v>
      </c>
      <c r="C1641" t="s">
        <v>26</v>
      </c>
      <c r="D1641" t="s">
        <v>21</v>
      </c>
      <c r="E1641">
        <v>1000</v>
      </c>
      <c r="F1641" t="s">
        <v>34</v>
      </c>
      <c r="G1641" t="s">
        <v>35</v>
      </c>
    </row>
    <row r="1642" spans="1:7" x14ac:dyDescent="0.3">
      <c r="A1642">
        <v>45504</v>
      </c>
      <c r="B1642" t="s">
        <v>29</v>
      </c>
      <c r="C1642" t="s">
        <v>26</v>
      </c>
      <c r="D1642" t="s">
        <v>27</v>
      </c>
      <c r="E1642">
        <v>1000</v>
      </c>
      <c r="F1642" t="s">
        <v>22</v>
      </c>
      <c r="G1642" t="s">
        <v>28</v>
      </c>
    </row>
    <row r="1643" spans="1:7" x14ac:dyDescent="0.3">
      <c r="A1643">
        <v>45500</v>
      </c>
      <c r="B1643" t="s">
        <v>19</v>
      </c>
      <c r="C1643" t="s">
        <v>20</v>
      </c>
      <c r="D1643" t="s">
        <v>21</v>
      </c>
      <c r="E1643">
        <v>500</v>
      </c>
      <c r="F1643" t="s">
        <v>32</v>
      </c>
      <c r="G1643" t="s">
        <v>47</v>
      </c>
    </row>
    <row r="1644" spans="1:7" x14ac:dyDescent="0.3">
      <c r="A1644">
        <v>45512</v>
      </c>
      <c r="B1644" t="s">
        <v>36</v>
      </c>
      <c r="C1644" t="s">
        <v>26</v>
      </c>
      <c r="D1644" t="s">
        <v>21</v>
      </c>
      <c r="E1644">
        <v>1000</v>
      </c>
      <c r="F1644" t="s">
        <v>37</v>
      </c>
      <c r="G1644" t="s">
        <v>28</v>
      </c>
    </row>
    <row r="1645" spans="1:7" x14ac:dyDescent="0.3">
      <c r="A1645">
        <v>45503</v>
      </c>
      <c r="B1645" t="s">
        <v>43</v>
      </c>
      <c r="C1645" t="s">
        <v>20</v>
      </c>
      <c r="D1645" t="s">
        <v>31</v>
      </c>
      <c r="E1645">
        <v>500</v>
      </c>
      <c r="F1645" t="s">
        <v>44</v>
      </c>
      <c r="G1645" t="s">
        <v>45</v>
      </c>
    </row>
    <row r="1646" spans="1:7" x14ac:dyDescent="0.3">
      <c r="A1646">
        <v>45500</v>
      </c>
      <c r="B1646" t="s">
        <v>19</v>
      </c>
      <c r="C1646" t="s">
        <v>20</v>
      </c>
      <c r="D1646" t="s">
        <v>21</v>
      </c>
      <c r="E1646">
        <v>500</v>
      </c>
      <c r="F1646" t="s">
        <v>32</v>
      </c>
      <c r="G1646" t="s">
        <v>47</v>
      </c>
    </row>
    <row r="1647" spans="1:7" x14ac:dyDescent="0.3">
      <c r="A1647">
        <v>45500</v>
      </c>
      <c r="B1647" t="s">
        <v>19</v>
      </c>
      <c r="C1647" t="s">
        <v>20</v>
      </c>
      <c r="D1647" t="s">
        <v>21</v>
      </c>
      <c r="E1647">
        <v>500</v>
      </c>
      <c r="F1647" t="s">
        <v>32</v>
      </c>
      <c r="G1647" t="s">
        <v>47</v>
      </c>
    </row>
    <row r="1648" spans="1:7" x14ac:dyDescent="0.3">
      <c r="A1648">
        <v>45505</v>
      </c>
      <c r="B1648" t="s">
        <v>49</v>
      </c>
      <c r="C1648" t="s">
        <v>20</v>
      </c>
      <c r="D1648" t="s">
        <v>31</v>
      </c>
      <c r="E1648">
        <v>800</v>
      </c>
      <c r="F1648" t="s">
        <v>41</v>
      </c>
      <c r="G1648" t="s">
        <v>39</v>
      </c>
    </row>
    <row r="1649" spans="1:7" x14ac:dyDescent="0.3">
      <c r="A1649">
        <v>45513</v>
      </c>
      <c r="B1649" t="s">
        <v>19</v>
      </c>
      <c r="C1649" t="s">
        <v>20</v>
      </c>
      <c r="D1649" t="s">
        <v>21</v>
      </c>
      <c r="E1649">
        <v>1000</v>
      </c>
      <c r="F1649" t="s">
        <v>22</v>
      </c>
      <c r="G1649" t="s">
        <v>23</v>
      </c>
    </row>
    <row r="1650" spans="1:7" x14ac:dyDescent="0.3">
      <c r="A1650">
        <v>45514</v>
      </c>
      <c r="B1650" t="s">
        <v>43</v>
      </c>
      <c r="C1650" t="s">
        <v>20</v>
      </c>
      <c r="D1650" t="s">
        <v>31</v>
      </c>
      <c r="E1650">
        <v>1000</v>
      </c>
      <c r="F1650" t="s">
        <v>41</v>
      </c>
      <c r="G1650" t="s">
        <v>47</v>
      </c>
    </row>
    <row r="1651" spans="1:7" x14ac:dyDescent="0.3">
      <c r="A1651">
        <v>45509</v>
      </c>
      <c r="B1651" t="s">
        <v>30</v>
      </c>
      <c r="C1651" t="s">
        <v>26</v>
      </c>
      <c r="D1651" t="s">
        <v>31</v>
      </c>
      <c r="E1651">
        <v>500</v>
      </c>
      <c r="F1651" t="s">
        <v>32</v>
      </c>
      <c r="G1651" t="s">
        <v>23</v>
      </c>
    </row>
    <row r="1652" spans="1:7" x14ac:dyDescent="0.3">
      <c r="A1652">
        <v>45505</v>
      </c>
      <c r="B1652" t="s">
        <v>49</v>
      </c>
      <c r="C1652" t="s">
        <v>20</v>
      </c>
      <c r="D1652" t="s">
        <v>31</v>
      </c>
      <c r="E1652">
        <v>800</v>
      </c>
      <c r="F1652" t="s">
        <v>41</v>
      </c>
      <c r="G1652" t="s">
        <v>39</v>
      </c>
    </row>
    <row r="1653" spans="1:7" x14ac:dyDescent="0.3">
      <c r="A1653">
        <v>45504</v>
      </c>
      <c r="B1653" t="s">
        <v>29</v>
      </c>
      <c r="C1653" t="s">
        <v>26</v>
      </c>
      <c r="D1653" t="s">
        <v>27</v>
      </c>
      <c r="E1653">
        <v>1000</v>
      </c>
      <c r="F1653" t="s">
        <v>22</v>
      </c>
      <c r="G1653" t="s">
        <v>28</v>
      </c>
    </row>
    <row r="1654" spans="1:7" x14ac:dyDescent="0.3">
      <c r="A1654">
        <v>45503</v>
      </c>
      <c r="B1654" t="s">
        <v>43</v>
      </c>
      <c r="C1654" t="s">
        <v>20</v>
      </c>
      <c r="D1654" t="s">
        <v>31</v>
      </c>
      <c r="E1654">
        <v>500</v>
      </c>
      <c r="F1654" t="s">
        <v>44</v>
      </c>
      <c r="G1654" t="s">
        <v>45</v>
      </c>
    </row>
    <row r="1655" spans="1:7" x14ac:dyDescent="0.3">
      <c r="A1655">
        <v>45502</v>
      </c>
      <c r="B1655" t="s">
        <v>40</v>
      </c>
      <c r="C1655" t="s">
        <v>20</v>
      </c>
      <c r="D1655" t="s">
        <v>31</v>
      </c>
      <c r="E1655">
        <v>800</v>
      </c>
      <c r="F1655" t="s">
        <v>41</v>
      </c>
      <c r="G1655" t="s">
        <v>23</v>
      </c>
    </row>
    <row r="1656" spans="1:7" x14ac:dyDescent="0.3">
      <c r="A1656">
        <v>45501</v>
      </c>
      <c r="B1656" t="s">
        <v>25</v>
      </c>
      <c r="C1656" t="s">
        <v>26</v>
      </c>
      <c r="D1656" t="s">
        <v>27</v>
      </c>
      <c r="E1656">
        <v>1000</v>
      </c>
      <c r="F1656" t="s">
        <v>22</v>
      </c>
      <c r="G1656" t="s">
        <v>28</v>
      </c>
    </row>
    <row r="1657" spans="1:7" x14ac:dyDescent="0.3">
      <c r="A1657">
        <v>45503</v>
      </c>
      <c r="B1657" t="s">
        <v>43</v>
      </c>
      <c r="C1657" t="s">
        <v>20</v>
      </c>
      <c r="D1657" t="s">
        <v>31</v>
      </c>
      <c r="E1657">
        <v>500</v>
      </c>
      <c r="F1657" t="s">
        <v>44</v>
      </c>
      <c r="G1657" t="s">
        <v>45</v>
      </c>
    </row>
    <row r="1658" spans="1:7" x14ac:dyDescent="0.3">
      <c r="A1658">
        <v>45505</v>
      </c>
      <c r="B1658" t="s">
        <v>49</v>
      </c>
      <c r="C1658" t="s">
        <v>20</v>
      </c>
      <c r="D1658" t="s">
        <v>31</v>
      </c>
      <c r="E1658">
        <v>800</v>
      </c>
      <c r="F1658" t="s">
        <v>41</v>
      </c>
      <c r="G1658" t="s">
        <v>39</v>
      </c>
    </row>
    <row r="1659" spans="1:7" x14ac:dyDescent="0.3">
      <c r="A1659">
        <v>45503</v>
      </c>
      <c r="B1659" t="s">
        <v>43</v>
      </c>
      <c r="C1659" t="s">
        <v>20</v>
      </c>
      <c r="D1659" t="s">
        <v>31</v>
      </c>
      <c r="E1659">
        <v>500</v>
      </c>
      <c r="F1659" t="s">
        <v>44</v>
      </c>
      <c r="G1659" t="s">
        <v>45</v>
      </c>
    </row>
    <row r="1660" spans="1:7" x14ac:dyDescent="0.3">
      <c r="A1660">
        <v>45510</v>
      </c>
      <c r="B1660" t="s">
        <v>48</v>
      </c>
      <c r="C1660" t="s">
        <v>20</v>
      </c>
      <c r="D1660" t="s">
        <v>27</v>
      </c>
      <c r="E1660">
        <v>1000</v>
      </c>
      <c r="F1660" t="s">
        <v>22</v>
      </c>
      <c r="G1660" t="s">
        <v>28</v>
      </c>
    </row>
    <row r="1661" spans="1:7" x14ac:dyDescent="0.3">
      <c r="A1661">
        <v>45509</v>
      </c>
      <c r="B1661" t="s">
        <v>30</v>
      </c>
      <c r="C1661" t="s">
        <v>26</v>
      </c>
      <c r="D1661" t="s">
        <v>31</v>
      </c>
      <c r="E1661">
        <v>500</v>
      </c>
      <c r="F1661" t="s">
        <v>32</v>
      </c>
      <c r="G1661" t="s">
        <v>23</v>
      </c>
    </row>
    <row r="1662" spans="1:7" x14ac:dyDescent="0.3">
      <c r="A1662">
        <v>45513</v>
      </c>
      <c r="B1662" t="s">
        <v>19</v>
      </c>
      <c r="C1662" t="s">
        <v>20</v>
      </c>
      <c r="D1662" t="s">
        <v>21</v>
      </c>
      <c r="E1662">
        <v>1000</v>
      </c>
      <c r="F1662" t="s">
        <v>22</v>
      </c>
      <c r="G1662" t="s">
        <v>23</v>
      </c>
    </row>
    <row r="1663" spans="1:7" x14ac:dyDescent="0.3">
      <c r="A1663">
        <v>45502</v>
      </c>
      <c r="B1663" t="s">
        <v>40</v>
      </c>
      <c r="C1663" t="s">
        <v>20</v>
      </c>
      <c r="D1663" t="s">
        <v>31</v>
      </c>
      <c r="E1663">
        <v>800</v>
      </c>
      <c r="F1663" t="s">
        <v>41</v>
      </c>
      <c r="G1663" t="s">
        <v>23</v>
      </c>
    </row>
    <row r="1664" spans="1:7" x14ac:dyDescent="0.3">
      <c r="A1664">
        <v>45513</v>
      </c>
      <c r="B1664" t="s">
        <v>19</v>
      </c>
      <c r="C1664" t="s">
        <v>20</v>
      </c>
      <c r="D1664" t="s">
        <v>21</v>
      </c>
      <c r="E1664">
        <v>1000</v>
      </c>
      <c r="F1664" t="s">
        <v>22</v>
      </c>
      <c r="G1664" t="s">
        <v>23</v>
      </c>
    </row>
    <row r="1665" spans="1:7" x14ac:dyDescent="0.3">
      <c r="A1665">
        <v>45507</v>
      </c>
      <c r="B1665" t="s">
        <v>33</v>
      </c>
      <c r="C1665" t="s">
        <v>26</v>
      </c>
      <c r="D1665" t="s">
        <v>21</v>
      </c>
      <c r="E1665">
        <v>1000</v>
      </c>
      <c r="F1665" t="s">
        <v>34</v>
      </c>
      <c r="G1665" t="s">
        <v>35</v>
      </c>
    </row>
    <row r="1666" spans="1:7" x14ac:dyDescent="0.3">
      <c r="A1666">
        <v>45506</v>
      </c>
      <c r="B1666" t="s">
        <v>38</v>
      </c>
      <c r="C1666" t="s">
        <v>26</v>
      </c>
      <c r="D1666" t="s">
        <v>21</v>
      </c>
      <c r="E1666">
        <v>1000</v>
      </c>
      <c r="F1666" t="s">
        <v>34</v>
      </c>
      <c r="G1666" t="s">
        <v>39</v>
      </c>
    </row>
    <row r="1667" spans="1:7" x14ac:dyDescent="0.3">
      <c r="A1667">
        <v>45510</v>
      </c>
      <c r="B1667" t="s">
        <v>48</v>
      </c>
      <c r="C1667" t="s">
        <v>20</v>
      </c>
      <c r="D1667" t="s">
        <v>27</v>
      </c>
      <c r="E1667">
        <v>1000</v>
      </c>
      <c r="F1667" t="s">
        <v>22</v>
      </c>
      <c r="G1667" t="s">
        <v>28</v>
      </c>
    </row>
    <row r="1668" spans="1:7" x14ac:dyDescent="0.3">
      <c r="A1668">
        <v>45503</v>
      </c>
      <c r="B1668" t="s">
        <v>43</v>
      </c>
      <c r="C1668" t="s">
        <v>20</v>
      </c>
      <c r="D1668" t="s">
        <v>31</v>
      </c>
      <c r="E1668">
        <v>500</v>
      </c>
      <c r="F1668" t="s">
        <v>44</v>
      </c>
      <c r="G1668" t="s">
        <v>45</v>
      </c>
    </row>
    <row r="1669" spans="1:7" x14ac:dyDescent="0.3">
      <c r="A1669">
        <v>45509</v>
      </c>
      <c r="B1669" t="s">
        <v>30</v>
      </c>
      <c r="C1669" t="s">
        <v>26</v>
      </c>
      <c r="D1669" t="s">
        <v>31</v>
      </c>
      <c r="E1669">
        <v>500</v>
      </c>
      <c r="F1669" t="s">
        <v>32</v>
      </c>
      <c r="G1669" t="s">
        <v>23</v>
      </c>
    </row>
    <row r="1670" spans="1:7" x14ac:dyDescent="0.3">
      <c r="A1670">
        <v>45503</v>
      </c>
      <c r="B1670" t="s">
        <v>43</v>
      </c>
      <c r="C1670" t="s">
        <v>20</v>
      </c>
      <c r="D1670" t="s">
        <v>31</v>
      </c>
      <c r="E1670">
        <v>500</v>
      </c>
      <c r="F1670" t="s">
        <v>44</v>
      </c>
      <c r="G1670" t="s">
        <v>45</v>
      </c>
    </row>
    <row r="1671" spans="1:7" x14ac:dyDescent="0.3">
      <c r="A1671">
        <v>45508</v>
      </c>
      <c r="B1671" t="s">
        <v>42</v>
      </c>
      <c r="C1671" t="s">
        <v>20</v>
      </c>
      <c r="D1671" t="s">
        <v>31</v>
      </c>
      <c r="E1671">
        <v>1000</v>
      </c>
      <c r="F1671" t="s">
        <v>22</v>
      </c>
      <c r="G1671" t="s">
        <v>28</v>
      </c>
    </row>
    <row r="1672" spans="1:7" x14ac:dyDescent="0.3">
      <c r="A1672">
        <v>45506</v>
      </c>
      <c r="B1672" t="s">
        <v>38</v>
      </c>
      <c r="C1672" t="s">
        <v>26</v>
      </c>
      <c r="D1672" t="s">
        <v>21</v>
      </c>
      <c r="E1672">
        <v>1000</v>
      </c>
      <c r="F1672" t="s">
        <v>34</v>
      </c>
      <c r="G1672" t="s">
        <v>39</v>
      </c>
    </row>
    <row r="1673" spans="1:7" x14ac:dyDescent="0.3">
      <c r="A1673">
        <v>45508</v>
      </c>
      <c r="B1673" t="s">
        <v>42</v>
      </c>
      <c r="C1673" t="s">
        <v>20</v>
      </c>
      <c r="D1673" t="s">
        <v>31</v>
      </c>
      <c r="E1673">
        <v>1000</v>
      </c>
      <c r="F1673" t="s">
        <v>22</v>
      </c>
      <c r="G1673" t="s">
        <v>28</v>
      </c>
    </row>
    <row r="1674" spans="1:7" x14ac:dyDescent="0.3">
      <c r="A1674">
        <v>45511</v>
      </c>
      <c r="B1674" t="s">
        <v>46</v>
      </c>
      <c r="C1674" t="s">
        <v>20</v>
      </c>
      <c r="D1674" t="s">
        <v>27</v>
      </c>
      <c r="E1674">
        <v>1000</v>
      </c>
      <c r="F1674" t="s">
        <v>22</v>
      </c>
      <c r="G1674" t="s">
        <v>28</v>
      </c>
    </row>
    <row r="1675" spans="1:7" x14ac:dyDescent="0.3">
      <c r="A1675">
        <v>45513</v>
      </c>
      <c r="B1675" t="s">
        <v>19</v>
      </c>
      <c r="C1675" t="s">
        <v>20</v>
      </c>
      <c r="D1675" t="s">
        <v>21</v>
      </c>
      <c r="E1675">
        <v>1000</v>
      </c>
      <c r="F1675" t="s">
        <v>22</v>
      </c>
      <c r="G1675" t="s">
        <v>23</v>
      </c>
    </row>
    <row r="1676" spans="1:7" x14ac:dyDescent="0.3">
      <c r="A1676">
        <v>45504</v>
      </c>
      <c r="B1676" t="s">
        <v>29</v>
      </c>
      <c r="C1676" t="s">
        <v>26</v>
      </c>
      <c r="D1676" t="s">
        <v>27</v>
      </c>
      <c r="E1676">
        <v>1000</v>
      </c>
      <c r="F1676" t="s">
        <v>22</v>
      </c>
      <c r="G1676" t="s">
        <v>28</v>
      </c>
    </row>
    <row r="1677" spans="1:7" x14ac:dyDescent="0.3">
      <c r="A1677">
        <v>45501</v>
      </c>
      <c r="B1677" t="s">
        <v>25</v>
      </c>
      <c r="C1677" t="s">
        <v>26</v>
      </c>
      <c r="D1677" t="s">
        <v>27</v>
      </c>
      <c r="E1677">
        <v>1000</v>
      </c>
      <c r="F1677" t="s">
        <v>22</v>
      </c>
      <c r="G1677" t="s">
        <v>28</v>
      </c>
    </row>
    <row r="1678" spans="1:7" x14ac:dyDescent="0.3">
      <c r="A1678">
        <v>45503</v>
      </c>
      <c r="B1678" t="s">
        <v>43</v>
      </c>
      <c r="C1678" t="s">
        <v>20</v>
      </c>
      <c r="D1678" t="s">
        <v>31</v>
      </c>
      <c r="E1678">
        <v>500</v>
      </c>
      <c r="F1678" t="s">
        <v>44</v>
      </c>
      <c r="G1678" t="s">
        <v>45</v>
      </c>
    </row>
    <row r="1679" spans="1:7" x14ac:dyDescent="0.3">
      <c r="A1679">
        <v>45514</v>
      </c>
      <c r="B1679" t="s">
        <v>43</v>
      </c>
      <c r="C1679" t="s">
        <v>20</v>
      </c>
      <c r="D1679" t="s">
        <v>31</v>
      </c>
      <c r="E1679">
        <v>1000</v>
      </c>
      <c r="F1679" t="s">
        <v>41</v>
      </c>
      <c r="G1679" t="s">
        <v>47</v>
      </c>
    </row>
    <row r="1680" spans="1:7" x14ac:dyDescent="0.3">
      <c r="A1680">
        <v>45506</v>
      </c>
      <c r="B1680" t="s">
        <v>38</v>
      </c>
      <c r="C1680" t="s">
        <v>26</v>
      </c>
      <c r="D1680" t="s">
        <v>21</v>
      </c>
      <c r="E1680">
        <v>1000</v>
      </c>
      <c r="F1680" t="s">
        <v>34</v>
      </c>
      <c r="G1680" t="s">
        <v>39</v>
      </c>
    </row>
    <row r="1681" spans="1:7" x14ac:dyDescent="0.3">
      <c r="A1681">
        <v>45508</v>
      </c>
      <c r="B1681" t="s">
        <v>42</v>
      </c>
      <c r="C1681" t="s">
        <v>20</v>
      </c>
      <c r="D1681" t="s">
        <v>31</v>
      </c>
      <c r="E1681">
        <v>1000</v>
      </c>
      <c r="F1681" t="s">
        <v>22</v>
      </c>
      <c r="G1681" t="s">
        <v>28</v>
      </c>
    </row>
    <row r="1682" spans="1:7" x14ac:dyDescent="0.3">
      <c r="A1682">
        <v>45501</v>
      </c>
      <c r="B1682" t="s">
        <v>25</v>
      </c>
      <c r="C1682" t="s">
        <v>26</v>
      </c>
      <c r="D1682" t="s">
        <v>27</v>
      </c>
      <c r="E1682">
        <v>1000</v>
      </c>
      <c r="F1682" t="s">
        <v>22</v>
      </c>
      <c r="G1682" t="s">
        <v>28</v>
      </c>
    </row>
    <row r="1683" spans="1:7" x14ac:dyDescent="0.3">
      <c r="A1683">
        <v>45511</v>
      </c>
      <c r="B1683" t="s">
        <v>46</v>
      </c>
      <c r="C1683" t="s">
        <v>20</v>
      </c>
      <c r="D1683" t="s">
        <v>27</v>
      </c>
      <c r="E1683">
        <v>1000</v>
      </c>
      <c r="F1683" t="s">
        <v>22</v>
      </c>
      <c r="G1683" t="s">
        <v>28</v>
      </c>
    </row>
    <row r="1684" spans="1:7" x14ac:dyDescent="0.3">
      <c r="A1684">
        <v>45507</v>
      </c>
      <c r="B1684" t="s">
        <v>33</v>
      </c>
      <c r="C1684" t="s">
        <v>26</v>
      </c>
      <c r="D1684" t="s">
        <v>21</v>
      </c>
      <c r="E1684">
        <v>1000</v>
      </c>
      <c r="F1684" t="s">
        <v>34</v>
      </c>
      <c r="G1684" t="s">
        <v>35</v>
      </c>
    </row>
    <row r="1685" spans="1:7" x14ac:dyDescent="0.3">
      <c r="A1685">
        <v>45503</v>
      </c>
      <c r="B1685" t="s">
        <v>43</v>
      </c>
      <c r="C1685" t="s">
        <v>20</v>
      </c>
      <c r="D1685" t="s">
        <v>31</v>
      </c>
      <c r="E1685">
        <v>500</v>
      </c>
      <c r="F1685" t="s">
        <v>44</v>
      </c>
      <c r="G1685" t="s">
        <v>45</v>
      </c>
    </row>
    <row r="1686" spans="1:7" x14ac:dyDescent="0.3">
      <c r="A1686">
        <v>45505</v>
      </c>
      <c r="B1686" t="s">
        <v>49</v>
      </c>
      <c r="C1686" t="s">
        <v>20</v>
      </c>
      <c r="D1686" t="s">
        <v>31</v>
      </c>
      <c r="E1686">
        <v>800</v>
      </c>
      <c r="F1686" t="s">
        <v>41</v>
      </c>
      <c r="G1686" t="s">
        <v>39</v>
      </c>
    </row>
    <row r="1687" spans="1:7" x14ac:dyDescent="0.3">
      <c r="A1687">
        <v>45512</v>
      </c>
      <c r="B1687" t="s">
        <v>36</v>
      </c>
      <c r="C1687" t="s">
        <v>26</v>
      </c>
      <c r="D1687" t="s">
        <v>21</v>
      </c>
      <c r="E1687">
        <v>1000</v>
      </c>
      <c r="F1687" t="s">
        <v>37</v>
      </c>
      <c r="G1687" t="s">
        <v>28</v>
      </c>
    </row>
    <row r="1688" spans="1:7" x14ac:dyDescent="0.3">
      <c r="A1688">
        <v>45513</v>
      </c>
      <c r="B1688" t="s">
        <v>19</v>
      </c>
      <c r="C1688" t="s">
        <v>20</v>
      </c>
      <c r="D1688" t="s">
        <v>21</v>
      </c>
      <c r="E1688">
        <v>1000</v>
      </c>
      <c r="F1688" t="s">
        <v>22</v>
      </c>
      <c r="G1688" t="s">
        <v>23</v>
      </c>
    </row>
    <row r="1689" spans="1:7" x14ac:dyDescent="0.3">
      <c r="A1689">
        <v>45510</v>
      </c>
      <c r="B1689" t="s">
        <v>48</v>
      </c>
      <c r="C1689" t="s">
        <v>20</v>
      </c>
      <c r="D1689" t="s">
        <v>27</v>
      </c>
      <c r="E1689">
        <v>1000</v>
      </c>
      <c r="F1689" t="s">
        <v>22</v>
      </c>
      <c r="G1689" t="s">
        <v>28</v>
      </c>
    </row>
    <row r="1690" spans="1:7" x14ac:dyDescent="0.3">
      <c r="A1690">
        <v>45508</v>
      </c>
      <c r="B1690" t="s">
        <v>42</v>
      </c>
      <c r="C1690" t="s">
        <v>20</v>
      </c>
      <c r="D1690" t="s">
        <v>31</v>
      </c>
      <c r="E1690">
        <v>1000</v>
      </c>
      <c r="F1690" t="s">
        <v>22</v>
      </c>
      <c r="G1690" t="s">
        <v>28</v>
      </c>
    </row>
    <row r="1691" spans="1:7" x14ac:dyDescent="0.3">
      <c r="A1691">
        <v>45505</v>
      </c>
      <c r="B1691" t="s">
        <v>49</v>
      </c>
      <c r="C1691" t="s">
        <v>20</v>
      </c>
      <c r="D1691" t="s">
        <v>31</v>
      </c>
      <c r="E1691">
        <v>800</v>
      </c>
      <c r="F1691" t="s">
        <v>41</v>
      </c>
      <c r="G1691" t="s">
        <v>39</v>
      </c>
    </row>
    <row r="1692" spans="1:7" x14ac:dyDescent="0.3">
      <c r="A1692">
        <v>45514</v>
      </c>
      <c r="B1692" t="s">
        <v>43</v>
      </c>
      <c r="C1692" t="s">
        <v>20</v>
      </c>
      <c r="D1692" t="s">
        <v>31</v>
      </c>
      <c r="E1692">
        <v>1000</v>
      </c>
      <c r="F1692" t="s">
        <v>41</v>
      </c>
      <c r="G1692" t="s">
        <v>47</v>
      </c>
    </row>
    <row r="1693" spans="1:7" x14ac:dyDescent="0.3">
      <c r="A1693">
        <v>45514</v>
      </c>
      <c r="B1693" t="s">
        <v>43</v>
      </c>
      <c r="C1693" t="s">
        <v>20</v>
      </c>
      <c r="D1693" t="s">
        <v>31</v>
      </c>
      <c r="E1693">
        <v>1000</v>
      </c>
      <c r="F1693" t="s">
        <v>41</v>
      </c>
      <c r="G1693" t="s">
        <v>47</v>
      </c>
    </row>
    <row r="1694" spans="1:7" x14ac:dyDescent="0.3">
      <c r="A1694">
        <v>45508</v>
      </c>
      <c r="B1694" t="s">
        <v>42</v>
      </c>
      <c r="C1694" t="s">
        <v>20</v>
      </c>
      <c r="D1694" t="s">
        <v>31</v>
      </c>
      <c r="E1694">
        <v>1000</v>
      </c>
      <c r="F1694" t="s">
        <v>22</v>
      </c>
      <c r="G1694" t="s">
        <v>28</v>
      </c>
    </row>
    <row r="1695" spans="1:7" x14ac:dyDescent="0.3">
      <c r="A1695">
        <v>45510</v>
      </c>
      <c r="B1695" t="s">
        <v>48</v>
      </c>
      <c r="C1695" t="s">
        <v>20</v>
      </c>
      <c r="D1695" t="s">
        <v>27</v>
      </c>
      <c r="E1695">
        <v>1000</v>
      </c>
      <c r="F1695" t="s">
        <v>22</v>
      </c>
      <c r="G1695" t="s">
        <v>28</v>
      </c>
    </row>
    <row r="1696" spans="1:7" x14ac:dyDescent="0.3">
      <c r="A1696">
        <v>45511</v>
      </c>
      <c r="B1696" t="s">
        <v>46</v>
      </c>
      <c r="C1696" t="s">
        <v>20</v>
      </c>
      <c r="D1696" t="s">
        <v>27</v>
      </c>
      <c r="E1696">
        <v>1000</v>
      </c>
      <c r="F1696" t="s">
        <v>22</v>
      </c>
      <c r="G1696" t="s">
        <v>28</v>
      </c>
    </row>
    <row r="1697" spans="1:7" x14ac:dyDescent="0.3">
      <c r="A1697">
        <v>45509</v>
      </c>
      <c r="B1697" t="s">
        <v>30</v>
      </c>
      <c r="C1697" t="s">
        <v>26</v>
      </c>
      <c r="D1697" t="s">
        <v>31</v>
      </c>
      <c r="E1697">
        <v>500</v>
      </c>
      <c r="F1697" t="s">
        <v>32</v>
      </c>
      <c r="G1697" t="s">
        <v>23</v>
      </c>
    </row>
    <row r="1698" spans="1:7" x14ac:dyDescent="0.3">
      <c r="A1698">
        <v>45508</v>
      </c>
      <c r="B1698" t="s">
        <v>42</v>
      </c>
      <c r="C1698" t="s">
        <v>20</v>
      </c>
      <c r="D1698" t="s">
        <v>31</v>
      </c>
      <c r="E1698">
        <v>1000</v>
      </c>
      <c r="F1698" t="s">
        <v>22</v>
      </c>
      <c r="G1698" t="s">
        <v>28</v>
      </c>
    </row>
    <row r="1699" spans="1:7" x14ac:dyDescent="0.3">
      <c r="A1699">
        <v>45500</v>
      </c>
      <c r="B1699" t="s">
        <v>19</v>
      </c>
      <c r="C1699" t="s">
        <v>20</v>
      </c>
      <c r="D1699" t="s">
        <v>21</v>
      </c>
      <c r="E1699">
        <v>500</v>
      </c>
      <c r="F1699" t="s">
        <v>32</v>
      </c>
      <c r="G1699" t="s">
        <v>47</v>
      </c>
    </row>
    <row r="1700" spans="1:7" x14ac:dyDescent="0.3">
      <c r="A1700">
        <v>45503</v>
      </c>
      <c r="B1700" t="s">
        <v>43</v>
      </c>
      <c r="C1700" t="s">
        <v>20</v>
      </c>
      <c r="D1700" t="s">
        <v>31</v>
      </c>
      <c r="E1700">
        <v>500</v>
      </c>
      <c r="F1700" t="s">
        <v>44</v>
      </c>
      <c r="G1700" t="s">
        <v>45</v>
      </c>
    </row>
    <row r="1701" spans="1:7" x14ac:dyDescent="0.3">
      <c r="A1701">
        <v>45500</v>
      </c>
      <c r="B1701" t="s">
        <v>19</v>
      </c>
      <c r="C1701" t="s">
        <v>20</v>
      </c>
      <c r="D1701" t="s">
        <v>21</v>
      </c>
      <c r="E1701">
        <v>500</v>
      </c>
      <c r="F1701" t="s">
        <v>32</v>
      </c>
      <c r="G1701" t="s">
        <v>47</v>
      </c>
    </row>
    <row r="1702" spans="1:7" x14ac:dyDescent="0.3">
      <c r="A1702">
        <v>45507</v>
      </c>
      <c r="B1702" t="s">
        <v>33</v>
      </c>
      <c r="C1702" t="s">
        <v>26</v>
      </c>
      <c r="D1702" t="s">
        <v>21</v>
      </c>
      <c r="E1702">
        <v>1000</v>
      </c>
      <c r="F1702" t="s">
        <v>34</v>
      </c>
      <c r="G1702" t="s">
        <v>35</v>
      </c>
    </row>
    <row r="1703" spans="1:7" x14ac:dyDescent="0.3">
      <c r="A1703">
        <v>45506</v>
      </c>
      <c r="B1703" t="s">
        <v>38</v>
      </c>
      <c r="C1703" t="s">
        <v>26</v>
      </c>
      <c r="D1703" t="s">
        <v>21</v>
      </c>
      <c r="E1703">
        <v>1000</v>
      </c>
      <c r="F1703" t="s">
        <v>34</v>
      </c>
      <c r="G1703" t="s">
        <v>39</v>
      </c>
    </row>
    <row r="1704" spans="1:7" x14ac:dyDescent="0.3">
      <c r="A1704">
        <v>45500</v>
      </c>
      <c r="B1704" t="s">
        <v>19</v>
      </c>
      <c r="C1704" t="s">
        <v>20</v>
      </c>
      <c r="D1704" t="s">
        <v>21</v>
      </c>
      <c r="E1704">
        <v>500</v>
      </c>
      <c r="F1704" t="s">
        <v>32</v>
      </c>
      <c r="G1704" t="s">
        <v>47</v>
      </c>
    </row>
    <row r="1705" spans="1:7" x14ac:dyDescent="0.3">
      <c r="A1705">
        <v>45501</v>
      </c>
      <c r="B1705" t="s">
        <v>25</v>
      </c>
      <c r="C1705" t="s">
        <v>26</v>
      </c>
      <c r="D1705" t="s">
        <v>27</v>
      </c>
      <c r="E1705">
        <v>1000</v>
      </c>
      <c r="F1705" t="s">
        <v>22</v>
      </c>
      <c r="G1705" t="s">
        <v>28</v>
      </c>
    </row>
    <row r="1706" spans="1:7" x14ac:dyDescent="0.3">
      <c r="A1706">
        <v>45507</v>
      </c>
      <c r="B1706" t="s">
        <v>33</v>
      </c>
      <c r="C1706" t="s">
        <v>26</v>
      </c>
      <c r="D1706" t="s">
        <v>21</v>
      </c>
      <c r="E1706">
        <v>1000</v>
      </c>
      <c r="F1706" t="s">
        <v>34</v>
      </c>
      <c r="G1706" t="s">
        <v>35</v>
      </c>
    </row>
    <row r="1707" spans="1:7" x14ac:dyDescent="0.3">
      <c r="A1707">
        <v>45509</v>
      </c>
      <c r="B1707" t="s">
        <v>30</v>
      </c>
      <c r="C1707" t="s">
        <v>26</v>
      </c>
      <c r="D1707" t="s">
        <v>31</v>
      </c>
      <c r="E1707">
        <v>500</v>
      </c>
      <c r="F1707" t="s">
        <v>32</v>
      </c>
      <c r="G1707" t="s">
        <v>23</v>
      </c>
    </row>
    <row r="1708" spans="1:7" x14ac:dyDescent="0.3">
      <c r="A1708">
        <v>45512</v>
      </c>
      <c r="B1708" t="s">
        <v>36</v>
      </c>
      <c r="C1708" t="s">
        <v>26</v>
      </c>
      <c r="D1708" t="s">
        <v>21</v>
      </c>
      <c r="E1708">
        <v>1000</v>
      </c>
      <c r="F1708" t="s">
        <v>37</v>
      </c>
      <c r="G1708" t="s">
        <v>28</v>
      </c>
    </row>
    <row r="1709" spans="1:7" x14ac:dyDescent="0.3">
      <c r="A1709">
        <v>45511</v>
      </c>
      <c r="B1709" t="s">
        <v>46</v>
      </c>
      <c r="C1709" t="s">
        <v>20</v>
      </c>
      <c r="D1709" t="s">
        <v>27</v>
      </c>
      <c r="E1709">
        <v>1000</v>
      </c>
      <c r="F1709" t="s">
        <v>22</v>
      </c>
      <c r="G1709" t="s">
        <v>28</v>
      </c>
    </row>
    <row r="1710" spans="1:7" x14ac:dyDescent="0.3">
      <c r="A1710">
        <v>45510</v>
      </c>
      <c r="B1710" t="s">
        <v>48</v>
      </c>
      <c r="C1710" t="s">
        <v>20</v>
      </c>
      <c r="D1710" t="s">
        <v>27</v>
      </c>
      <c r="E1710">
        <v>1000</v>
      </c>
      <c r="F1710" t="s">
        <v>22</v>
      </c>
      <c r="G1710" t="s">
        <v>28</v>
      </c>
    </row>
    <row r="1711" spans="1:7" x14ac:dyDescent="0.3">
      <c r="A1711">
        <v>45507</v>
      </c>
      <c r="B1711" t="s">
        <v>33</v>
      </c>
      <c r="C1711" t="s">
        <v>26</v>
      </c>
      <c r="D1711" t="s">
        <v>21</v>
      </c>
      <c r="E1711">
        <v>1000</v>
      </c>
      <c r="F1711" t="s">
        <v>34</v>
      </c>
      <c r="G1711" t="s">
        <v>35</v>
      </c>
    </row>
    <row r="1712" spans="1:7" x14ac:dyDescent="0.3">
      <c r="A1712">
        <v>45508</v>
      </c>
      <c r="B1712" t="s">
        <v>42</v>
      </c>
      <c r="C1712" t="s">
        <v>20</v>
      </c>
      <c r="D1712" t="s">
        <v>31</v>
      </c>
      <c r="E1712">
        <v>1000</v>
      </c>
      <c r="F1712" t="s">
        <v>22</v>
      </c>
      <c r="G1712" t="s">
        <v>28</v>
      </c>
    </row>
    <row r="1713" spans="1:7" x14ac:dyDescent="0.3">
      <c r="A1713">
        <v>45513</v>
      </c>
      <c r="B1713" t="s">
        <v>19</v>
      </c>
      <c r="C1713" t="s">
        <v>20</v>
      </c>
      <c r="D1713" t="s">
        <v>21</v>
      </c>
      <c r="E1713">
        <v>1000</v>
      </c>
      <c r="F1713" t="s">
        <v>22</v>
      </c>
      <c r="G1713" t="s">
        <v>23</v>
      </c>
    </row>
    <row r="1714" spans="1:7" x14ac:dyDescent="0.3">
      <c r="A1714">
        <v>45507</v>
      </c>
      <c r="B1714" t="s">
        <v>33</v>
      </c>
      <c r="C1714" t="s">
        <v>26</v>
      </c>
      <c r="D1714" t="s">
        <v>21</v>
      </c>
      <c r="E1714">
        <v>1000</v>
      </c>
      <c r="F1714" t="s">
        <v>34</v>
      </c>
      <c r="G1714" t="s">
        <v>35</v>
      </c>
    </row>
    <row r="1715" spans="1:7" x14ac:dyDescent="0.3">
      <c r="A1715">
        <v>45500</v>
      </c>
      <c r="B1715" t="s">
        <v>19</v>
      </c>
      <c r="C1715" t="s">
        <v>20</v>
      </c>
      <c r="D1715" t="s">
        <v>21</v>
      </c>
      <c r="E1715">
        <v>500</v>
      </c>
      <c r="F1715" t="s">
        <v>32</v>
      </c>
      <c r="G1715" t="s">
        <v>47</v>
      </c>
    </row>
    <row r="1716" spans="1:7" x14ac:dyDescent="0.3">
      <c r="A1716">
        <v>45505</v>
      </c>
      <c r="B1716" t="s">
        <v>49</v>
      </c>
      <c r="C1716" t="s">
        <v>20</v>
      </c>
      <c r="D1716" t="s">
        <v>31</v>
      </c>
      <c r="E1716">
        <v>800</v>
      </c>
      <c r="F1716" t="s">
        <v>41</v>
      </c>
      <c r="G1716" t="s">
        <v>39</v>
      </c>
    </row>
    <row r="1717" spans="1:7" x14ac:dyDescent="0.3">
      <c r="A1717">
        <v>45513</v>
      </c>
      <c r="B1717" t="s">
        <v>19</v>
      </c>
      <c r="C1717" t="s">
        <v>20</v>
      </c>
      <c r="D1717" t="s">
        <v>21</v>
      </c>
      <c r="E1717">
        <v>1000</v>
      </c>
      <c r="F1717" t="s">
        <v>22</v>
      </c>
      <c r="G1717" t="s">
        <v>23</v>
      </c>
    </row>
    <row r="1718" spans="1:7" x14ac:dyDescent="0.3">
      <c r="A1718">
        <v>45505</v>
      </c>
      <c r="B1718" t="s">
        <v>49</v>
      </c>
      <c r="C1718" t="s">
        <v>20</v>
      </c>
      <c r="D1718" t="s">
        <v>31</v>
      </c>
      <c r="E1718">
        <v>800</v>
      </c>
      <c r="F1718" t="s">
        <v>41</v>
      </c>
      <c r="G1718" t="s">
        <v>39</v>
      </c>
    </row>
    <row r="1719" spans="1:7" x14ac:dyDescent="0.3">
      <c r="A1719">
        <v>45504</v>
      </c>
      <c r="B1719" t="s">
        <v>29</v>
      </c>
      <c r="C1719" t="s">
        <v>26</v>
      </c>
      <c r="D1719" t="s">
        <v>27</v>
      </c>
      <c r="E1719">
        <v>1000</v>
      </c>
      <c r="F1719" t="s">
        <v>22</v>
      </c>
      <c r="G1719" t="s">
        <v>28</v>
      </c>
    </row>
    <row r="1720" spans="1:7" x14ac:dyDescent="0.3">
      <c r="A1720">
        <v>45500</v>
      </c>
      <c r="B1720" t="s">
        <v>19</v>
      </c>
      <c r="C1720" t="s">
        <v>20</v>
      </c>
      <c r="D1720" t="s">
        <v>21</v>
      </c>
      <c r="E1720">
        <v>500</v>
      </c>
      <c r="F1720" t="s">
        <v>32</v>
      </c>
      <c r="G1720" t="s">
        <v>47</v>
      </c>
    </row>
    <row r="1721" spans="1:7" x14ac:dyDescent="0.3">
      <c r="A1721">
        <v>45501</v>
      </c>
      <c r="B1721" t="s">
        <v>25</v>
      </c>
      <c r="C1721" t="s">
        <v>26</v>
      </c>
      <c r="D1721" t="s">
        <v>27</v>
      </c>
      <c r="E1721">
        <v>1000</v>
      </c>
      <c r="F1721" t="s">
        <v>22</v>
      </c>
      <c r="G1721" t="s">
        <v>28</v>
      </c>
    </row>
    <row r="1722" spans="1:7" x14ac:dyDescent="0.3">
      <c r="A1722">
        <v>45510</v>
      </c>
      <c r="B1722" t="s">
        <v>48</v>
      </c>
      <c r="C1722" t="s">
        <v>20</v>
      </c>
      <c r="D1722" t="s">
        <v>27</v>
      </c>
      <c r="E1722">
        <v>1000</v>
      </c>
      <c r="F1722" t="s">
        <v>22</v>
      </c>
      <c r="G1722" t="s">
        <v>28</v>
      </c>
    </row>
    <row r="1723" spans="1:7" x14ac:dyDescent="0.3">
      <c r="A1723">
        <v>45503</v>
      </c>
      <c r="B1723" t="s">
        <v>43</v>
      </c>
      <c r="C1723" t="s">
        <v>20</v>
      </c>
      <c r="D1723" t="s">
        <v>31</v>
      </c>
      <c r="E1723">
        <v>500</v>
      </c>
      <c r="F1723" t="s">
        <v>44</v>
      </c>
      <c r="G1723" t="s">
        <v>45</v>
      </c>
    </row>
    <row r="1724" spans="1:7" x14ac:dyDescent="0.3">
      <c r="A1724">
        <v>45509</v>
      </c>
      <c r="B1724" t="s">
        <v>30</v>
      </c>
      <c r="C1724" t="s">
        <v>26</v>
      </c>
      <c r="D1724" t="s">
        <v>31</v>
      </c>
      <c r="E1724">
        <v>500</v>
      </c>
      <c r="F1724" t="s">
        <v>32</v>
      </c>
      <c r="G1724" t="s">
        <v>23</v>
      </c>
    </row>
    <row r="1725" spans="1:7" x14ac:dyDescent="0.3">
      <c r="A1725">
        <v>45514</v>
      </c>
      <c r="B1725" t="s">
        <v>43</v>
      </c>
      <c r="C1725" t="s">
        <v>20</v>
      </c>
      <c r="D1725" t="s">
        <v>31</v>
      </c>
      <c r="E1725">
        <v>1000</v>
      </c>
      <c r="F1725" t="s">
        <v>41</v>
      </c>
      <c r="G1725" t="s">
        <v>47</v>
      </c>
    </row>
    <row r="1726" spans="1:7" x14ac:dyDescent="0.3">
      <c r="A1726">
        <v>45514</v>
      </c>
      <c r="B1726" t="s">
        <v>43</v>
      </c>
      <c r="C1726" t="s">
        <v>20</v>
      </c>
      <c r="D1726" t="s">
        <v>31</v>
      </c>
      <c r="E1726">
        <v>1000</v>
      </c>
      <c r="F1726" t="s">
        <v>41</v>
      </c>
      <c r="G1726" t="s">
        <v>47</v>
      </c>
    </row>
    <row r="1727" spans="1:7" x14ac:dyDescent="0.3">
      <c r="A1727">
        <v>45506</v>
      </c>
      <c r="B1727" t="s">
        <v>38</v>
      </c>
      <c r="C1727" t="s">
        <v>26</v>
      </c>
      <c r="D1727" t="s">
        <v>21</v>
      </c>
      <c r="E1727">
        <v>1000</v>
      </c>
      <c r="F1727" t="s">
        <v>34</v>
      </c>
      <c r="G1727" t="s">
        <v>39</v>
      </c>
    </row>
    <row r="1728" spans="1:7" x14ac:dyDescent="0.3">
      <c r="A1728">
        <v>45508</v>
      </c>
      <c r="B1728" t="s">
        <v>42</v>
      </c>
      <c r="C1728" t="s">
        <v>20</v>
      </c>
      <c r="D1728" t="s">
        <v>31</v>
      </c>
      <c r="E1728">
        <v>1000</v>
      </c>
      <c r="F1728" t="s">
        <v>22</v>
      </c>
      <c r="G1728" t="s">
        <v>28</v>
      </c>
    </row>
    <row r="1729" spans="1:7" x14ac:dyDescent="0.3">
      <c r="A1729">
        <v>45503</v>
      </c>
      <c r="B1729" t="s">
        <v>43</v>
      </c>
      <c r="C1729" t="s">
        <v>20</v>
      </c>
      <c r="D1729" t="s">
        <v>31</v>
      </c>
      <c r="E1729">
        <v>500</v>
      </c>
      <c r="F1729" t="s">
        <v>44</v>
      </c>
      <c r="G1729" t="s">
        <v>45</v>
      </c>
    </row>
    <row r="1730" spans="1:7" x14ac:dyDescent="0.3">
      <c r="A1730">
        <v>45507</v>
      </c>
      <c r="B1730" t="s">
        <v>33</v>
      </c>
      <c r="C1730" t="s">
        <v>26</v>
      </c>
      <c r="D1730" t="s">
        <v>21</v>
      </c>
      <c r="E1730">
        <v>1000</v>
      </c>
      <c r="F1730" t="s">
        <v>34</v>
      </c>
      <c r="G1730" t="s">
        <v>35</v>
      </c>
    </row>
    <row r="1731" spans="1:7" x14ac:dyDescent="0.3">
      <c r="A1731">
        <v>45501</v>
      </c>
      <c r="B1731" t="s">
        <v>25</v>
      </c>
      <c r="C1731" t="s">
        <v>26</v>
      </c>
      <c r="D1731" t="s">
        <v>27</v>
      </c>
      <c r="E1731">
        <v>1000</v>
      </c>
      <c r="F1731" t="s">
        <v>22</v>
      </c>
      <c r="G1731" t="s">
        <v>28</v>
      </c>
    </row>
    <row r="1732" spans="1:7" x14ac:dyDescent="0.3">
      <c r="A1732">
        <v>45501</v>
      </c>
      <c r="B1732" t="s">
        <v>25</v>
      </c>
      <c r="C1732" t="s">
        <v>26</v>
      </c>
      <c r="D1732" t="s">
        <v>27</v>
      </c>
      <c r="E1732">
        <v>1000</v>
      </c>
      <c r="F1732" t="s">
        <v>22</v>
      </c>
      <c r="G1732" t="s">
        <v>28</v>
      </c>
    </row>
    <row r="1733" spans="1:7" x14ac:dyDescent="0.3">
      <c r="A1733">
        <v>45502</v>
      </c>
      <c r="B1733" t="s">
        <v>40</v>
      </c>
      <c r="C1733" t="s">
        <v>20</v>
      </c>
      <c r="D1733" t="s">
        <v>31</v>
      </c>
      <c r="E1733">
        <v>800</v>
      </c>
      <c r="F1733" t="s">
        <v>41</v>
      </c>
      <c r="G1733" t="s">
        <v>23</v>
      </c>
    </row>
    <row r="1734" spans="1:7" x14ac:dyDescent="0.3">
      <c r="A1734">
        <v>45502</v>
      </c>
      <c r="B1734" t="s">
        <v>40</v>
      </c>
      <c r="C1734" t="s">
        <v>20</v>
      </c>
      <c r="D1734" t="s">
        <v>31</v>
      </c>
      <c r="E1734">
        <v>800</v>
      </c>
      <c r="F1734" t="s">
        <v>41</v>
      </c>
      <c r="G1734" t="s">
        <v>23</v>
      </c>
    </row>
    <row r="1735" spans="1:7" x14ac:dyDescent="0.3">
      <c r="A1735">
        <v>45502</v>
      </c>
      <c r="B1735" t="s">
        <v>40</v>
      </c>
      <c r="C1735" t="s">
        <v>20</v>
      </c>
      <c r="D1735" t="s">
        <v>31</v>
      </c>
      <c r="E1735">
        <v>800</v>
      </c>
      <c r="F1735" t="s">
        <v>41</v>
      </c>
      <c r="G1735" t="s">
        <v>23</v>
      </c>
    </row>
    <row r="1736" spans="1:7" x14ac:dyDescent="0.3">
      <c r="A1736">
        <v>45509</v>
      </c>
      <c r="B1736" t="s">
        <v>30</v>
      </c>
      <c r="C1736" t="s">
        <v>26</v>
      </c>
      <c r="D1736" t="s">
        <v>31</v>
      </c>
      <c r="E1736">
        <v>500</v>
      </c>
      <c r="F1736" t="s">
        <v>32</v>
      </c>
      <c r="G1736" t="s">
        <v>23</v>
      </c>
    </row>
    <row r="1737" spans="1:7" x14ac:dyDescent="0.3">
      <c r="A1737">
        <v>45505</v>
      </c>
      <c r="B1737" t="s">
        <v>49</v>
      </c>
      <c r="C1737" t="s">
        <v>20</v>
      </c>
      <c r="D1737" t="s">
        <v>31</v>
      </c>
      <c r="E1737">
        <v>800</v>
      </c>
      <c r="F1737" t="s">
        <v>41</v>
      </c>
      <c r="G1737" t="s">
        <v>39</v>
      </c>
    </row>
    <row r="1738" spans="1:7" x14ac:dyDescent="0.3">
      <c r="A1738">
        <v>45504</v>
      </c>
      <c r="B1738" t="s">
        <v>29</v>
      </c>
      <c r="C1738" t="s">
        <v>26</v>
      </c>
      <c r="D1738" t="s">
        <v>27</v>
      </c>
      <c r="E1738">
        <v>1000</v>
      </c>
      <c r="F1738" t="s">
        <v>22</v>
      </c>
      <c r="G1738" t="s">
        <v>28</v>
      </c>
    </row>
    <row r="1739" spans="1:7" x14ac:dyDescent="0.3">
      <c r="A1739">
        <v>45511</v>
      </c>
      <c r="B1739" t="s">
        <v>46</v>
      </c>
      <c r="C1739" t="s">
        <v>20</v>
      </c>
      <c r="D1739" t="s">
        <v>27</v>
      </c>
      <c r="E1739">
        <v>1000</v>
      </c>
      <c r="F1739" t="s">
        <v>22</v>
      </c>
      <c r="G1739" t="s">
        <v>28</v>
      </c>
    </row>
    <row r="1740" spans="1:7" x14ac:dyDescent="0.3">
      <c r="A1740">
        <v>45514</v>
      </c>
      <c r="B1740" t="s">
        <v>43</v>
      </c>
      <c r="C1740" t="s">
        <v>20</v>
      </c>
      <c r="D1740" t="s">
        <v>31</v>
      </c>
      <c r="E1740">
        <v>1000</v>
      </c>
      <c r="F1740" t="s">
        <v>41</v>
      </c>
      <c r="G1740" t="s">
        <v>47</v>
      </c>
    </row>
    <row r="1741" spans="1:7" x14ac:dyDescent="0.3">
      <c r="A1741">
        <v>45503</v>
      </c>
      <c r="B1741" t="s">
        <v>43</v>
      </c>
      <c r="C1741" t="s">
        <v>20</v>
      </c>
      <c r="D1741" t="s">
        <v>31</v>
      </c>
      <c r="E1741">
        <v>500</v>
      </c>
      <c r="F1741" t="s">
        <v>44</v>
      </c>
      <c r="G1741" t="s">
        <v>45</v>
      </c>
    </row>
    <row r="1742" spans="1:7" x14ac:dyDescent="0.3">
      <c r="A1742">
        <v>45512</v>
      </c>
      <c r="B1742" t="s">
        <v>36</v>
      </c>
      <c r="C1742" t="s">
        <v>26</v>
      </c>
      <c r="D1742" t="s">
        <v>21</v>
      </c>
      <c r="E1742">
        <v>1000</v>
      </c>
      <c r="F1742" t="s">
        <v>37</v>
      </c>
      <c r="G1742" t="s">
        <v>28</v>
      </c>
    </row>
    <row r="1743" spans="1:7" x14ac:dyDescent="0.3">
      <c r="A1743">
        <v>45502</v>
      </c>
      <c r="B1743" t="s">
        <v>40</v>
      </c>
      <c r="C1743" t="s">
        <v>20</v>
      </c>
      <c r="D1743" t="s">
        <v>31</v>
      </c>
      <c r="E1743">
        <v>800</v>
      </c>
      <c r="F1743" t="s">
        <v>41</v>
      </c>
      <c r="G1743" t="s">
        <v>23</v>
      </c>
    </row>
    <row r="1744" spans="1:7" x14ac:dyDescent="0.3">
      <c r="A1744">
        <v>45511</v>
      </c>
      <c r="B1744" t="s">
        <v>46</v>
      </c>
      <c r="C1744" t="s">
        <v>20</v>
      </c>
      <c r="D1744" t="s">
        <v>27</v>
      </c>
      <c r="E1744">
        <v>1000</v>
      </c>
      <c r="F1744" t="s">
        <v>22</v>
      </c>
      <c r="G1744" t="s">
        <v>28</v>
      </c>
    </row>
    <row r="1745" spans="1:7" x14ac:dyDescent="0.3">
      <c r="A1745">
        <v>45504</v>
      </c>
      <c r="B1745" t="s">
        <v>29</v>
      </c>
      <c r="C1745" t="s">
        <v>26</v>
      </c>
      <c r="D1745" t="s">
        <v>27</v>
      </c>
      <c r="E1745">
        <v>1000</v>
      </c>
      <c r="F1745" t="s">
        <v>22</v>
      </c>
      <c r="G1745" t="s">
        <v>28</v>
      </c>
    </row>
    <row r="1746" spans="1:7" x14ac:dyDescent="0.3">
      <c r="A1746">
        <v>45510</v>
      </c>
      <c r="B1746" t="s">
        <v>48</v>
      </c>
      <c r="C1746" t="s">
        <v>20</v>
      </c>
      <c r="D1746" t="s">
        <v>27</v>
      </c>
      <c r="E1746">
        <v>1000</v>
      </c>
      <c r="F1746" t="s">
        <v>22</v>
      </c>
      <c r="G1746" t="s">
        <v>28</v>
      </c>
    </row>
    <row r="1747" spans="1:7" x14ac:dyDescent="0.3">
      <c r="A1747">
        <v>45505</v>
      </c>
      <c r="B1747" t="s">
        <v>49</v>
      </c>
      <c r="C1747" t="s">
        <v>20</v>
      </c>
      <c r="D1747" t="s">
        <v>31</v>
      </c>
      <c r="E1747">
        <v>800</v>
      </c>
      <c r="F1747" t="s">
        <v>41</v>
      </c>
      <c r="G1747" t="s">
        <v>39</v>
      </c>
    </row>
    <row r="1748" spans="1:7" x14ac:dyDescent="0.3">
      <c r="A1748">
        <v>45509</v>
      </c>
      <c r="B1748" t="s">
        <v>30</v>
      </c>
      <c r="C1748" t="s">
        <v>26</v>
      </c>
      <c r="D1748" t="s">
        <v>31</v>
      </c>
      <c r="E1748">
        <v>500</v>
      </c>
      <c r="F1748" t="s">
        <v>32</v>
      </c>
      <c r="G1748" t="s">
        <v>23</v>
      </c>
    </row>
    <row r="1749" spans="1:7" x14ac:dyDescent="0.3">
      <c r="A1749">
        <v>45511</v>
      </c>
      <c r="B1749" t="s">
        <v>46</v>
      </c>
      <c r="C1749" t="s">
        <v>20</v>
      </c>
      <c r="D1749" t="s">
        <v>27</v>
      </c>
      <c r="E1749">
        <v>1000</v>
      </c>
      <c r="F1749" t="s">
        <v>22</v>
      </c>
      <c r="G1749" t="s">
        <v>28</v>
      </c>
    </row>
    <row r="1750" spans="1:7" x14ac:dyDescent="0.3">
      <c r="A1750">
        <v>45510</v>
      </c>
      <c r="B1750" t="s">
        <v>48</v>
      </c>
      <c r="C1750" t="s">
        <v>20</v>
      </c>
      <c r="D1750" t="s">
        <v>27</v>
      </c>
      <c r="E1750">
        <v>1000</v>
      </c>
      <c r="F1750" t="s">
        <v>22</v>
      </c>
      <c r="G1750" t="s">
        <v>28</v>
      </c>
    </row>
    <row r="1751" spans="1:7" x14ac:dyDescent="0.3">
      <c r="A1751">
        <v>45508</v>
      </c>
      <c r="B1751" t="s">
        <v>42</v>
      </c>
      <c r="C1751" t="s">
        <v>20</v>
      </c>
      <c r="D1751" t="s">
        <v>31</v>
      </c>
      <c r="E1751">
        <v>1000</v>
      </c>
      <c r="F1751" t="s">
        <v>22</v>
      </c>
      <c r="G1751" t="s">
        <v>28</v>
      </c>
    </row>
    <row r="1752" spans="1:7" x14ac:dyDescent="0.3">
      <c r="A1752">
        <v>45502</v>
      </c>
      <c r="B1752" t="s">
        <v>40</v>
      </c>
      <c r="C1752" t="s">
        <v>20</v>
      </c>
      <c r="D1752" t="s">
        <v>31</v>
      </c>
      <c r="E1752">
        <v>800</v>
      </c>
      <c r="F1752" t="s">
        <v>41</v>
      </c>
      <c r="G1752" t="s">
        <v>23</v>
      </c>
    </row>
    <row r="1753" spans="1:7" x14ac:dyDescent="0.3">
      <c r="A1753">
        <v>45514</v>
      </c>
      <c r="B1753" t="s">
        <v>43</v>
      </c>
      <c r="C1753" t="s">
        <v>20</v>
      </c>
      <c r="D1753" t="s">
        <v>31</v>
      </c>
      <c r="E1753">
        <v>1000</v>
      </c>
      <c r="F1753" t="s">
        <v>41</v>
      </c>
      <c r="G1753" t="s">
        <v>47</v>
      </c>
    </row>
    <row r="1754" spans="1:7" x14ac:dyDescent="0.3">
      <c r="A1754">
        <v>45509</v>
      </c>
      <c r="B1754" t="s">
        <v>30</v>
      </c>
      <c r="C1754" t="s">
        <v>26</v>
      </c>
      <c r="D1754" t="s">
        <v>31</v>
      </c>
      <c r="E1754">
        <v>500</v>
      </c>
      <c r="F1754" t="s">
        <v>32</v>
      </c>
      <c r="G1754" t="s">
        <v>23</v>
      </c>
    </row>
    <row r="1755" spans="1:7" x14ac:dyDescent="0.3">
      <c r="A1755">
        <v>45503</v>
      </c>
      <c r="B1755" t="s">
        <v>43</v>
      </c>
      <c r="C1755" t="s">
        <v>20</v>
      </c>
      <c r="D1755" t="s">
        <v>31</v>
      </c>
      <c r="E1755">
        <v>500</v>
      </c>
      <c r="F1755" t="s">
        <v>44</v>
      </c>
      <c r="G1755" t="s">
        <v>45</v>
      </c>
    </row>
    <row r="1756" spans="1:7" x14ac:dyDescent="0.3">
      <c r="A1756">
        <v>45508</v>
      </c>
      <c r="B1756" t="s">
        <v>42</v>
      </c>
      <c r="C1756" t="s">
        <v>20</v>
      </c>
      <c r="D1756" t="s">
        <v>31</v>
      </c>
      <c r="E1756">
        <v>1000</v>
      </c>
      <c r="F1756" t="s">
        <v>22</v>
      </c>
      <c r="G1756" t="s">
        <v>28</v>
      </c>
    </row>
    <row r="1757" spans="1:7" x14ac:dyDescent="0.3">
      <c r="A1757">
        <v>45503</v>
      </c>
      <c r="B1757" t="s">
        <v>43</v>
      </c>
      <c r="C1757" t="s">
        <v>20</v>
      </c>
      <c r="D1757" t="s">
        <v>31</v>
      </c>
      <c r="E1757">
        <v>500</v>
      </c>
      <c r="F1757" t="s">
        <v>44</v>
      </c>
      <c r="G1757" t="s">
        <v>45</v>
      </c>
    </row>
    <row r="1758" spans="1:7" x14ac:dyDescent="0.3">
      <c r="A1758">
        <v>45507</v>
      </c>
      <c r="B1758" t="s">
        <v>33</v>
      </c>
      <c r="C1758" t="s">
        <v>26</v>
      </c>
      <c r="D1758" t="s">
        <v>21</v>
      </c>
      <c r="E1758">
        <v>1000</v>
      </c>
      <c r="F1758" t="s">
        <v>34</v>
      </c>
      <c r="G1758" t="s">
        <v>35</v>
      </c>
    </row>
    <row r="1759" spans="1:7" x14ac:dyDescent="0.3">
      <c r="A1759">
        <v>45507</v>
      </c>
      <c r="B1759" t="s">
        <v>33</v>
      </c>
      <c r="C1759" t="s">
        <v>26</v>
      </c>
      <c r="D1759" t="s">
        <v>21</v>
      </c>
      <c r="E1759">
        <v>1000</v>
      </c>
      <c r="F1759" t="s">
        <v>34</v>
      </c>
      <c r="G1759" t="s">
        <v>35</v>
      </c>
    </row>
    <row r="1760" spans="1:7" x14ac:dyDescent="0.3">
      <c r="A1760">
        <v>45513</v>
      </c>
      <c r="B1760" t="s">
        <v>19</v>
      </c>
      <c r="C1760" t="s">
        <v>20</v>
      </c>
      <c r="D1760" t="s">
        <v>21</v>
      </c>
      <c r="E1760">
        <v>1000</v>
      </c>
      <c r="F1760" t="s">
        <v>22</v>
      </c>
      <c r="G1760" t="s">
        <v>23</v>
      </c>
    </row>
    <row r="1761" spans="1:7" x14ac:dyDescent="0.3">
      <c r="A1761">
        <v>45504</v>
      </c>
      <c r="B1761" t="s">
        <v>29</v>
      </c>
      <c r="C1761" t="s">
        <v>26</v>
      </c>
      <c r="D1761" t="s">
        <v>27</v>
      </c>
      <c r="E1761">
        <v>1000</v>
      </c>
      <c r="F1761" t="s">
        <v>22</v>
      </c>
      <c r="G1761" t="s">
        <v>28</v>
      </c>
    </row>
    <row r="1762" spans="1:7" x14ac:dyDescent="0.3">
      <c r="A1762">
        <v>45504</v>
      </c>
      <c r="B1762" t="s">
        <v>29</v>
      </c>
      <c r="C1762" t="s">
        <v>26</v>
      </c>
      <c r="D1762" t="s">
        <v>27</v>
      </c>
      <c r="E1762">
        <v>1000</v>
      </c>
      <c r="F1762" t="s">
        <v>22</v>
      </c>
      <c r="G1762" t="s">
        <v>28</v>
      </c>
    </row>
    <row r="1763" spans="1:7" x14ac:dyDescent="0.3">
      <c r="A1763">
        <v>45506</v>
      </c>
      <c r="B1763" t="s">
        <v>38</v>
      </c>
      <c r="C1763" t="s">
        <v>26</v>
      </c>
      <c r="D1763" t="s">
        <v>21</v>
      </c>
      <c r="E1763">
        <v>1000</v>
      </c>
      <c r="F1763" t="s">
        <v>34</v>
      </c>
      <c r="G1763" t="s">
        <v>39</v>
      </c>
    </row>
    <row r="1764" spans="1:7" x14ac:dyDescent="0.3">
      <c r="A1764">
        <v>45507</v>
      </c>
      <c r="B1764" t="s">
        <v>33</v>
      </c>
      <c r="C1764" t="s">
        <v>26</v>
      </c>
      <c r="D1764" t="s">
        <v>21</v>
      </c>
      <c r="E1764">
        <v>1000</v>
      </c>
      <c r="F1764" t="s">
        <v>34</v>
      </c>
      <c r="G1764" t="s">
        <v>35</v>
      </c>
    </row>
    <row r="1765" spans="1:7" x14ac:dyDescent="0.3">
      <c r="A1765">
        <v>45506</v>
      </c>
      <c r="B1765" t="s">
        <v>38</v>
      </c>
      <c r="C1765" t="s">
        <v>26</v>
      </c>
      <c r="D1765" t="s">
        <v>21</v>
      </c>
      <c r="E1765">
        <v>1000</v>
      </c>
      <c r="F1765" t="s">
        <v>34</v>
      </c>
      <c r="G1765" t="s">
        <v>39</v>
      </c>
    </row>
    <row r="1766" spans="1:7" x14ac:dyDescent="0.3">
      <c r="A1766">
        <v>45514</v>
      </c>
      <c r="B1766" t="s">
        <v>43</v>
      </c>
      <c r="C1766" t="s">
        <v>20</v>
      </c>
      <c r="D1766" t="s">
        <v>31</v>
      </c>
      <c r="E1766">
        <v>1000</v>
      </c>
      <c r="F1766" t="s">
        <v>41</v>
      </c>
      <c r="G1766" t="s">
        <v>47</v>
      </c>
    </row>
    <row r="1767" spans="1:7" x14ac:dyDescent="0.3">
      <c r="A1767">
        <v>45513</v>
      </c>
      <c r="B1767" t="s">
        <v>19</v>
      </c>
      <c r="C1767" t="s">
        <v>20</v>
      </c>
      <c r="D1767" t="s">
        <v>21</v>
      </c>
      <c r="E1767">
        <v>1000</v>
      </c>
      <c r="F1767" t="s">
        <v>22</v>
      </c>
      <c r="G1767" t="s">
        <v>23</v>
      </c>
    </row>
    <row r="1768" spans="1:7" x14ac:dyDescent="0.3">
      <c r="A1768">
        <v>45514</v>
      </c>
      <c r="B1768" t="s">
        <v>43</v>
      </c>
      <c r="C1768" t="s">
        <v>20</v>
      </c>
      <c r="D1768" t="s">
        <v>31</v>
      </c>
      <c r="E1768">
        <v>1000</v>
      </c>
      <c r="F1768" t="s">
        <v>41</v>
      </c>
      <c r="G1768" t="s">
        <v>47</v>
      </c>
    </row>
    <row r="1769" spans="1:7" x14ac:dyDescent="0.3">
      <c r="A1769">
        <v>45500</v>
      </c>
      <c r="B1769" t="s">
        <v>19</v>
      </c>
      <c r="C1769" t="s">
        <v>20</v>
      </c>
      <c r="D1769" t="s">
        <v>21</v>
      </c>
      <c r="E1769">
        <v>500</v>
      </c>
      <c r="F1769" t="s">
        <v>32</v>
      </c>
      <c r="G1769" t="s">
        <v>47</v>
      </c>
    </row>
    <row r="1770" spans="1:7" x14ac:dyDescent="0.3">
      <c r="A1770">
        <v>45512</v>
      </c>
      <c r="B1770" t="s">
        <v>36</v>
      </c>
      <c r="C1770" t="s">
        <v>26</v>
      </c>
      <c r="D1770" t="s">
        <v>21</v>
      </c>
      <c r="E1770">
        <v>1000</v>
      </c>
      <c r="F1770" t="s">
        <v>37</v>
      </c>
      <c r="G1770" t="s">
        <v>28</v>
      </c>
    </row>
    <row r="1771" spans="1:7" x14ac:dyDescent="0.3">
      <c r="A1771">
        <v>45505</v>
      </c>
      <c r="B1771" t="s">
        <v>49</v>
      </c>
      <c r="C1771" t="s">
        <v>20</v>
      </c>
      <c r="D1771" t="s">
        <v>31</v>
      </c>
      <c r="E1771">
        <v>800</v>
      </c>
      <c r="F1771" t="s">
        <v>41</v>
      </c>
      <c r="G1771" t="s">
        <v>39</v>
      </c>
    </row>
    <row r="1772" spans="1:7" x14ac:dyDescent="0.3">
      <c r="A1772">
        <v>45510</v>
      </c>
      <c r="B1772" t="s">
        <v>48</v>
      </c>
      <c r="C1772" t="s">
        <v>20</v>
      </c>
      <c r="D1772" t="s">
        <v>27</v>
      </c>
      <c r="E1772">
        <v>1000</v>
      </c>
      <c r="F1772" t="s">
        <v>22</v>
      </c>
      <c r="G1772" t="s">
        <v>28</v>
      </c>
    </row>
    <row r="1773" spans="1:7" x14ac:dyDescent="0.3">
      <c r="A1773">
        <v>45506</v>
      </c>
      <c r="B1773" t="s">
        <v>38</v>
      </c>
      <c r="C1773" t="s">
        <v>26</v>
      </c>
      <c r="D1773" t="s">
        <v>21</v>
      </c>
      <c r="E1773">
        <v>1000</v>
      </c>
      <c r="F1773" t="s">
        <v>34</v>
      </c>
      <c r="G1773" t="s">
        <v>39</v>
      </c>
    </row>
    <row r="1774" spans="1:7" x14ac:dyDescent="0.3">
      <c r="A1774">
        <v>45500</v>
      </c>
      <c r="B1774" t="s">
        <v>19</v>
      </c>
      <c r="C1774" t="s">
        <v>20</v>
      </c>
      <c r="D1774" t="s">
        <v>21</v>
      </c>
      <c r="E1774">
        <v>500</v>
      </c>
      <c r="F1774" t="s">
        <v>32</v>
      </c>
      <c r="G1774" t="s">
        <v>47</v>
      </c>
    </row>
    <row r="1775" spans="1:7" x14ac:dyDescent="0.3">
      <c r="A1775">
        <v>45514</v>
      </c>
      <c r="B1775" t="s">
        <v>43</v>
      </c>
      <c r="C1775" t="s">
        <v>20</v>
      </c>
      <c r="D1775" t="s">
        <v>31</v>
      </c>
      <c r="E1775">
        <v>1000</v>
      </c>
      <c r="F1775" t="s">
        <v>41</v>
      </c>
      <c r="G1775" t="s">
        <v>47</v>
      </c>
    </row>
    <row r="1776" spans="1:7" x14ac:dyDescent="0.3">
      <c r="A1776">
        <v>45506</v>
      </c>
      <c r="B1776" t="s">
        <v>38</v>
      </c>
      <c r="C1776" t="s">
        <v>26</v>
      </c>
      <c r="D1776" t="s">
        <v>21</v>
      </c>
      <c r="E1776">
        <v>1000</v>
      </c>
      <c r="F1776" t="s">
        <v>34</v>
      </c>
      <c r="G1776" t="s">
        <v>39</v>
      </c>
    </row>
    <row r="1777" spans="1:7" x14ac:dyDescent="0.3">
      <c r="A1777">
        <v>45504</v>
      </c>
      <c r="B1777" t="s">
        <v>29</v>
      </c>
      <c r="C1777" t="s">
        <v>26</v>
      </c>
      <c r="D1777" t="s">
        <v>27</v>
      </c>
      <c r="E1777">
        <v>1000</v>
      </c>
      <c r="F1777" t="s">
        <v>22</v>
      </c>
      <c r="G1777" t="s">
        <v>28</v>
      </c>
    </row>
    <row r="1778" spans="1:7" x14ac:dyDescent="0.3">
      <c r="A1778">
        <v>45509</v>
      </c>
      <c r="B1778" t="s">
        <v>30</v>
      </c>
      <c r="C1778" t="s">
        <v>26</v>
      </c>
      <c r="D1778" t="s">
        <v>31</v>
      </c>
      <c r="E1778">
        <v>500</v>
      </c>
      <c r="F1778" t="s">
        <v>32</v>
      </c>
      <c r="G1778" t="s">
        <v>23</v>
      </c>
    </row>
    <row r="1779" spans="1:7" x14ac:dyDescent="0.3">
      <c r="A1779">
        <v>45513</v>
      </c>
      <c r="B1779" t="s">
        <v>19</v>
      </c>
      <c r="C1779" t="s">
        <v>20</v>
      </c>
      <c r="D1779" t="s">
        <v>21</v>
      </c>
      <c r="E1779">
        <v>1000</v>
      </c>
      <c r="F1779" t="s">
        <v>22</v>
      </c>
      <c r="G1779" t="s">
        <v>23</v>
      </c>
    </row>
    <row r="1780" spans="1:7" x14ac:dyDescent="0.3">
      <c r="A1780">
        <v>45507</v>
      </c>
      <c r="B1780" t="s">
        <v>33</v>
      </c>
      <c r="C1780" t="s">
        <v>26</v>
      </c>
      <c r="D1780" t="s">
        <v>21</v>
      </c>
      <c r="E1780">
        <v>1000</v>
      </c>
      <c r="F1780" t="s">
        <v>34</v>
      </c>
      <c r="G1780" t="s">
        <v>35</v>
      </c>
    </row>
    <row r="1781" spans="1:7" x14ac:dyDescent="0.3">
      <c r="A1781">
        <v>45514</v>
      </c>
      <c r="B1781" t="s">
        <v>43</v>
      </c>
      <c r="C1781" t="s">
        <v>20</v>
      </c>
      <c r="D1781" t="s">
        <v>31</v>
      </c>
      <c r="E1781">
        <v>1000</v>
      </c>
      <c r="F1781" t="s">
        <v>41</v>
      </c>
      <c r="G1781" t="s">
        <v>47</v>
      </c>
    </row>
    <row r="1782" spans="1:7" x14ac:dyDescent="0.3">
      <c r="A1782">
        <v>45514</v>
      </c>
      <c r="B1782" t="s">
        <v>43</v>
      </c>
      <c r="C1782" t="s">
        <v>20</v>
      </c>
      <c r="D1782" t="s">
        <v>31</v>
      </c>
      <c r="E1782">
        <v>1000</v>
      </c>
      <c r="F1782" t="s">
        <v>41</v>
      </c>
      <c r="G1782" t="s">
        <v>47</v>
      </c>
    </row>
    <row r="1783" spans="1:7" x14ac:dyDescent="0.3">
      <c r="A1783">
        <v>45500</v>
      </c>
      <c r="B1783" t="s">
        <v>19</v>
      </c>
      <c r="C1783" t="s">
        <v>20</v>
      </c>
      <c r="D1783" t="s">
        <v>21</v>
      </c>
      <c r="E1783">
        <v>500</v>
      </c>
      <c r="F1783" t="s">
        <v>32</v>
      </c>
      <c r="G1783" t="s">
        <v>47</v>
      </c>
    </row>
    <row r="1784" spans="1:7" x14ac:dyDescent="0.3">
      <c r="A1784">
        <v>45507</v>
      </c>
      <c r="B1784" t="s">
        <v>33</v>
      </c>
      <c r="C1784" t="s">
        <v>26</v>
      </c>
      <c r="D1784" t="s">
        <v>21</v>
      </c>
      <c r="E1784">
        <v>1000</v>
      </c>
      <c r="F1784" t="s">
        <v>34</v>
      </c>
      <c r="G1784" t="s">
        <v>35</v>
      </c>
    </row>
    <row r="1785" spans="1:7" x14ac:dyDescent="0.3">
      <c r="A1785">
        <v>45502</v>
      </c>
      <c r="B1785" t="s">
        <v>40</v>
      </c>
      <c r="C1785" t="s">
        <v>20</v>
      </c>
      <c r="D1785" t="s">
        <v>31</v>
      </c>
      <c r="E1785">
        <v>800</v>
      </c>
      <c r="F1785" t="s">
        <v>41</v>
      </c>
      <c r="G1785" t="s">
        <v>23</v>
      </c>
    </row>
    <row r="1786" spans="1:7" x14ac:dyDescent="0.3">
      <c r="A1786">
        <v>45507</v>
      </c>
      <c r="B1786" t="s">
        <v>33</v>
      </c>
      <c r="C1786" t="s">
        <v>26</v>
      </c>
      <c r="D1786" t="s">
        <v>21</v>
      </c>
      <c r="E1786">
        <v>1000</v>
      </c>
      <c r="F1786" t="s">
        <v>34</v>
      </c>
      <c r="G1786" t="s">
        <v>35</v>
      </c>
    </row>
    <row r="1787" spans="1:7" x14ac:dyDescent="0.3">
      <c r="A1787">
        <v>45506</v>
      </c>
      <c r="B1787" t="s">
        <v>38</v>
      </c>
      <c r="C1787" t="s">
        <v>26</v>
      </c>
      <c r="D1787" t="s">
        <v>21</v>
      </c>
      <c r="E1787">
        <v>1000</v>
      </c>
      <c r="F1787" t="s">
        <v>34</v>
      </c>
      <c r="G1787" t="s">
        <v>39</v>
      </c>
    </row>
    <row r="1788" spans="1:7" x14ac:dyDescent="0.3">
      <c r="A1788">
        <v>45514</v>
      </c>
      <c r="B1788" t="s">
        <v>43</v>
      </c>
      <c r="C1788" t="s">
        <v>20</v>
      </c>
      <c r="D1788" t="s">
        <v>31</v>
      </c>
      <c r="E1788">
        <v>1000</v>
      </c>
      <c r="F1788" t="s">
        <v>41</v>
      </c>
      <c r="G1788" t="s">
        <v>47</v>
      </c>
    </row>
    <row r="1789" spans="1:7" x14ac:dyDescent="0.3">
      <c r="A1789">
        <v>45510</v>
      </c>
      <c r="B1789" t="s">
        <v>48</v>
      </c>
      <c r="C1789" t="s">
        <v>20</v>
      </c>
      <c r="D1789" t="s">
        <v>27</v>
      </c>
      <c r="E1789">
        <v>1000</v>
      </c>
      <c r="F1789" t="s">
        <v>22</v>
      </c>
      <c r="G1789" t="s">
        <v>28</v>
      </c>
    </row>
    <row r="1790" spans="1:7" x14ac:dyDescent="0.3">
      <c r="A1790">
        <v>45513</v>
      </c>
      <c r="B1790" t="s">
        <v>19</v>
      </c>
      <c r="C1790" t="s">
        <v>20</v>
      </c>
      <c r="D1790" t="s">
        <v>21</v>
      </c>
      <c r="E1790">
        <v>1000</v>
      </c>
      <c r="F1790" t="s">
        <v>22</v>
      </c>
      <c r="G1790" t="s">
        <v>23</v>
      </c>
    </row>
    <row r="1791" spans="1:7" x14ac:dyDescent="0.3">
      <c r="A1791">
        <v>45504</v>
      </c>
      <c r="B1791" t="s">
        <v>29</v>
      </c>
      <c r="C1791" t="s">
        <v>26</v>
      </c>
      <c r="D1791" t="s">
        <v>27</v>
      </c>
      <c r="E1791">
        <v>1000</v>
      </c>
      <c r="F1791" t="s">
        <v>22</v>
      </c>
      <c r="G1791" t="s">
        <v>28</v>
      </c>
    </row>
    <row r="1792" spans="1:7" x14ac:dyDescent="0.3">
      <c r="A1792">
        <v>45513</v>
      </c>
      <c r="B1792" t="s">
        <v>19</v>
      </c>
      <c r="C1792" t="s">
        <v>20</v>
      </c>
      <c r="D1792" t="s">
        <v>21</v>
      </c>
      <c r="E1792">
        <v>1000</v>
      </c>
      <c r="F1792" t="s">
        <v>22</v>
      </c>
      <c r="G1792" t="s">
        <v>23</v>
      </c>
    </row>
    <row r="1793" spans="1:7" x14ac:dyDescent="0.3">
      <c r="A1793">
        <v>45504</v>
      </c>
      <c r="B1793" t="s">
        <v>29</v>
      </c>
      <c r="C1793" t="s">
        <v>26</v>
      </c>
      <c r="D1793" t="s">
        <v>27</v>
      </c>
      <c r="E1793">
        <v>1000</v>
      </c>
      <c r="F1793" t="s">
        <v>22</v>
      </c>
      <c r="G1793" t="s">
        <v>28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E1097"/>
  <sheetViews>
    <sheetView workbookViewId="0">
      <selection activeCell="C2" sqref="C2"/>
    </sheetView>
  </sheetViews>
  <sheetFormatPr defaultRowHeight="14.4" x14ac:dyDescent="0.3"/>
  <cols>
    <col min="1" max="1" width="10.5546875" bestFit="1" customWidth="1"/>
    <col min="3" max="3" width="10.5546875" customWidth="1"/>
    <col min="4" max="4" width="11.5546875" customWidth="1"/>
    <col min="5" max="5" width="9.88671875" customWidth="1"/>
  </cols>
  <sheetData>
    <row r="1" spans="1:5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</row>
    <row r="2" spans="1:5" x14ac:dyDescent="0.3">
      <c r="A2" s="1" t="d">
        <v>2023-10-01</v>
      </c>
      <c r="B2">
        <f>YEAR(A2)</f>
        <v>2023</v>
      </c>
      <c r="C2">
        <f>MONTH(A2)</f>
        <v>10</v>
      </c>
      <c r="D2" t="str">
        <f>TEXT(A2, "mmmm")</f>
        <v>outubro</v>
      </c>
      <c r="E2" t="str">
        <f>TEXT(A2, "aaaa-mm")</f>
        <v>2023-10</v>
      </c>
    </row>
    <row r="3" spans="1:5" x14ac:dyDescent="0.3">
      <c r="A3" s="1" t="d">
        <v>2023-10-02</v>
      </c>
      <c r="B3">
        <f t="shared" ref="B3:B66" si="0">YEAR(A3)</f>
        <v>2023</v>
      </c>
      <c r="C3">
        <f t="shared" ref="C3:C66" si="1">MONTH(A3)</f>
        <v>10</v>
      </c>
      <c r="D3" t="str">
        <f t="shared" ref="D3:D66" si="2">TEXT(A3, "mmmm")</f>
        <v>outubro</v>
      </c>
      <c r="E3" t="str">
        <f t="shared" ref="E3:E66" si="3">TEXT(A3, "aaaa-mm")</f>
        <v>2023-10</v>
      </c>
    </row>
    <row r="4" spans="1:5" x14ac:dyDescent="0.3">
      <c r="A4" s="1" t="d">
        <v>2023-10-03</v>
      </c>
      <c r="B4">
        <f t="shared" si="0"/>
        <v>2023</v>
      </c>
      <c r="C4">
        <f t="shared" si="1"/>
        <v>10</v>
      </c>
      <c r="D4" t="str">
        <f t="shared" si="2"/>
        <v>outubro</v>
      </c>
      <c r="E4" t="str">
        <f t="shared" si="3"/>
        <v>2023-10</v>
      </c>
    </row>
    <row r="5" spans="1:5" x14ac:dyDescent="0.3">
      <c r="A5" s="1" t="d">
        <v>2023-10-04</v>
      </c>
      <c r="B5">
        <f t="shared" si="0"/>
        <v>2023</v>
      </c>
      <c r="C5">
        <f t="shared" si="1"/>
        <v>10</v>
      </c>
      <c r="D5" t="str">
        <f t="shared" si="2"/>
        <v>outubro</v>
      </c>
      <c r="E5" t="str">
        <f t="shared" si="3"/>
        <v>2023-10</v>
      </c>
    </row>
    <row r="6" spans="1:5" x14ac:dyDescent="0.3">
      <c r="A6" s="1" t="d">
        <v>2023-10-05</v>
      </c>
      <c r="B6">
        <f t="shared" si="0"/>
        <v>2023</v>
      </c>
      <c r="C6">
        <f t="shared" si="1"/>
        <v>10</v>
      </c>
      <c r="D6" t="str">
        <f t="shared" si="2"/>
        <v>outubro</v>
      </c>
      <c r="E6" t="str">
        <f t="shared" si="3"/>
        <v>2023-10</v>
      </c>
    </row>
    <row r="7" spans="1:5" x14ac:dyDescent="0.3">
      <c r="A7" s="1" t="d">
        <v>2023-10-06</v>
      </c>
      <c r="B7">
        <f t="shared" si="0"/>
        <v>2023</v>
      </c>
      <c r="C7">
        <f t="shared" si="1"/>
        <v>10</v>
      </c>
      <c r="D7" t="str">
        <f t="shared" si="2"/>
        <v>outubro</v>
      </c>
      <c r="E7" t="str">
        <f t="shared" si="3"/>
        <v>2023-10</v>
      </c>
    </row>
    <row r="8" spans="1:5" x14ac:dyDescent="0.3">
      <c r="A8" s="1" t="d">
        <v>2023-10-07</v>
      </c>
      <c r="B8">
        <f t="shared" si="0"/>
        <v>2023</v>
      </c>
      <c r="C8">
        <f t="shared" si="1"/>
        <v>10</v>
      </c>
      <c r="D8" t="str">
        <f t="shared" si="2"/>
        <v>outubro</v>
      </c>
      <c r="E8" t="str">
        <f t="shared" si="3"/>
        <v>2023-10</v>
      </c>
    </row>
    <row r="9" spans="1:5" x14ac:dyDescent="0.3">
      <c r="A9" s="1" t="d">
        <v>2023-10-08</v>
      </c>
      <c r="B9">
        <f t="shared" si="0"/>
        <v>2023</v>
      </c>
      <c r="C9">
        <f t="shared" si="1"/>
        <v>10</v>
      </c>
      <c r="D9" t="str">
        <f t="shared" si="2"/>
        <v>outubro</v>
      </c>
      <c r="E9" t="str">
        <f t="shared" si="3"/>
        <v>2023-10</v>
      </c>
    </row>
    <row r="10" spans="1:5" x14ac:dyDescent="0.3">
      <c r="A10" s="1" t="d">
        <v>2023-10-09</v>
      </c>
      <c r="B10">
        <f t="shared" si="0"/>
        <v>2023</v>
      </c>
      <c r="C10">
        <f t="shared" si="1"/>
        <v>10</v>
      </c>
      <c r="D10" t="str">
        <f t="shared" si="2"/>
        <v>outubro</v>
      </c>
      <c r="E10" t="str">
        <f t="shared" si="3"/>
        <v>2023-10</v>
      </c>
    </row>
    <row r="11" spans="1:5" x14ac:dyDescent="0.3">
      <c r="A11" s="1" t="d">
        <v>2023-10-10</v>
      </c>
      <c r="B11">
        <f t="shared" si="0"/>
        <v>2023</v>
      </c>
      <c r="C11">
        <f t="shared" si="1"/>
        <v>10</v>
      </c>
      <c r="D11" t="str">
        <f t="shared" si="2"/>
        <v>outubro</v>
      </c>
      <c r="E11" t="str">
        <f t="shared" si="3"/>
        <v>2023-10</v>
      </c>
    </row>
    <row r="12" spans="1:5" x14ac:dyDescent="0.3">
      <c r="A12" s="1" t="d">
        <v>2023-10-11</v>
      </c>
      <c r="B12">
        <f t="shared" si="0"/>
        <v>2023</v>
      </c>
      <c r="C12">
        <f t="shared" si="1"/>
        <v>10</v>
      </c>
      <c r="D12" t="str">
        <f t="shared" si="2"/>
        <v>outubro</v>
      </c>
      <c r="E12" t="str">
        <f t="shared" si="3"/>
        <v>2023-10</v>
      </c>
    </row>
    <row r="13" spans="1:5" x14ac:dyDescent="0.3">
      <c r="A13" s="1" t="d">
        <v>2023-10-12</v>
      </c>
      <c r="B13">
        <f t="shared" si="0"/>
        <v>2023</v>
      </c>
      <c r="C13">
        <f t="shared" si="1"/>
        <v>10</v>
      </c>
      <c r="D13" t="str">
        <f t="shared" si="2"/>
        <v>outubro</v>
      </c>
      <c r="E13" t="str">
        <f t="shared" si="3"/>
        <v>2023-10</v>
      </c>
    </row>
    <row r="14" spans="1:5" x14ac:dyDescent="0.3">
      <c r="A14" s="1" t="d">
        <v>2023-10-13</v>
      </c>
      <c r="B14">
        <f t="shared" si="0"/>
        <v>2023</v>
      </c>
      <c r="C14">
        <f t="shared" si="1"/>
        <v>10</v>
      </c>
      <c r="D14" t="str">
        <f t="shared" si="2"/>
        <v>outubro</v>
      </c>
      <c r="E14" t="str">
        <f t="shared" si="3"/>
        <v>2023-10</v>
      </c>
    </row>
    <row r="15" spans="1:5" x14ac:dyDescent="0.3">
      <c r="A15" s="1" t="d">
        <v>2023-10-14</v>
      </c>
      <c r="B15">
        <f t="shared" si="0"/>
        <v>2023</v>
      </c>
      <c r="C15">
        <f t="shared" si="1"/>
        <v>10</v>
      </c>
      <c r="D15" t="str">
        <f t="shared" si="2"/>
        <v>outubro</v>
      </c>
      <c r="E15" t="str">
        <f t="shared" si="3"/>
        <v>2023-10</v>
      </c>
    </row>
    <row r="16" spans="1:5" x14ac:dyDescent="0.3">
      <c r="A16" s="1" t="d">
        <v>2023-10-15</v>
      </c>
      <c r="B16">
        <f t="shared" si="0"/>
        <v>2023</v>
      </c>
      <c r="C16">
        <f t="shared" si="1"/>
        <v>10</v>
      </c>
      <c r="D16" t="str">
        <f t="shared" si="2"/>
        <v>outubro</v>
      </c>
      <c r="E16" t="str">
        <f t="shared" si="3"/>
        <v>2023-10</v>
      </c>
    </row>
    <row r="17" spans="1:5" x14ac:dyDescent="0.3">
      <c r="A17" s="1" t="d">
        <v>2023-10-16</v>
      </c>
      <c r="B17">
        <f t="shared" si="0"/>
        <v>2023</v>
      </c>
      <c r="C17">
        <f t="shared" si="1"/>
        <v>10</v>
      </c>
      <c r="D17" t="str">
        <f t="shared" si="2"/>
        <v>outubro</v>
      </c>
      <c r="E17" t="str">
        <f t="shared" si="3"/>
        <v>2023-10</v>
      </c>
    </row>
    <row r="18" spans="1:5" x14ac:dyDescent="0.3">
      <c r="A18" s="1" t="d">
        <v>2023-10-17</v>
      </c>
      <c r="B18">
        <f t="shared" si="0"/>
        <v>2023</v>
      </c>
      <c r="C18">
        <f t="shared" si="1"/>
        <v>10</v>
      </c>
      <c r="D18" t="str">
        <f t="shared" si="2"/>
        <v>outubro</v>
      </c>
      <c r="E18" t="str">
        <f t="shared" si="3"/>
        <v>2023-10</v>
      </c>
    </row>
    <row r="19" spans="1:5" x14ac:dyDescent="0.3">
      <c r="A19" s="1" t="d">
        <v>2023-10-18</v>
      </c>
      <c r="B19">
        <f t="shared" si="0"/>
        <v>2023</v>
      </c>
      <c r="C19">
        <f t="shared" si="1"/>
        <v>10</v>
      </c>
      <c r="D19" t="str">
        <f t="shared" si="2"/>
        <v>outubro</v>
      </c>
      <c r="E19" t="str">
        <f t="shared" si="3"/>
        <v>2023-10</v>
      </c>
    </row>
    <row r="20" spans="1:5" x14ac:dyDescent="0.3">
      <c r="A20" s="1" t="d">
        <v>2023-10-19</v>
      </c>
      <c r="B20">
        <f t="shared" si="0"/>
        <v>2023</v>
      </c>
      <c r="C20">
        <f t="shared" si="1"/>
        <v>10</v>
      </c>
      <c r="D20" t="str">
        <f t="shared" si="2"/>
        <v>outubro</v>
      </c>
      <c r="E20" t="str">
        <f t="shared" si="3"/>
        <v>2023-10</v>
      </c>
    </row>
    <row r="21" spans="1:5" x14ac:dyDescent="0.3">
      <c r="A21" s="1" t="d">
        <v>2023-10-20</v>
      </c>
      <c r="B21">
        <f t="shared" si="0"/>
        <v>2023</v>
      </c>
      <c r="C21">
        <f t="shared" si="1"/>
        <v>10</v>
      </c>
      <c r="D21" t="str">
        <f t="shared" si="2"/>
        <v>outubro</v>
      </c>
      <c r="E21" t="str">
        <f t="shared" si="3"/>
        <v>2023-10</v>
      </c>
    </row>
    <row r="22" spans="1:5" x14ac:dyDescent="0.3">
      <c r="A22" s="1" t="d">
        <v>2023-10-21</v>
      </c>
      <c r="B22">
        <f t="shared" si="0"/>
        <v>2023</v>
      </c>
      <c r="C22">
        <f t="shared" si="1"/>
        <v>10</v>
      </c>
      <c r="D22" t="str">
        <f t="shared" si="2"/>
        <v>outubro</v>
      </c>
      <c r="E22" t="str">
        <f t="shared" si="3"/>
        <v>2023-10</v>
      </c>
    </row>
    <row r="23" spans="1:5" x14ac:dyDescent="0.3">
      <c r="A23" s="1" t="d">
        <v>2023-10-22</v>
      </c>
      <c r="B23">
        <f t="shared" si="0"/>
        <v>2023</v>
      </c>
      <c r="C23">
        <f t="shared" si="1"/>
        <v>10</v>
      </c>
      <c r="D23" t="str">
        <f t="shared" si="2"/>
        <v>outubro</v>
      </c>
      <c r="E23" t="str">
        <f t="shared" si="3"/>
        <v>2023-10</v>
      </c>
    </row>
    <row r="24" spans="1:5" x14ac:dyDescent="0.3">
      <c r="A24" s="1" t="d">
        <v>2023-10-23</v>
      </c>
      <c r="B24">
        <f t="shared" si="0"/>
        <v>2023</v>
      </c>
      <c r="C24">
        <f t="shared" si="1"/>
        <v>10</v>
      </c>
      <c r="D24" t="str">
        <f t="shared" si="2"/>
        <v>outubro</v>
      </c>
      <c r="E24" t="str">
        <f t="shared" si="3"/>
        <v>2023-10</v>
      </c>
    </row>
    <row r="25" spans="1:5" x14ac:dyDescent="0.3">
      <c r="A25" s="1" t="d">
        <v>2023-10-24</v>
      </c>
      <c r="B25">
        <f t="shared" si="0"/>
        <v>2023</v>
      </c>
      <c r="C25">
        <f t="shared" si="1"/>
        <v>10</v>
      </c>
      <c r="D25" t="str">
        <f t="shared" si="2"/>
        <v>outubro</v>
      </c>
      <c r="E25" t="str">
        <f t="shared" si="3"/>
        <v>2023-10</v>
      </c>
    </row>
    <row r="26" spans="1:5" x14ac:dyDescent="0.3">
      <c r="A26" s="1" t="d">
        <v>2023-10-25</v>
      </c>
      <c r="B26">
        <f t="shared" si="0"/>
        <v>2023</v>
      </c>
      <c r="C26">
        <f t="shared" si="1"/>
        <v>10</v>
      </c>
      <c r="D26" t="str">
        <f t="shared" si="2"/>
        <v>outubro</v>
      </c>
      <c r="E26" t="str">
        <f t="shared" si="3"/>
        <v>2023-10</v>
      </c>
    </row>
    <row r="27" spans="1:5" x14ac:dyDescent="0.3">
      <c r="A27" s="1" t="d">
        <v>2023-10-26</v>
      </c>
      <c r="B27">
        <f t="shared" si="0"/>
        <v>2023</v>
      </c>
      <c r="C27">
        <f t="shared" si="1"/>
        <v>10</v>
      </c>
      <c r="D27" t="str">
        <f t="shared" si="2"/>
        <v>outubro</v>
      </c>
      <c r="E27" t="str">
        <f t="shared" si="3"/>
        <v>2023-10</v>
      </c>
    </row>
    <row r="28" spans="1:5" x14ac:dyDescent="0.3">
      <c r="A28" s="1" t="d">
        <v>2023-10-27</v>
      </c>
      <c r="B28">
        <f t="shared" si="0"/>
        <v>2023</v>
      </c>
      <c r="C28">
        <f t="shared" si="1"/>
        <v>10</v>
      </c>
      <c r="D28" t="str">
        <f t="shared" si="2"/>
        <v>outubro</v>
      </c>
      <c r="E28" t="str">
        <f t="shared" si="3"/>
        <v>2023-10</v>
      </c>
    </row>
    <row r="29" spans="1:5" x14ac:dyDescent="0.3">
      <c r="A29" s="1" t="d">
        <v>2023-10-28</v>
      </c>
      <c r="B29">
        <f t="shared" si="0"/>
        <v>2023</v>
      </c>
      <c r="C29">
        <f t="shared" si="1"/>
        <v>10</v>
      </c>
      <c r="D29" t="str">
        <f t="shared" si="2"/>
        <v>outubro</v>
      </c>
      <c r="E29" t="str">
        <f t="shared" si="3"/>
        <v>2023-10</v>
      </c>
    </row>
    <row r="30" spans="1:5" x14ac:dyDescent="0.3">
      <c r="A30" s="1" t="d">
        <v>2023-10-29</v>
      </c>
      <c r="B30">
        <f t="shared" si="0"/>
        <v>2023</v>
      </c>
      <c r="C30">
        <f t="shared" si="1"/>
        <v>10</v>
      </c>
      <c r="D30" t="str">
        <f t="shared" si="2"/>
        <v>outubro</v>
      </c>
      <c r="E30" t="str">
        <f t="shared" si="3"/>
        <v>2023-10</v>
      </c>
    </row>
    <row r="31" spans="1:5" x14ac:dyDescent="0.3">
      <c r="A31" s="1" t="d">
        <v>2023-10-30</v>
      </c>
      <c r="B31">
        <f t="shared" si="0"/>
        <v>2023</v>
      </c>
      <c r="C31">
        <f t="shared" si="1"/>
        <v>10</v>
      </c>
      <c r="D31" t="str">
        <f t="shared" si="2"/>
        <v>outubro</v>
      </c>
      <c r="E31" t="str">
        <f t="shared" si="3"/>
        <v>2023-10</v>
      </c>
    </row>
    <row r="32" spans="1:5" x14ac:dyDescent="0.3">
      <c r="A32" s="1" t="d">
        <v>2023-10-31</v>
      </c>
      <c r="B32">
        <f t="shared" si="0"/>
        <v>2023</v>
      </c>
      <c r="C32">
        <f t="shared" si="1"/>
        <v>10</v>
      </c>
      <c r="D32" t="str">
        <f t="shared" si="2"/>
        <v>outubro</v>
      </c>
      <c r="E32" t="str">
        <f t="shared" si="3"/>
        <v>2023-10</v>
      </c>
    </row>
    <row r="33" spans="1:5" x14ac:dyDescent="0.3">
      <c r="A33" s="1" t="d">
        <v>2023-11-01</v>
      </c>
      <c r="B33">
        <f t="shared" si="0"/>
        <v>2023</v>
      </c>
      <c r="C33">
        <f t="shared" si="1"/>
        <v>11</v>
      </c>
      <c r="D33" t="str">
        <f t="shared" si="2"/>
        <v>novembro</v>
      </c>
      <c r="E33" t="str">
        <f t="shared" si="3"/>
        <v>2023-11</v>
      </c>
    </row>
    <row r="34" spans="1:5" x14ac:dyDescent="0.3">
      <c r="A34" s="1" t="d">
        <v>2023-11-02</v>
      </c>
      <c r="B34">
        <f t="shared" si="0"/>
        <v>2023</v>
      </c>
      <c r="C34">
        <f t="shared" si="1"/>
        <v>11</v>
      </c>
      <c r="D34" t="str">
        <f t="shared" si="2"/>
        <v>novembro</v>
      </c>
      <c r="E34" t="str">
        <f t="shared" si="3"/>
        <v>2023-11</v>
      </c>
    </row>
    <row r="35" spans="1:5" x14ac:dyDescent="0.3">
      <c r="A35" s="1" t="d">
        <v>2023-11-03</v>
      </c>
      <c r="B35">
        <f t="shared" si="0"/>
        <v>2023</v>
      </c>
      <c r="C35">
        <f t="shared" si="1"/>
        <v>11</v>
      </c>
      <c r="D35" t="str">
        <f t="shared" si="2"/>
        <v>novembro</v>
      </c>
      <c r="E35" t="str">
        <f t="shared" si="3"/>
        <v>2023-11</v>
      </c>
    </row>
    <row r="36" spans="1:5" x14ac:dyDescent="0.3">
      <c r="A36" s="1" t="d">
        <v>2023-11-04</v>
      </c>
      <c r="B36">
        <f t="shared" si="0"/>
        <v>2023</v>
      </c>
      <c r="C36">
        <f t="shared" si="1"/>
        <v>11</v>
      </c>
      <c r="D36" t="str">
        <f t="shared" si="2"/>
        <v>novembro</v>
      </c>
      <c r="E36" t="str">
        <f t="shared" si="3"/>
        <v>2023-11</v>
      </c>
    </row>
    <row r="37" spans="1:5" x14ac:dyDescent="0.3">
      <c r="A37" s="1" t="d">
        <v>2023-11-05</v>
      </c>
      <c r="B37">
        <f t="shared" si="0"/>
        <v>2023</v>
      </c>
      <c r="C37">
        <f t="shared" si="1"/>
        <v>11</v>
      </c>
      <c r="D37" t="str">
        <f t="shared" si="2"/>
        <v>novembro</v>
      </c>
      <c r="E37" t="str">
        <f t="shared" si="3"/>
        <v>2023-11</v>
      </c>
    </row>
    <row r="38" spans="1:5" x14ac:dyDescent="0.3">
      <c r="A38" s="1" t="d">
        <v>2023-11-06</v>
      </c>
      <c r="B38">
        <f t="shared" si="0"/>
        <v>2023</v>
      </c>
      <c r="C38">
        <f t="shared" si="1"/>
        <v>11</v>
      </c>
      <c r="D38" t="str">
        <f t="shared" si="2"/>
        <v>novembro</v>
      </c>
      <c r="E38" t="str">
        <f t="shared" si="3"/>
        <v>2023-11</v>
      </c>
    </row>
    <row r="39" spans="1:5" x14ac:dyDescent="0.3">
      <c r="A39" s="1" t="d">
        <v>2023-11-07</v>
      </c>
      <c r="B39">
        <f t="shared" si="0"/>
        <v>2023</v>
      </c>
      <c r="C39">
        <f t="shared" si="1"/>
        <v>11</v>
      </c>
      <c r="D39" t="str">
        <f t="shared" si="2"/>
        <v>novembro</v>
      </c>
      <c r="E39" t="str">
        <f t="shared" si="3"/>
        <v>2023-11</v>
      </c>
    </row>
    <row r="40" spans="1:5" x14ac:dyDescent="0.3">
      <c r="A40" s="1" t="d">
        <v>2023-11-08</v>
      </c>
      <c r="B40">
        <f t="shared" si="0"/>
        <v>2023</v>
      </c>
      <c r="C40">
        <f t="shared" si="1"/>
        <v>11</v>
      </c>
      <c r="D40" t="str">
        <f t="shared" si="2"/>
        <v>novembro</v>
      </c>
      <c r="E40" t="str">
        <f t="shared" si="3"/>
        <v>2023-11</v>
      </c>
    </row>
    <row r="41" spans="1:5" x14ac:dyDescent="0.3">
      <c r="A41" s="1" t="d">
        <v>2023-11-09</v>
      </c>
      <c r="B41">
        <f t="shared" si="0"/>
        <v>2023</v>
      </c>
      <c r="C41">
        <f t="shared" si="1"/>
        <v>11</v>
      </c>
      <c r="D41" t="str">
        <f t="shared" si="2"/>
        <v>novembro</v>
      </c>
      <c r="E41" t="str">
        <f t="shared" si="3"/>
        <v>2023-11</v>
      </c>
    </row>
    <row r="42" spans="1:5" x14ac:dyDescent="0.3">
      <c r="A42" s="1" t="d">
        <v>2023-11-10</v>
      </c>
      <c r="B42">
        <f t="shared" si="0"/>
        <v>2023</v>
      </c>
      <c r="C42">
        <f t="shared" si="1"/>
        <v>11</v>
      </c>
      <c r="D42" t="str">
        <f t="shared" si="2"/>
        <v>novembro</v>
      </c>
      <c r="E42" t="str">
        <f t="shared" si="3"/>
        <v>2023-11</v>
      </c>
    </row>
    <row r="43" spans="1:5" x14ac:dyDescent="0.3">
      <c r="A43" s="1" t="d">
        <v>2023-11-11</v>
      </c>
      <c r="B43">
        <f t="shared" si="0"/>
        <v>2023</v>
      </c>
      <c r="C43">
        <f t="shared" si="1"/>
        <v>11</v>
      </c>
      <c r="D43" t="str">
        <f t="shared" si="2"/>
        <v>novembro</v>
      </c>
      <c r="E43" t="str">
        <f t="shared" si="3"/>
        <v>2023-11</v>
      </c>
    </row>
    <row r="44" spans="1:5" x14ac:dyDescent="0.3">
      <c r="A44" s="1" t="d">
        <v>2023-11-12</v>
      </c>
      <c r="B44">
        <f t="shared" si="0"/>
        <v>2023</v>
      </c>
      <c r="C44">
        <f t="shared" si="1"/>
        <v>11</v>
      </c>
      <c r="D44" t="str">
        <f t="shared" si="2"/>
        <v>novembro</v>
      </c>
      <c r="E44" t="str">
        <f t="shared" si="3"/>
        <v>2023-11</v>
      </c>
    </row>
    <row r="45" spans="1:5" x14ac:dyDescent="0.3">
      <c r="A45" s="1" t="d">
        <v>2023-11-13</v>
      </c>
      <c r="B45">
        <f t="shared" si="0"/>
        <v>2023</v>
      </c>
      <c r="C45">
        <f t="shared" si="1"/>
        <v>11</v>
      </c>
      <c r="D45" t="str">
        <f t="shared" si="2"/>
        <v>novembro</v>
      </c>
      <c r="E45" t="str">
        <f t="shared" si="3"/>
        <v>2023-11</v>
      </c>
    </row>
    <row r="46" spans="1:5" x14ac:dyDescent="0.3">
      <c r="A46" s="1" t="d">
        <v>2023-11-14</v>
      </c>
      <c r="B46">
        <f t="shared" si="0"/>
        <v>2023</v>
      </c>
      <c r="C46">
        <f t="shared" si="1"/>
        <v>11</v>
      </c>
      <c r="D46" t="str">
        <f t="shared" si="2"/>
        <v>novembro</v>
      </c>
      <c r="E46" t="str">
        <f t="shared" si="3"/>
        <v>2023-11</v>
      </c>
    </row>
    <row r="47" spans="1:5" x14ac:dyDescent="0.3">
      <c r="A47" s="1" t="d">
        <v>2023-11-15</v>
      </c>
      <c r="B47">
        <f t="shared" si="0"/>
        <v>2023</v>
      </c>
      <c r="C47">
        <f t="shared" si="1"/>
        <v>11</v>
      </c>
      <c r="D47" t="str">
        <f t="shared" si="2"/>
        <v>novembro</v>
      </c>
      <c r="E47" t="str">
        <f t="shared" si="3"/>
        <v>2023-11</v>
      </c>
    </row>
    <row r="48" spans="1:5" x14ac:dyDescent="0.3">
      <c r="A48" s="1" t="d">
        <v>2023-11-16</v>
      </c>
      <c r="B48">
        <f t="shared" si="0"/>
        <v>2023</v>
      </c>
      <c r="C48">
        <f t="shared" si="1"/>
        <v>11</v>
      </c>
      <c r="D48" t="str">
        <f t="shared" si="2"/>
        <v>novembro</v>
      </c>
      <c r="E48" t="str">
        <f t="shared" si="3"/>
        <v>2023-11</v>
      </c>
    </row>
    <row r="49" spans="1:5" x14ac:dyDescent="0.3">
      <c r="A49" s="1" t="d">
        <v>2023-11-17</v>
      </c>
      <c r="B49">
        <f t="shared" si="0"/>
        <v>2023</v>
      </c>
      <c r="C49">
        <f t="shared" si="1"/>
        <v>11</v>
      </c>
      <c r="D49" t="str">
        <f t="shared" si="2"/>
        <v>novembro</v>
      </c>
      <c r="E49" t="str">
        <f t="shared" si="3"/>
        <v>2023-11</v>
      </c>
    </row>
    <row r="50" spans="1:5" x14ac:dyDescent="0.3">
      <c r="A50" s="1" t="d">
        <v>2023-11-18</v>
      </c>
      <c r="B50">
        <f t="shared" si="0"/>
        <v>2023</v>
      </c>
      <c r="C50">
        <f t="shared" si="1"/>
        <v>11</v>
      </c>
      <c r="D50" t="str">
        <f t="shared" si="2"/>
        <v>novembro</v>
      </c>
      <c r="E50" t="str">
        <f t="shared" si="3"/>
        <v>2023-11</v>
      </c>
    </row>
    <row r="51" spans="1:5" x14ac:dyDescent="0.3">
      <c r="A51" s="1" t="d">
        <v>2023-11-19</v>
      </c>
      <c r="B51">
        <f t="shared" si="0"/>
        <v>2023</v>
      </c>
      <c r="C51">
        <f t="shared" si="1"/>
        <v>11</v>
      </c>
      <c r="D51" t="str">
        <f t="shared" si="2"/>
        <v>novembro</v>
      </c>
      <c r="E51" t="str">
        <f t="shared" si="3"/>
        <v>2023-11</v>
      </c>
    </row>
    <row r="52" spans="1:5" x14ac:dyDescent="0.3">
      <c r="A52" s="1" t="d">
        <v>2023-11-20</v>
      </c>
      <c r="B52">
        <f t="shared" si="0"/>
        <v>2023</v>
      </c>
      <c r="C52">
        <f t="shared" si="1"/>
        <v>11</v>
      </c>
      <c r="D52" t="str">
        <f t="shared" si="2"/>
        <v>novembro</v>
      </c>
      <c r="E52" t="str">
        <f t="shared" si="3"/>
        <v>2023-11</v>
      </c>
    </row>
    <row r="53" spans="1:5" x14ac:dyDescent="0.3">
      <c r="A53" s="1" t="d">
        <v>2023-11-21</v>
      </c>
      <c r="B53">
        <f t="shared" si="0"/>
        <v>2023</v>
      </c>
      <c r="C53">
        <f t="shared" si="1"/>
        <v>11</v>
      </c>
      <c r="D53" t="str">
        <f t="shared" si="2"/>
        <v>novembro</v>
      </c>
      <c r="E53" t="str">
        <f t="shared" si="3"/>
        <v>2023-11</v>
      </c>
    </row>
    <row r="54" spans="1:5" x14ac:dyDescent="0.3">
      <c r="A54" s="1" t="d">
        <v>2023-11-22</v>
      </c>
      <c r="B54">
        <f t="shared" si="0"/>
        <v>2023</v>
      </c>
      <c r="C54">
        <f t="shared" si="1"/>
        <v>11</v>
      </c>
      <c r="D54" t="str">
        <f t="shared" si="2"/>
        <v>novembro</v>
      </c>
      <c r="E54" t="str">
        <f t="shared" si="3"/>
        <v>2023-11</v>
      </c>
    </row>
    <row r="55" spans="1:5" x14ac:dyDescent="0.3">
      <c r="A55" s="1" t="d">
        <v>2023-11-23</v>
      </c>
      <c r="B55">
        <f t="shared" si="0"/>
        <v>2023</v>
      </c>
      <c r="C55">
        <f t="shared" si="1"/>
        <v>11</v>
      </c>
      <c r="D55" t="str">
        <f t="shared" si="2"/>
        <v>novembro</v>
      </c>
      <c r="E55" t="str">
        <f t="shared" si="3"/>
        <v>2023-11</v>
      </c>
    </row>
    <row r="56" spans="1:5" x14ac:dyDescent="0.3">
      <c r="A56" s="1" t="d">
        <v>2023-11-24</v>
      </c>
      <c r="B56">
        <f t="shared" si="0"/>
        <v>2023</v>
      </c>
      <c r="C56">
        <f t="shared" si="1"/>
        <v>11</v>
      </c>
      <c r="D56" t="str">
        <f t="shared" si="2"/>
        <v>novembro</v>
      </c>
      <c r="E56" t="str">
        <f t="shared" si="3"/>
        <v>2023-11</v>
      </c>
    </row>
    <row r="57" spans="1:5" x14ac:dyDescent="0.3">
      <c r="A57" s="1" t="d">
        <v>2023-11-25</v>
      </c>
      <c r="B57">
        <f t="shared" si="0"/>
        <v>2023</v>
      </c>
      <c r="C57">
        <f t="shared" si="1"/>
        <v>11</v>
      </c>
      <c r="D57" t="str">
        <f t="shared" si="2"/>
        <v>novembro</v>
      </c>
      <c r="E57" t="str">
        <f t="shared" si="3"/>
        <v>2023-11</v>
      </c>
    </row>
    <row r="58" spans="1:5" x14ac:dyDescent="0.3">
      <c r="A58" s="1" t="d">
        <v>2023-11-26</v>
      </c>
      <c r="B58">
        <f t="shared" si="0"/>
        <v>2023</v>
      </c>
      <c r="C58">
        <f t="shared" si="1"/>
        <v>11</v>
      </c>
      <c r="D58" t="str">
        <f t="shared" si="2"/>
        <v>novembro</v>
      </c>
      <c r="E58" t="str">
        <f t="shared" si="3"/>
        <v>2023-11</v>
      </c>
    </row>
    <row r="59" spans="1:5" x14ac:dyDescent="0.3">
      <c r="A59" s="1" t="d">
        <v>2023-11-27</v>
      </c>
      <c r="B59">
        <f t="shared" si="0"/>
        <v>2023</v>
      </c>
      <c r="C59">
        <f t="shared" si="1"/>
        <v>11</v>
      </c>
      <c r="D59" t="str">
        <f t="shared" si="2"/>
        <v>novembro</v>
      </c>
      <c r="E59" t="str">
        <f t="shared" si="3"/>
        <v>2023-11</v>
      </c>
    </row>
    <row r="60" spans="1:5" x14ac:dyDescent="0.3">
      <c r="A60" s="1" t="d">
        <v>2023-11-28</v>
      </c>
      <c r="B60">
        <f t="shared" si="0"/>
        <v>2023</v>
      </c>
      <c r="C60">
        <f t="shared" si="1"/>
        <v>11</v>
      </c>
      <c r="D60" t="str">
        <f t="shared" si="2"/>
        <v>novembro</v>
      </c>
      <c r="E60" t="str">
        <f t="shared" si="3"/>
        <v>2023-11</v>
      </c>
    </row>
    <row r="61" spans="1:5" x14ac:dyDescent="0.3">
      <c r="A61" s="1" t="d">
        <v>2023-11-29</v>
      </c>
      <c r="B61">
        <f t="shared" si="0"/>
        <v>2023</v>
      </c>
      <c r="C61">
        <f t="shared" si="1"/>
        <v>11</v>
      </c>
      <c r="D61" t="str">
        <f t="shared" si="2"/>
        <v>novembro</v>
      </c>
      <c r="E61" t="str">
        <f t="shared" si="3"/>
        <v>2023-11</v>
      </c>
    </row>
    <row r="62" spans="1:5" x14ac:dyDescent="0.3">
      <c r="A62" s="1" t="d">
        <v>2023-11-30</v>
      </c>
      <c r="B62">
        <f t="shared" si="0"/>
        <v>2023</v>
      </c>
      <c r="C62">
        <f t="shared" si="1"/>
        <v>11</v>
      </c>
      <c r="D62" t="str">
        <f t="shared" si="2"/>
        <v>novembro</v>
      </c>
      <c r="E62" t="str">
        <f t="shared" si="3"/>
        <v>2023-11</v>
      </c>
    </row>
    <row r="63" spans="1:5" x14ac:dyDescent="0.3">
      <c r="A63" s="1" t="d">
        <v>2023-12-01</v>
      </c>
      <c r="B63">
        <f t="shared" si="0"/>
        <v>2023</v>
      </c>
      <c r="C63">
        <f t="shared" si="1"/>
        <v>12</v>
      </c>
      <c r="D63" t="str">
        <f t="shared" si="2"/>
        <v>dezembro</v>
      </c>
      <c r="E63" t="str">
        <f t="shared" si="3"/>
        <v>2023-12</v>
      </c>
    </row>
    <row r="64" spans="1:5" x14ac:dyDescent="0.3">
      <c r="A64" s="1" t="d">
        <v>2023-12-02</v>
      </c>
      <c r="B64">
        <f t="shared" si="0"/>
        <v>2023</v>
      </c>
      <c r="C64">
        <f t="shared" si="1"/>
        <v>12</v>
      </c>
      <c r="D64" t="str">
        <f t="shared" si="2"/>
        <v>dezembro</v>
      </c>
      <c r="E64" t="str">
        <f t="shared" si="3"/>
        <v>2023-12</v>
      </c>
    </row>
    <row r="65" spans="1:5" x14ac:dyDescent="0.3">
      <c r="A65" s="1" t="d">
        <v>2023-12-03</v>
      </c>
      <c r="B65">
        <f t="shared" si="0"/>
        <v>2023</v>
      </c>
      <c r="C65">
        <f t="shared" si="1"/>
        <v>12</v>
      </c>
      <c r="D65" t="str">
        <f t="shared" si="2"/>
        <v>dezembro</v>
      </c>
      <c r="E65" t="str">
        <f t="shared" si="3"/>
        <v>2023-12</v>
      </c>
    </row>
    <row r="66" spans="1:5" x14ac:dyDescent="0.3">
      <c r="A66" s="1" t="d">
        <v>2023-12-04</v>
      </c>
      <c r="B66">
        <f t="shared" si="0"/>
        <v>2023</v>
      </c>
      <c r="C66">
        <f t="shared" si="1"/>
        <v>12</v>
      </c>
      <c r="D66" t="str">
        <f t="shared" si="2"/>
        <v>dezembro</v>
      </c>
      <c r="E66" t="str">
        <f t="shared" si="3"/>
        <v>2023-12</v>
      </c>
    </row>
    <row r="67" spans="1:5" x14ac:dyDescent="0.3">
      <c r="A67" s="1" t="d">
        <v>2023-12-05</v>
      </c>
      <c r="B67">
        <f t="shared" ref="B67:B130" si="4">YEAR(A67)</f>
        <v>2023</v>
      </c>
      <c r="C67">
        <f t="shared" ref="C67:C130" si="5">MONTH(A67)</f>
        <v>12</v>
      </c>
      <c r="D67" t="str">
        <f t="shared" ref="D67:D130" si="6">TEXT(A67, "mmmm")</f>
        <v>dezembro</v>
      </c>
      <c r="E67" t="str">
        <f t="shared" ref="E67:E130" si="7">TEXT(A67, "aaaa-mm")</f>
        <v>2023-12</v>
      </c>
    </row>
    <row r="68" spans="1:5" x14ac:dyDescent="0.3">
      <c r="A68" s="1" t="d">
        <v>2023-12-06</v>
      </c>
      <c r="B68">
        <f t="shared" si="4"/>
        <v>2023</v>
      </c>
      <c r="C68">
        <f t="shared" si="5"/>
        <v>12</v>
      </c>
      <c r="D68" t="str">
        <f t="shared" si="6"/>
        <v>dezembro</v>
      </c>
      <c r="E68" t="str">
        <f t="shared" si="7"/>
        <v>2023-12</v>
      </c>
    </row>
    <row r="69" spans="1:5" x14ac:dyDescent="0.3">
      <c r="A69" s="1" t="d">
        <v>2023-12-07</v>
      </c>
      <c r="B69">
        <f t="shared" si="4"/>
        <v>2023</v>
      </c>
      <c r="C69">
        <f t="shared" si="5"/>
        <v>12</v>
      </c>
      <c r="D69" t="str">
        <f t="shared" si="6"/>
        <v>dezembro</v>
      </c>
      <c r="E69" t="str">
        <f t="shared" si="7"/>
        <v>2023-12</v>
      </c>
    </row>
    <row r="70" spans="1:5" x14ac:dyDescent="0.3">
      <c r="A70" s="1" t="d">
        <v>2023-12-08</v>
      </c>
      <c r="B70">
        <f t="shared" si="4"/>
        <v>2023</v>
      </c>
      <c r="C70">
        <f t="shared" si="5"/>
        <v>12</v>
      </c>
      <c r="D70" t="str">
        <f t="shared" si="6"/>
        <v>dezembro</v>
      </c>
      <c r="E70" t="str">
        <f t="shared" si="7"/>
        <v>2023-12</v>
      </c>
    </row>
    <row r="71" spans="1:5" x14ac:dyDescent="0.3">
      <c r="A71" s="1" t="d">
        <v>2023-12-09</v>
      </c>
      <c r="B71">
        <f t="shared" si="4"/>
        <v>2023</v>
      </c>
      <c r="C71">
        <f t="shared" si="5"/>
        <v>12</v>
      </c>
      <c r="D71" t="str">
        <f t="shared" si="6"/>
        <v>dezembro</v>
      </c>
      <c r="E71" t="str">
        <f t="shared" si="7"/>
        <v>2023-12</v>
      </c>
    </row>
    <row r="72" spans="1:5" x14ac:dyDescent="0.3">
      <c r="A72" s="1" t="d">
        <v>2023-12-10</v>
      </c>
      <c r="B72">
        <f t="shared" si="4"/>
        <v>2023</v>
      </c>
      <c r="C72">
        <f t="shared" si="5"/>
        <v>12</v>
      </c>
      <c r="D72" t="str">
        <f t="shared" si="6"/>
        <v>dezembro</v>
      </c>
      <c r="E72" t="str">
        <f t="shared" si="7"/>
        <v>2023-12</v>
      </c>
    </row>
    <row r="73" spans="1:5" x14ac:dyDescent="0.3">
      <c r="A73" s="1" t="d">
        <v>2023-12-11</v>
      </c>
      <c r="B73">
        <f t="shared" si="4"/>
        <v>2023</v>
      </c>
      <c r="C73">
        <f t="shared" si="5"/>
        <v>12</v>
      </c>
      <c r="D73" t="str">
        <f t="shared" si="6"/>
        <v>dezembro</v>
      </c>
      <c r="E73" t="str">
        <f t="shared" si="7"/>
        <v>2023-12</v>
      </c>
    </row>
    <row r="74" spans="1:5" x14ac:dyDescent="0.3">
      <c r="A74" s="1" t="d">
        <v>2023-12-12</v>
      </c>
      <c r="B74">
        <f t="shared" si="4"/>
        <v>2023</v>
      </c>
      <c r="C74">
        <f t="shared" si="5"/>
        <v>12</v>
      </c>
      <c r="D74" t="str">
        <f t="shared" si="6"/>
        <v>dezembro</v>
      </c>
      <c r="E74" t="str">
        <f t="shared" si="7"/>
        <v>2023-12</v>
      </c>
    </row>
    <row r="75" spans="1:5" x14ac:dyDescent="0.3">
      <c r="A75" s="1" t="d">
        <v>2023-12-13</v>
      </c>
      <c r="B75">
        <f t="shared" si="4"/>
        <v>2023</v>
      </c>
      <c r="C75">
        <f t="shared" si="5"/>
        <v>12</v>
      </c>
      <c r="D75" t="str">
        <f t="shared" si="6"/>
        <v>dezembro</v>
      </c>
      <c r="E75" t="str">
        <f t="shared" si="7"/>
        <v>2023-12</v>
      </c>
    </row>
    <row r="76" spans="1:5" x14ac:dyDescent="0.3">
      <c r="A76" s="1" t="d">
        <v>2023-12-14</v>
      </c>
      <c r="B76">
        <f t="shared" si="4"/>
        <v>2023</v>
      </c>
      <c r="C76">
        <f t="shared" si="5"/>
        <v>12</v>
      </c>
      <c r="D76" t="str">
        <f t="shared" si="6"/>
        <v>dezembro</v>
      </c>
      <c r="E76" t="str">
        <f t="shared" si="7"/>
        <v>2023-12</v>
      </c>
    </row>
    <row r="77" spans="1:5" x14ac:dyDescent="0.3">
      <c r="A77" s="1" t="d">
        <v>2023-12-15</v>
      </c>
      <c r="B77">
        <f t="shared" si="4"/>
        <v>2023</v>
      </c>
      <c r="C77">
        <f t="shared" si="5"/>
        <v>12</v>
      </c>
      <c r="D77" t="str">
        <f t="shared" si="6"/>
        <v>dezembro</v>
      </c>
      <c r="E77" t="str">
        <f t="shared" si="7"/>
        <v>2023-12</v>
      </c>
    </row>
    <row r="78" spans="1:5" x14ac:dyDescent="0.3">
      <c r="A78" s="1" t="d">
        <v>2023-12-16</v>
      </c>
      <c r="B78">
        <f t="shared" si="4"/>
        <v>2023</v>
      </c>
      <c r="C78">
        <f t="shared" si="5"/>
        <v>12</v>
      </c>
      <c r="D78" t="str">
        <f t="shared" si="6"/>
        <v>dezembro</v>
      </c>
      <c r="E78" t="str">
        <f t="shared" si="7"/>
        <v>2023-12</v>
      </c>
    </row>
    <row r="79" spans="1:5" x14ac:dyDescent="0.3">
      <c r="A79" s="1" t="d">
        <v>2023-12-17</v>
      </c>
      <c r="B79">
        <f t="shared" si="4"/>
        <v>2023</v>
      </c>
      <c r="C79">
        <f t="shared" si="5"/>
        <v>12</v>
      </c>
      <c r="D79" t="str">
        <f t="shared" si="6"/>
        <v>dezembro</v>
      </c>
      <c r="E79" t="str">
        <f t="shared" si="7"/>
        <v>2023-12</v>
      </c>
    </row>
    <row r="80" spans="1:5" x14ac:dyDescent="0.3">
      <c r="A80" s="1" t="d">
        <v>2023-12-18</v>
      </c>
      <c r="B80">
        <f t="shared" si="4"/>
        <v>2023</v>
      </c>
      <c r="C80">
        <f t="shared" si="5"/>
        <v>12</v>
      </c>
      <c r="D80" t="str">
        <f t="shared" si="6"/>
        <v>dezembro</v>
      </c>
      <c r="E80" t="str">
        <f t="shared" si="7"/>
        <v>2023-12</v>
      </c>
    </row>
    <row r="81" spans="1:5" x14ac:dyDescent="0.3">
      <c r="A81" s="1" t="d">
        <v>2023-12-19</v>
      </c>
      <c r="B81">
        <f t="shared" si="4"/>
        <v>2023</v>
      </c>
      <c r="C81">
        <f t="shared" si="5"/>
        <v>12</v>
      </c>
      <c r="D81" t="str">
        <f t="shared" si="6"/>
        <v>dezembro</v>
      </c>
      <c r="E81" t="str">
        <f t="shared" si="7"/>
        <v>2023-12</v>
      </c>
    </row>
    <row r="82" spans="1:5" x14ac:dyDescent="0.3">
      <c r="A82" s="1" t="d">
        <v>2023-12-20</v>
      </c>
      <c r="B82">
        <f t="shared" si="4"/>
        <v>2023</v>
      </c>
      <c r="C82">
        <f t="shared" si="5"/>
        <v>12</v>
      </c>
      <c r="D82" t="str">
        <f t="shared" si="6"/>
        <v>dezembro</v>
      </c>
      <c r="E82" t="str">
        <f t="shared" si="7"/>
        <v>2023-12</v>
      </c>
    </row>
    <row r="83" spans="1:5" x14ac:dyDescent="0.3">
      <c r="A83" s="1" t="d">
        <v>2023-12-21</v>
      </c>
      <c r="B83">
        <f t="shared" si="4"/>
        <v>2023</v>
      </c>
      <c r="C83">
        <f t="shared" si="5"/>
        <v>12</v>
      </c>
      <c r="D83" t="str">
        <f t="shared" si="6"/>
        <v>dezembro</v>
      </c>
      <c r="E83" t="str">
        <f t="shared" si="7"/>
        <v>2023-12</v>
      </c>
    </row>
    <row r="84" spans="1:5" x14ac:dyDescent="0.3">
      <c r="A84" s="1" t="d">
        <v>2023-12-22</v>
      </c>
      <c r="B84">
        <f t="shared" si="4"/>
        <v>2023</v>
      </c>
      <c r="C84">
        <f t="shared" si="5"/>
        <v>12</v>
      </c>
      <c r="D84" t="str">
        <f t="shared" si="6"/>
        <v>dezembro</v>
      </c>
      <c r="E84" t="str">
        <f t="shared" si="7"/>
        <v>2023-12</v>
      </c>
    </row>
    <row r="85" spans="1:5" x14ac:dyDescent="0.3">
      <c r="A85" s="1" t="d">
        <v>2023-12-23</v>
      </c>
      <c r="B85">
        <f t="shared" si="4"/>
        <v>2023</v>
      </c>
      <c r="C85">
        <f t="shared" si="5"/>
        <v>12</v>
      </c>
      <c r="D85" t="str">
        <f t="shared" si="6"/>
        <v>dezembro</v>
      </c>
      <c r="E85" t="str">
        <f t="shared" si="7"/>
        <v>2023-12</v>
      </c>
    </row>
    <row r="86" spans="1:5" x14ac:dyDescent="0.3">
      <c r="A86" s="1" t="d">
        <v>2023-12-24</v>
      </c>
      <c r="B86">
        <f t="shared" si="4"/>
        <v>2023</v>
      </c>
      <c r="C86">
        <f t="shared" si="5"/>
        <v>12</v>
      </c>
      <c r="D86" t="str">
        <f t="shared" si="6"/>
        <v>dezembro</v>
      </c>
      <c r="E86" t="str">
        <f t="shared" si="7"/>
        <v>2023-12</v>
      </c>
    </row>
    <row r="87" spans="1:5" x14ac:dyDescent="0.3">
      <c r="A87" s="1" t="d">
        <v>2023-12-25</v>
      </c>
      <c r="B87">
        <f t="shared" si="4"/>
        <v>2023</v>
      </c>
      <c r="C87">
        <f t="shared" si="5"/>
        <v>12</v>
      </c>
      <c r="D87" t="str">
        <f t="shared" si="6"/>
        <v>dezembro</v>
      </c>
      <c r="E87" t="str">
        <f t="shared" si="7"/>
        <v>2023-12</v>
      </c>
    </row>
    <row r="88" spans="1:5" x14ac:dyDescent="0.3">
      <c r="A88" s="1" t="d">
        <v>2023-12-26</v>
      </c>
      <c r="B88">
        <f t="shared" si="4"/>
        <v>2023</v>
      </c>
      <c r="C88">
        <f t="shared" si="5"/>
        <v>12</v>
      </c>
      <c r="D88" t="str">
        <f t="shared" si="6"/>
        <v>dezembro</v>
      </c>
      <c r="E88" t="str">
        <f t="shared" si="7"/>
        <v>2023-12</v>
      </c>
    </row>
    <row r="89" spans="1:5" x14ac:dyDescent="0.3">
      <c r="A89" s="1" t="d">
        <v>2023-12-27</v>
      </c>
      <c r="B89">
        <f t="shared" si="4"/>
        <v>2023</v>
      </c>
      <c r="C89">
        <f t="shared" si="5"/>
        <v>12</v>
      </c>
      <c r="D89" t="str">
        <f t="shared" si="6"/>
        <v>dezembro</v>
      </c>
      <c r="E89" t="str">
        <f t="shared" si="7"/>
        <v>2023-12</v>
      </c>
    </row>
    <row r="90" spans="1:5" x14ac:dyDescent="0.3">
      <c r="A90" s="1" t="d">
        <v>2023-12-28</v>
      </c>
      <c r="B90">
        <f t="shared" si="4"/>
        <v>2023</v>
      </c>
      <c r="C90">
        <f t="shared" si="5"/>
        <v>12</v>
      </c>
      <c r="D90" t="str">
        <f t="shared" si="6"/>
        <v>dezembro</v>
      </c>
      <c r="E90" t="str">
        <f t="shared" si="7"/>
        <v>2023-12</v>
      </c>
    </row>
    <row r="91" spans="1:5" x14ac:dyDescent="0.3">
      <c r="A91" s="1" t="d">
        <v>2023-12-29</v>
      </c>
      <c r="B91">
        <f t="shared" si="4"/>
        <v>2023</v>
      </c>
      <c r="C91">
        <f t="shared" si="5"/>
        <v>12</v>
      </c>
      <c r="D91" t="str">
        <f t="shared" si="6"/>
        <v>dezembro</v>
      </c>
      <c r="E91" t="str">
        <f t="shared" si="7"/>
        <v>2023-12</v>
      </c>
    </row>
    <row r="92" spans="1:5" x14ac:dyDescent="0.3">
      <c r="A92" s="1" t="d">
        <v>2023-12-30</v>
      </c>
      <c r="B92">
        <f t="shared" si="4"/>
        <v>2023</v>
      </c>
      <c r="C92">
        <f t="shared" si="5"/>
        <v>12</v>
      </c>
      <c r="D92" t="str">
        <f t="shared" si="6"/>
        <v>dezembro</v>
      </c>
      <c r="E92" t="str">
        <f t="shared" si="7"/>
        <v>2023-12</v>
      </c>
    </row>
    <row r="93" spans="1:5" x14ac:dyDescent="0.3">
      <c r="A93" s="1" t="d">
        <v>2023-12-31</v>
      </c>
      <c r="B93">
        <f t="shared" si="4"/>
        <v>2023</v>
      </c>
      <c r="C93">
        <f t="shared" si="5"/>
        <v>12</v>
      </c>
      <c r="D93" t="str">
        <f t="shared" si="6"/>
        <v>dezembro</v>
      </c>
      <c r="E93" t="str">
        <f t="shared" si="7"/>
        <v>2023-12</v>
      </c>
    </row>
    <row r="94" spans="1:5" x14ac:dyDescent="0.3">
      <c r="A94" s="1" t="d">
        <v>2024-01-01</v>
      </c>
      <c r="B94">
        <f t="shared" si="4"/>
        <v>2024</v>
      </c>
      <c r="C94">
        <f t="shared" si="5"/>
        <v>1</v>
      </c>
      <c r="D94" t="str">
        <f t="shared" si="6"/>
        <v>janeiro</v>
      </c>
      <c r="E94" t="str">
        <f t="shared" si="7"/>
        <v>2024-01</v>
      </c>
    </row>
    <row r="95" spans="1:5" x14ac:dyDescent="0.3">
      <c r="A95" s="1" t="d">
        <v>2024-01-02</v>
      </c>
      <c r="B95">
        <f t="shared" si="4"/>
        <v>2024</v>
      </c>
      <c r="C95">
        <f t="shared" si="5"/>
        <v>1</v>
      </c>
      <c r="D95" t="str">
        <f t="shared" si="6"/>
        <v>janeiro</v>
      </c>
      <c r="E95" t="str">
        <f t="shared" si="7"/>
        <v>2024-01</v>
      </c>
    </row>
    <row r="96" spans="1:5" x14ac:dyDescent="0.3">
      <c r="A96" s="1" t="d">
        <v>2024-01-03</v>
      </c>
      <c r="B96">
        <f t="shared" si="4"/>
        <v>2024</v>
      </c>
      <c r="C96">
        <f t="shared" si="5"/>
        <v>1</v>
      </c>
      <c r="D96" t="str">
        <f t="shared" si="6"/>
        <v>janeiro</v>
      </c>
      <c r="E96" t="str">
        <f t="shared" si="7"/>
        <v>2024-01</v>
      </c>
    </row>
    <row r="97" spans="1:5" x14ac:dyDescent="0.3">
      <c r="A97" s="1" t="d">
        <v>2024-01-04</v>
      </c>
      <c r="B97">
        <f t="shared" si="4"/>
        <v>2024</v>
      </c>
      <c r="C97">
        <f t="shared" si="5"/>
        <v>1</v>
      </c>
      <c r="D97" t="str">
        <f t="shared" si="6"/>
        <v>janeiro</v>
      </c>
      <c r="E97" t="str">
        <f t="shared" si="7"/>
        <v>2024-01</v>
      </c>
    </row>
    <row r="98" spans="1:5" x14ac:dyDescent="0.3">
      <c r="A98" s="1" t="d">
        <v>2024-01-05</v>
      </c>
      <c r="B98">
        <f t="shared" si="4"/>
        <v>2024</v>
      </c>
      <c r="C98">
        <f t="shared" si="5"/>
        <v>1</v>
      </c>
      <c r="D98" t="str">
        <f t="shared" si="6"/>
        <v>janeiro</v>
      </c>
      <c r="E98" t="str">
        <f t="shared" si="7"/>
        <v>2024-01</v>
      </c>
    </row>
    <row r="99" spans="1:5" x14ac:dyDescent="0.3">
      <c r="A99" s="1" t="d">
        <v>2024-01-06</v>
      </c>
      <c r="B99">
        <f t="shared" si="4"/>
        <v>2024</v>
      </c>
      <c r="C99">
        <f t="shared" si="5"/>
        <v>1</v>
      </c>
      <c r="D99" t="str">
        <f t="shared" si="6"/>
        <v>janeiro</v>
      </c>
      <c r="E99" t="str">
        <f t="shared" si="7"/>
        <v>2024-01</v>
      </c>
    </row>
    <row r="100" spans="1:5" x14ac:dyDescent="0.3">
      <c r="A100" s="1" t="d">
        <v>2024-01-07</v>
      </c>
      <c r="B100">
        <f t="shared" si="4"/>
        <v>2024</v>
      </c>
      <c r="C100">
        <f t="shared" si="5"/>
        <v>1</v>
      </c>
      <c r="D100" t="str">
        <f t="shared" si="6"/>
        <v>janeiro</v>
      </c>
      <c r="E100" t="str">
        <f t="shared" si="7"/>
        <v>2024-01</v>
      </c>
    </row>
    <row r="101" spans="1:5" x14ac:dyDescent="0.3">
      <c r="A101" s="1" t="d">
        <v>2024-01-08</v>
      </c>
      <c r="B101">
        <f t="shared" si="4"/>
        <v>2024</v>
      </c>
      <c r="C101">
        <f t="shared" si="5"/>
        <v>1</v>
      </c>
      <c r="D101" t="str">
        <f t="shared" si="6"/>
        <v>janeiro</v>
      </c>
      <c r="E101" t="str">
        <f t="shared" si="7"/>
        <v>2024-01</v>
      </c>
    </row>
    <row r="102" spans="1:5" x14ac:dyDescent="0.3">
      <c r="A102" s="1" t="d">
        <v>2024-01-09</v>
      </c>
      <c r="B102">
        <f t="shared" si="4"/>
        <v>2024</v>
      </c>
      <c r="C102">
        <f t="shared" si="5"/>
        <v>1</v>
      </c>
      <c r="D102" t="str">
        <f t="shared" si="6"/>
        <v>janeiro</v>
      </c>
      <c r="E102" t="str">
        <f t="shared" si="7"/>
        <v>2024-01</v>
      </c>
    </row>
    <row r="103" spans="1:5" x14ac:dyDescent="0.3">
      <c r="A103" s="1" t="d">
        <v>2024-01-10</v>
      </c>
      <c r="B103">
        <f t="shared" si="4"/>
        <v>2024</v>
      </c>
      <c r="C103">
        <f t="shared" si="5"/>
        <v>1</v>
      </c>
      <c r="D103" t="str">
        <f t="shared" si="6"/>
        <v>janeiro</v>
      </c>
      <c r="E103" t="str">
        <f t="shared" si="7"/>
        <v>2024-01</v>
      </c>
    </row>
    <row r="104" spans="1:5" x14ac:dyDescent="0.3">
      <c r="A104" s="1" t="d">
        <v>2024-01-11</v>
      </c>
      <c r="B104">
        <f t="shared" si="4"/>
        <v>2024</v>
      </c>
      <c r="C104">
        <f t="shared" si="5"/>
        <v>1</v>
      </c>
      <c r="D104" t="str">
        <f t="shared" si="6"/>
        <v>janeiro</v>
      </c>
      <c r="E104" t="str">
        <f t="shared" si="7"/>
        <v>2024-01</v>
      </c>
    </row>
    <row r="105" spans="1:5" x14ac:dyDescent="0.3">
      <c r="A105" s="1" t="d">
        <v>2024-01-12</v>
      </c>
      <c r="B105">
        <f t="shared" si="4"/>
        <v>2024</v>
      </c>
      <c r="C105">
        <f t="shared" si="5"/>
        <v>1</v>
      </c>
      <c r="D105" t="str">
        <f t="shared" si="6"/>
        <v>janeiro</v>
      </c>
      <c r="E105" t="str">
        <f t="shared" si="7"/>
        <v>2024-01</v>
      </c>
    </row>
    <row r="106" spans="1:5" x14ac:dyDescent="0.3">
      <c r="A106" s="1" t="d">
        <v>2024-01-13</v>
      </c>
      <c r="B106">
        <f t="shared" si="4"/>
        <v>2024</v>
      </c>
      <c r="C106">
        <f t="shared" si="5"/>
        <v>1</v>
      </c>
      <c r="D106" t="str">
        <f t="shared" si="6"/>
        <v>janeiro</v>
      </c>
      <c r="E106" t="str">
        <f t="shared" si="7"/>
        <v>2024-01</v>
      </c>
    </row>
    <row r="107" spans="1:5" x14ac:dyDescent="0.3">
      <c r="A107" s="1" t="d">
        <v>2024-01-14</v>
      </c>
      <c r="B107">
        <f t="shared" si="4"/>
        <v>2024</v>
      </c>
      <c r="C107">
        <f t="shared" si="5"/>
        <v>1</v>
      </c>
      <c r="D107" t="str">
        <f t="shared" si="6"/>
        <v>janeiro</v>
      </c>
      <c r="E107" t="str">
        <f t="shared" si="7"/>
        <v>2024-01</v>
      </c>
    </row>
    <row r="108" spans="1:5" x14ac:dyDescent="0.3">
      <c r="A108" s="1" t="d">
        <v>2024-01-15</v>
      </c>
      <c r="B108">
        <f t="shared" si="4"/>
        <v>2024</v>
      </c>
      <c r="C108">
        <f t="shared" si="5"/>
        <v>1</v>
      </c>
      <c r="D108" t="str">
        <f t="shared" si="6"/>
        <v>janeiro</v>
      </c>
      <c r="E108" t="str">
        <f t="shared" si="7"/>
        <v>2024-01</v>
      </c>
    </row>
    <row r="109" spans="1:5" x14ac:dyDescent="0.3">
      <c r="A109" s="1" t="d">
        <v>2024-01-16</v>
      </c>
      <c r="B109">
        <f t="shared" si="4"/>
        <v>2024</v>
      </c>
      <c r="C109">
        <f t="shared" si="5"/>
        <v>1</v>
      </c>
      <c r="D109" t="str">
        <f t="shared" si="6"/>
        <v>janeiro</v>
      </c>
      <c r="E109" t="str">
        <f t="shared" si="7"/>
        <v>2024-01</v>
      </c>
    </row>
    <row r="110" spans="1:5" x14ac:dyDescent="0.3">
      <c r="A110" s="1" t="d">
        <v>2024-01-17</v>
      </c>
      <c r="B110">
        <f t="shared" si="4"/>
        <v>2024</v>
      </c>
      <c r="C110">
        <f t="shared" si="5"/>
        <v>1</v>
      </c>
      <c r="D110" t="str">
        <f t="shared" si="6"/>
        <v>janeiro</v>
      </c>
      <c r="E110" t="str">
        <f t="shared" si="7"/>
        <v>2024-01</v>
      </c>
    </row>
    <row r="111" spans="1:5" x14ac:dyDescent="0.3">
      <c r="A111" s="1" t="d">
        <v>2024-01-18</v>
      </c>
      <c r="B111">
        <f t="shared" si="4"/>
        <v>2024</v>
      </c>
      <c r="C111">
        <f t="shared" si="5"/>
        <v>1</v>
      </c>
      <c r="D111" t="str">
        <f t="shared" si="6"/>
        <v>janeiro</v>
      </c>
      <c r="E111" t="str">
        <f t="shared" si="7"/>
        <v>2024-01</v>
      </c>
    </row>
    <row r="112" spans="1:5" x14ac:dyDescent="0.3">
      <c r="A112" s="1" t="d">
        <v>2024-01-19</v>
      </c>
      <c r="B112">
        <f t="shared" si="4"/>
        <v>2024</v>
      </c>
      <c r="C112">
        <f t="shared" si="5"/>
        <v>1</v>
      </c>
      <c r="D112" t="str">
        <f t="shared" si="6"/>
        <v>janeiro</v>
      </c>
      <c r="E112" t="str">
        <f t="shared" si="7"/>
        <v>2024-01</v>
      </c>
    </row>
    <row r="113" spans="1:5" x14ac:dyDescent="0.3">
      <c r="A113" s="1" t="d">
        <v>2024-01-20</v>
      </c>
      <c r="B113">
        <f t="shared" si="4"/>
        <v>2024</v>
      </c>
      <c r="C113">
        <f t="shared" si="5"/>
        <v>1</v>
      </c>
      <c r="D113" t="str">
        <f t="shared" si="6"/>
        <v>janeiro</v>
      </c>
      <c r="E113" t="str">
        <f t="shared" si="7"/>
        <v>2024-01</v>
      </c>
    </row>
    <row r="114" spans="1:5" x14ac:dyDescent="0.3">
      <c r="A114" s="1" t="d">
        <v>2024-01-21</v>
      </c>
      <c r="B114">
        <f t="shared" si="4"/>
        <v>2024</v>
      </c>
      <c r="C114">
        <f t="shared" si="5"/>
        <v>1</v>
      </c>
      <c r="D114" t="str">
        <f t="shared" si="6"/>
        <v>janeiro</v>
      </c>
      <c r="E114" t="str">
        <f t="shared" si="7"/>
        <v>2024-01</v>
      </c>
    </row>
    <row r="115" spans="1:5" x14ac:dyDescent="0.3">
      <c r="A115" s="1" t="d">
        <v>2024-01-22</v>
      </c>
      <c r="B115">
        <f t="shared" si="4"/>
        <v>2024</v>
      </c>
      <c r="C115">
        <f t="shared" si="5"/>
        <v>1</v>
      </c>
      <c r="D115" t="str">
        <f t="shared" si="6"/>
        <v>janeiro</v>
      </c>
      <c r="E115" t="str">
        <f t="shared" si="7"/>
        <v>2024-01</v>
      </c>
    </row>
    <row r="116" spans="1:5" x14ac:dyDescent="0.3">
      <c r="A116" s="1" t="d">
        <v>2024-01-23</v>
      </c>
      <c r="B116">
        <f t="shared" si="4"/>
        <v>2024</v>
      </c>
      <c r="C116">
        <f t="shared" si="5"/>
        <v>1</v>
      </c>
      <c r="D116" t="str">
        <f t="shared" si="6"/>
        <v>janeiro</v>
      </c>
      <c r="E116" t="str">
        <f t="shared" si="7"/>
        <v>2024-01</v>
      </c>
    </row>
    <row r="117" spans="1:5" x14ac:dyDescent="0.3">
      <c r="A117" s="1" t="d">
        <v>2024-01-24</v>
      </c>
      <c r="B117">
        <f t="shared" si="4"/>
        <v>2024</v>
      </c>
      <c r="C117">
        <f t="shared" si="5"/>
        <v>1</v>
      </c>
      <c r="D117" t="str">
        <f t="shared" si="6"/>
        <v>janeiro</v>
      </c>
      <c r="E117" t="str">
        <f t="shared" si="7"/>
        <v>2024-01</v>
      </c>
    </row>
    <row r="118" spans="1:5" x14ac:dyDescent="0.3">
      <c r="A118" s="1" t="d">
        <v>2024-01-25</v>
      </c>
      <c r="B118">
        <f t="shared" si="4"/>
        <v>2024</v>
      </c>
      <c r="C118">
        <f t="shared" si="5"/>
        <v>1</v>
      </c>
      <c r="D118" t="str">
        <f t="shared" si="6"/>
        <v>janeiro</v>
      </c>
      <c r="E118" t="str">
        <f t="shared" si="7"/>
        <v>2024-01</v>
      </c>
    </row>
    <row r="119" spans="1:5" x14ac:dyDescent="0.3">
      <c r="A119" s="1" t="d">
        <v>2024-01-26</v>
      </c>
      <c r="B119">
        <f t="shared" si="4"/>
        <v>2024</v>
      </c>
      <c r="C119">
        <f t="shared" si="5"/>
        <v>1</v>
      </c>
      <c r="D119" t="str">
        <f t="shared" si="6"/>
        <v>janeiro</v>
      </c>
      <c r="E119" t="str">
        <f t="shared" si="7"/>
        <v>2024-01</v>
      </c>
    </row>
    <row r="120" spans="1:5" x14ac:dyDescent="0.3">
      <c r="A120" s="1" t="d">
        <v>2024-01-27</v>
      </c>
      <c r="B120">
        <f t="shared" si="4"/>
        <v>2024</v>
      </c>
      <c r="C120">
        <f t="shared" si="5"/>
        <v>1</v>
      </c>
      <c r="D120" t="str">
        <f t="shared" si="6"/>
        <v>janeiro</v>
      </c>
      <c r="E120" t="str">
        <f t="shared" si="7"/>
        <v>2024-01</v>
      </c>
    </row>
    <row r="121" spans="1:5" x14ac:dyDescent="0.3">
      <c r="A121" s="1" t="d">
        <v>2024-01-28</v>
      </c>
      <c r="B121">
        <f t="shared" si="4"/>
        <v>2024</v>
      </c>
      <c r="C121">
        <f t="shared" si="5"/>
        <v>1</v>
      </c>
      <c r="D121" t="str">
        <f t="shared" si="6"/>
        <v>janeiro</v>
      </c>
      <c r="E121" t="str">
        <f t="shared" si="7"/>
        <v>2024-01</v>
      </c>
    </row>
    <row r="122" spans="1:5" x14ac:dyDescent="0.3">
      <c r="A122" s="1" t="d">
        <v>2024-01-29</v>
      </c>
      <c r="B122">
        <f t="shared" si="4"/>
        <v>2024</v>
      </c>
      <c r="C122">
        <f t="shared" si="5"/>
        <v>1</v>
      </c>
      <c r="D122" t="str">
        <f t="shared" si="6"/>
        <v>janeiro</v>
      </c>
      <c r="E122" t="str">
        <f t="shared" si="7"/>
        <v>2024-01</v>
      </c>
    </row>
    <row r="123" spans="1:5" x14ac:dyDescent="0.3">
      <c r="A123" s="1" t="d">
        <v>2024-01-30</v>
      </c>
      <c r="B123">
        <f t="shared" si="4"/>
        <v>2024</v>
      </c>
      <c r="C123">
        <f t="shared" si="5"/>
        <v>1</v>
      </c>
      <c r="D123" t="str">
        <f t="shared" si="6"/>
        <v>janeiro</v>
      </c>
      <c r="E123" t="str">
        <f t="shared" si="7"/>
        <v>2024-01</v>
      </c>
    </row>
    <row r="124" spans="1:5" x14ac:dyDescent="0.3">
      <c r="A124" s="1" t="d">
        <v>2024-01-31</v>
      </c>
      <c r="B124">
        <f t="shared" si="4"/>
        <v>2024</v>
      </c>
      <c r="C124">
        <f t="shared" si="5"/>
        <v>1</v>
      </c>
      <c r="D124" t="str">
        <f t="shared" si="6"/>
        <v>janeiro</v>
      </c>
      <c r="E124" t="str">
        <f t="shared" si="7"/>
        <v>2024-01</v>
      </c>
    </row>
    <row r="125" spans="1:5" x14ac:dyDescent="0.3">
      <c r="A125" s="1" t="d">
        <v>2024-02-01</v>
      </c>
      <c r="B125">
        <f t="shared" si="4"/>
        <v>2024</v>
      </c>
      <c r="C125">
        <f t="shared" si="5"/>
        <v>2</v>
      </c>
      <c r="D125" t="str">
        <f t="shared" si="6"/>
        <v>fevereiro</v>
      </c>
      <c r="E125" t="str">
        <f t="shared" si="7"/>
        <v>2024-02</v>
      </c>
    </row>
    <row r="126" spans="1:5" x14ac:dyDescent="0.3">
      <c r="A126" s="1" t="d">
        <v>2024-02-02</v>
      </c>
      <c r="B126">
        <f t="shared" si="4"/>
        <v>2024</v>
      </c>
      <c r="C126">
        <f t="shared" si="5"/>
        <v>2</v>
      </c>
      <c r="D126" t="str">
        <f t="shared" si="6"/>
        <v>fevereiro</v>
      </c>
      <c r="E126" t="str">
        <f t="shared" si="7"/>
        <v>2024-02</v>
      </c>
    </row>
    <row r="127" spans="1:5" x14ac:dyDescent="0.3">
      <c r="A127" s="1" t="d">
        <v>2024-02-03</v>
      </c>
      <c r="B127">
        <f t="shared" si="4"/>
        <v>2024</v>
      </c>
      <c r="C127">
        <f t="shared" si="5"/>
        <v>2</v>
      </c>
      <c r="D127" t="str">
        <f t="shared" si="6"/>
        <v>fevereiro</v>
      </c>
      <c r="E127" t="str">
        <f t="shared" si="7"/>
        <v>2024-02</v>
      </c>
    </row>
    <row r="128" spans="1:5" x14ac:dyDescent="0.3">
      <c r="A128" s="1" t="d">
        <v>2024-02-04</v>
      </c>
      <c r="B128">
        <f t="shared" si="4"/>
        <v>2024</v>
      </c>
      <c r="C128">
        <f t="shared" si="5"/>
        <v>2</v>
      </c>
      <c r="D128" t="str">
        <f t="shared" si="6"/>
        <v>fevereiro</v>
      </c>
      <c r="E128" t="str">
        <f t="shared" si="7"/>
        <v>2024-02</v>
      </c>
    </row>
    <row r="129" spans="1:5" x14ac:dyDescent="0.3">
      <c r="A129" s="1" t="d">
        <v>2024-02-05</v>
      </c>
      <c r="B129">
        <f t="shared" si="4"/>
        <v>2024</v>
      </c>
      <c r="C129">
        <f t="shared" si="5"/>
        <v>2</v>
      </c>
      <c r="D129" t="str">
        <f t="shared" si="6"/>
        <v>fevereiro</v>
      </c>
      <c r="E129" t="str">
        <f t="shared" si="7"/>
        <v>2024-02</v>
      </c>
    </row>
    <row r="130" spans="1:5" x14ac:dyDescent="0.3">
      <c r="A130" s="1" t="d">
        <v>2024-02-06</v>
      </c>
      <c r="B130">
        <f t="shared" si="4"/>
        <v>2024</v>
      </c>
      <c r="C130">
        <f t="shared" si="5"/>
        <v>2</v>
      </c>
      <c r="D130" t="str">
        <f t="shared" si="6"/>
        <v>fevereiro</v>
      </c>
      <c r="E130" t="str">
        <f t="shared" si="7"/>
        <v>2024-02</v>
      </c>
    </row>
    <row r="131" spans="1:5" x14ac:dyDescent="0.3">
      <c r="A131" s="1" t="d">
        <v>2024-02-07</v>
      </c>
      <c r="B131">
        <f t="shared" ref="B131:B194" si="8">YEAR(A131)</f>
        <v>2024</v>
      </c>
      <c r="C131">
        <f t="shared" ref="C131:C194" si="9">MONTH(A131)</f>
        <v>2</v>
      </c>
      <c r="D131" t="str">
        <f t="shared" ref="D131:D194" si="10">TEXT(A131, "mmmm")</f>
        <v>fevereiro</v>
      </c>
      <c r="E131" t="str">
        <f t="shared" ref="E131:E194" si="11">TEXT(A131, "aaaa-mm")</f>
        <v>2024-02</v>
      </c>
    </row>
    <row r="132" spans="1:5" x14ac:dyDescent="0.3">
      <c r="A132" s="1" t="d">
        <v>2024-02-08</v>
      </c>
      <c r="B132">
        <f t="shared" si="8"/>
        <v>2024</v>
      </c>
      <c r="C132">
        <f t="shared" si="9"/>
        <v>2</v>
      </c>
      <c r="D132" t="str">
        <f t="shared" si="10"/>
        <v>fevereiro</v>
      </c>
      <c r="E132" t="str">
        <f t="shared" si="11"/>
        <v>2024-02</v>
      </c>
    </row>
    <row r="133" spans="1:5" x14ac:dyDescent="0.3">
      <c r="A133" s="1" t="d">
        <v>2024-02-09</v>
      </c>
      <c r="B133">
        <f t="shared" si="8"/>
        <v>2024</v>
      </c>
      <c r="C133">
        <f t="shared" si="9"/>
        <v>2</v>
      </c>
      <c r="D133" t="str">
        <f t="shared" si="10"/>
        <v>fevereiro</v>
      </c>
      <c r="E133" t="str">
        <f t="shared" si="11"/>
        <v>2024-02</v>
      </c>
    </row>
    <row r="134" spans="1:5" x14ac:dyDescent="0.3">
      <c r="A134" s="1" t="d">
        <v>2024-02-10</v>
      </c>
      <c r="B134">
        <f t="shared" si="8"/>
        <v>2024</v>
      </c>
      <c r="C134">
        <f t="shared" si="9"/>
        <v>2</v>
      </c>
      <c r="D134" t="str">
        <f t="shared" si="10"/>
        <v>fevereiro</v>
      </c>
      <c r="E134" t="str">
        <f t="shared" si="11"/>
        <v>2024-02</v>
      </c>
    </row>
    <row r="135" spans="1:5" x14ac:dyDescent="0.3">
      <c r="A135" s="1" t="d">
        <v>2024-02-11</v>
      </c>
      <c r="B135">
        <f t="shared" si="8"/>
        <v>2024</v>
      </c>
      <c r="C135">
        <f t="shared" si="9"/>
        <v>2</v>
      </c>
      <c r="D135" t="str">
        <f t="shared" si="10"/>
        <v>fevereiro</v>
      </c>
      <c r="E135" t="str">
        <f t="shared" si="11"/>
        <v>2024-02</v>
      </c>
    </row>
    <row r="136" spans="1:5" x14ac:dyDescent="0.3">
      <c r="A136" s="1" t="d">
        <v>2024-02-12</v>
      </c>
      <c r="B136">
        <f t="shared" si="8"/>
        <v>2024</v>
      </c>
      <c r="C136">
        <f t="shared" si="9"/>
        <v>2</v>
      </c>
      <c r="D136" t="str">
        <f t="shared" si="10"/>
        <v>fevereiro</v>
      </c>
      <c r="E136" t="str">
        <f t="shared" si="11"/>
        <v>2024-02</v>
      </c>
    </row>
    <row r="137" spans="1:5" x14ac:dyDescent="0.3">
      <c r="A137" s="1" t="d">
        <v>2024-02-13</v>
      </c>
      <c r="B137">
        <f t="shared" si="8"/>
        <v>2024</v>
      </c>
      <c r="C137">
        <f t="shared" si="9"/>
        <v>2</v>
      </c>
      <c r="D137" t="str">
        <f t="shared" si="10"/>
        <v>fevereiro</v>
      </c>
      <c r="E137" t="str">
        <f t="shared" si="11"/>
        <v>2024-02</v>
      </c>
    </row>
    <row r="138" spans="1:5" x14ac:dyDescent="0.3">
      <c r="A138" s="1" t="d">
        <v>2024-02-14</v>
      </c>
      <c r="B138">
        <f t="shared" si="8"/>
        <v>2024</v>
      </c>
      <c r="C138">
        <f t="shared" si="9"/>
        <v>2</v>
      </c>
      <c r="D138" t="str">
        <f t="shared" si="10"/>
        <v>fevereiro</v>
      </c>
      <c r="E138" t="str">
        <f t="shared" si="11"/>
        <v>2024-02</v>
      </c>
    </row>
    <row r="139" spans="1:5" x14ac:dyDescent="0.3">
      <c r="A139" s="1" t="d">
        <v>2024-02-15</v>
      </c>
      <c r="B139">
        <f t="shared" si="8"/>
        <v>2024</v>
      </c>
      <c r="C139">
        <f t="shared" si="9"/>
        <v>2</v>
      </c>
      <c r="D139" t="str">
        <f t="shared" si="10"/>
        <v>fevereiro</v>
      </c>
      <c r="E139" t="str">
        <f t="shared" si="11"/>
        <v>2024-02</v>
      </c>
    </row>
    <row r="140" spans="1:5" x14ac:dyDescent="0.3">
      <c r="A140" s="1" t="d">
        <v>2024-02-16</v>
      </c>
      <c r="B140">
        <f t="shared" si="8"/>
        <v>2024</v>
      </c>
      <c r="C140">
        <f t="shared" si="9"/>
        <v>2</v>
      </c>
      <c r="D140" t="str">
        <f t="shared" si="10"/>
        <v>fevereiro</v>
      </c>
      <c r="E140" t="str">
        <f t="shared" si="11"/>
        <v>2024-02</v>
      </c>
    </row>
    <row r="141" spans="1:5" x14ac:dyDescent="0.3">
      <c r="A141" s="1" t="d">
        <v>2024-02-17</v>
      </c>
      <c r="B141">
        <f t="shared" si="8"/>
        <v>2024</v>
      </c>
      <c r="C141">
        <f t="shared" si="9"/>
        <v>2</v>
      </c>
      <c r="D141" t="str">
        <f t="shared" si="10"/>
        <v>fevereiro</v>
      </c>
      <c r="E141" t="str">
        <f t="shared" si="11"/>
        <v>2024-02</v>
      </c>
    </row>
    <row r="142" spans="1:5" x14ac:dyDescent="0.3">
      <c r="A142" s="1" t="d">
        <v>2024-02-18</v>
      </c>
      <c r="B142">
        <f t="shared" si="8"/>
        <v>2024</v>
      </c>
      <c r="C142">
        <f t="shared" si="9"/>
        <v>2</v>
      </c>
      <c r="D142" t="str">
        <f t="shared" si="10"/>
        <v>fevereiro</v>
      </c>
      <c r="E142" t="str">
        <f t="shared" si="11"/>
        <v>2024-02</v>
      </c>
    </row>
    <row r="143" spans="1:5" x14ac:dyDescent="0.3">
      <c r="A143" s="1" t="d">
        <v>2024-02-19</v>
      </c>
      <c r="B143">
        <f t="shared" si="8"/>
        <v>2024</v>
      </c>
      <c r="C143">
        <f t="shared" si="9"/>
        <v>2</v>
      </c>
      <c r="D143" t="str">
        <f t="shared" si="10"/>
        <v>fevereiro</v>
      </c>
      <c r="E143" t="str">
        <f t="shared" si="11"/>
        <v>2024-02</v>
      </c>
    </row>
    <row r="144" spans="1:5" x14ac:dyDescent="0.3">
      <c r="A144" s="1" t="d">
        <v>2024-02-20</v>
      </c>
      <c r="B144">
        <f t="shared" si="8"/>
        <v>2024</v>
      </c>
      <c r="C144">
        <f t="shared" si="9"/>
        <v>2</v>
      </c>
      <c r="D144" t="str">
        <f t="shared" si="10"/>
        <v>fevereiro</v>
      </c>
      <c r="E144" t="str">
        <f t="shared" si="11"/>
        <v>2024-02</v>
      </c>
    </row>
    <row r="145" spans="1:5" x14ac:dyDescent="0.3">
      <c r="A145" s="1" t="d">
        <v>2024-02-21</v>
      </c>
      <c r="B145">
        <f t="shared" si="8"/>
        <v>2024</v>
      </c>
      <c r="C145">
        <f t="shared" si="9"/>
        <v>2</v>
      </c>
      <c r="D145" t="str">
        <f t="shared" si="10"/>
        <v>fevereiro</v>
      </c>
      <c r="E145" t="str">
        <f t="shared" si="11"/>
        <v>2024-02</v>
      </c>
    </row>
    <row r="146" spans="1:5" x14ac:dyDescent="0.3">
      <c r="A146" s="1" t="d">
        <v>2024-02-22</v>
      </c>
      <c r="B146">
        <f t="shared" si="8"/>
        <v>2024</v>
      </c>
      <c r="C146">
        <f t="shared" si="9"/>
        <v>2</v>
      </c>
      <c r="D146" t="str">
        <f t="shared" si="10"/>
        <v>fevereiro</v>
      </c>
      <c r="E146" t="str">
        <f t="shared" si="11"/>
        <v>2024-02</v>
      </c>
    </row>
    <row r="147" spans="1:5" x14ac:dyDescent="0.3">
      <c r="A147" s="1" t="d">
        <v>2024-02-23</v>
      </c>
      <c r="B147">
        <f t="shared" si="8"/>
        <v>2024</v>
      </c>
      <c r="C147">
        <f t="shared" si="9"/>
        <v>2</v>
      </c>
      <c r="D147" t="str">
        <f t="shared" si="10"/>
        <v>fevereiro</v>
      </c>
      <c r="E147" t="str">
        <f t="shared" si="11"/>
        <v>2024-02</v>
      </c>
    </row>
    <row r="148" spans="1:5" x14ac:dyDescent="0.3">
      <c r="A148" s="1" t="d">
        <v>2024-02-24</v>
      </c>
      <c r="B148">
        <f t="shared" si="8"/>
        <v>2024</v>
      </c>
      <c r="C148">
        <f t="shared" si="9"/>
        <v>2</v>
      </c>
      <c r="D148" t="str">
        <f t="shared" si="10"/>
        <v>fevereiro</v>
      </c>
      <c r="E148" t="str">
        <f t="shared" si="11"/>
        <v>2024-02</v>
      </c>
    </row>
    <row r="149" spans="1:5" x14ac:dyDescent="0.3">
      <c r="A149" s="1" t="d">
        <v>2024-02-25</v>
      </c>
      <c r="B149">
        <f t="shared" si="8"/>
        <v>2024</v>
      </c>
      <c r="C149">
        <f t="shared" si="9"/>
        <v>2</v>
      </c>
      <c r="D149" t="str">
        <f t="shared" si="10"/>
        <v>fevereiro</v>
      </c>
      <c r="E149" t="str">
        <f t="shared" si="11"/>
        <v>2024-02</v>
      </c>
    </row>
    <row r="150" spans="1:5" x14ac:dyDescent="0.3">
      <c r="A150" s="1" t="d">
        <v>2024-02-26</v>
      </c>
      <c r="B150">
        <f t="shared" si="8"/>
        <v>2024</v>
      </c>
      <c r="C150">
        <f t="shared" si="9"/>
        <v>2</v>
      </c>
      <c r="D150" t="str">
        <f t="shared" si="10"/>
        <v>fevereiro</v>
      </c>
      <c r="E150" t="str">
        <f t="shared" si="11"/>
        <v>2024-02</v>
      </c>
    </row>
    <row r="151" spans="1:5" x14ac:dyDescent="0.3">
      <c r="A151" s="1" t="d">
        <v>2024-02-27</v>
      </c>
      <c r="B151">
        <f t="shared" si="8"/>
        <v>2024</v>
      </c>
      <c r="C151">
        <f t="shared" si="9"/>
        <v>2</v>
      </c>
      <c r="D151" t="str">
        <f t="shared" si="10"/>
        <v>fevereiro</v>
      </c>
      <c r="E151" t="str">
        <f t="shared" si="11"/>
        <v>2024-02</v>
      </c>
    </row>
    <row r="152" spans="1:5" x14ac:dyDescent="0.3">
      <c r="A152" s="1" t="d">
        <v>2024-02-28</v>
      </c>
      <c r="B152">
        <f t="shared" si="8"/>
        <v>2024</v>
      </c>
      <c r="C152">
        <f t="shared" si="9"/>
        <v>2</v>
      </c>
      <c r="D152" t="str">
        <f t="shared" si="10"/>
        <v>fevereiro</v>
      </c>
      <c r="E152" t="str">
        <f t="shared" si="11"/>
        <v>2024-02</v>
      </c>
    </row>
    <row r="153" spans="1:5" x14ac:dyDescent="0.3">
      <c r="A153" s="1" t="d">
        <v>2024-02-29</v>
      </c>
      <c r="B153">
        <f t="shared" si="8"/>
        <v>2024</v>
      </c>
      <c r="C153">
        <f t="shared" si="9"/>
        <v>2</v>
      </c>
      <c r="D153" t="str">
        <f t="shared" si="10"/>
        <v>fevereiro</v>
      </c>
      <c r="E153" t="str">
        <f t="shared" si="11"/>
        <v>2024-02</v>
      </c>
    </row>
    <row r="154" spans="1:5" x14ac:dyDescent="0.3">
      <c r="A154" s="1" t="d">
        <v>2024-03-01</v>
      </c>
      <c r="B154">
        <f t="shared" si="8"/>
        <v>2024</v>
      </c>
      <c r="C154">
        <f t="shared" si="9"/>
        <v>3</v>
      </c>
      <c r="D154" t="str">
        <f t="shared" si="10"/>
        <v>março</v>
      </c>
      <c r="E154" t="str">
        <f t="shared" si="11"/>
        <v>2024-03</v>
      </c>
    </row>
    <row r="155" spans="1:5" x14ac:dyDescent="0.3">
      <c r="A155" s="1" t="d">
        <v>2024-03-02</v>
      </c>
      <c r="B155">
        <f t="shared" si="8"/>
        <v>2024</v>
      </c>
      <c r="C155">
        <f t="shared" si="9"/>
        <v>3</v>
      </c>
      <c r="D155" t="str">
        <f t="shared" si="10"/>
        <v>março</v>
      </c>
      <c r="E155" t="str">
        <f t="shared" si="11"/>
        <v>2024-03</v>
      </c>
    </row>
    <row r="156" spans="1:5" x14ac:dyDescent="0.3">
      <c r="A156" s="1" t="d">
        <v>2024-03-03</v>
      </c>
      <c r="B156">
        <f t="shared" si="8"/>
        <v>2024</v>
      </c>
      <c r="C156">
        <f t="shared" si="9"/>
        <v>3</v>
      </c>
      <c r="D156" t="str">
        <f t="shared" si="10"/>
        <v>março</v>
      </c>
      <c r="E156" t="str">
        <f t="shared" si="11"/>
        <v>2024-03</v>
      </c>
    </row>
    <row r="157" spans="1:5" x14ac:dyDescent="0.3">
      <c r="A157" s="1" t="d">
        <v>2024-03-04</v>
      </c>
      <c r="B157">
        <f t="shared" si="8"/>
        <v>2024</v>
      </c>
      <c r="C157">
        <f t="shared" si="9"/>
        <v>3</v>
      </c>
      <c r="D157" t="str">
        <f t="shared" si="10"/>
        <v>março</v>
      </c>
      <c r="E157" t="str">
        <f t="shared" si="11"/>
        <v>2024-03</v>
      </c>
    </row>
    <row r="158" spans="1:5" x14ac:dyDescent="0.3">
      <c r="A158" s="1" t="d">
        <v>2024-03-05</v>
      </c>
      <c r="B158">
        <f t="shared" si="8"/>
        <v>2024</v>
      </c>
      <c r="C158">
        <f t="shared" si="9"/>
        <v>3</v>
      </c>
      <c r="D158" t="str">
        <f t="shared" si="10"/>
        <v>março</v>
      </c>
      <c r="E158" t="str">
        <f t="shared" si="11"/>
        <v>2024-03</v>
      </c>
    </row>
    <row r="159" spans="1:5" x14ac:dyDescent="0.3">
      <c r="A159" s="1" t="d">
        <v>2024-03-06</v>
      </c>
      <c r="B159">
        <f t="shared" si="8"/>
        <v>2024</v>
      </c>
      <c r="C159">
        <f t="shared" si="9"/>
        <v>3</v>
      </c>
      <c r="D159" t="str">
        <f t="shared" si="10"/>
        <v>março</v>
      </c>
      <c r="E159" t="str">
        <f t="shared" si="11"/>
        <v>2024-03</v>
      </c>
    </row>
    <row r="160" spans="1:5" x14ac:dyDescent="0.3">
      <c r="A160" s="1" t="d">
        <v>2024-03-07</v>
      </c>
      <c r="B160">
        <f t="shared" si="8"/>
        <v>2024</v>
      </c>
      <c r="C160">
        <f t="shared" si="9"/>
        <v>3</v>
      </c>
      <c r="D160" t="str">
        <f t="shared" si="10"/>
        <v>março</v>
      </c>
      <c r="E160" t="str">
        <f t="shared" si="11"/>
        <v>2024-03</v>
      </c>
    </row>
    <row r="161" spans="1:5" x14ac:dyDescent="0.3">
      <c r="A161" s="1" t="d">
        <v>2024-03-08</v>
      </c>
      <c r="B161">
        <f t="shared" si="8"/>
        <v>2024</v>
      </c>
      <c r="C161">
        <f t="shared" si="9"/>
        <v>3</v>
      </c>
      <c r="D161" t="str">
        <f t="shared" si="10"/>
        <v>março</v>
      </c>
      <c r="E161" t="str">
        <f t="shared" si="11"/>
        <v>2024-03</v>
      </c>
    </row>
    <row r="162" spans="1:5" x14ac:dyDescent="0.3">
      <c r="A162" s="1" t="d">
        <v>2024-03-09</v>
      </c>
      <c r="B162">
        <f t="shared" si="8"/>
        <v>2024</v>
      </c>
      <c r="C162">
        <f t="shared" si="9"/>
        <v>3</v>
      </c>
      <c r="D162" t="str">
        <f t="shared" si="10"/>
        <v>março</v>
      </c>
      <c r="E162" t="str">
        <f t="shared" si="11"/>
        <v>2024-03</v>
      </c>
    </row>
    <row r="163" spans="1:5" x14ac:dyDescent="0.3">
      <c r="A163" s="1" t="d">
        <v>2024-03-10</v>
      </c>
      <c r="B163">
        <f t="shared" si="8"/>
        <v>2024</v>
      </c>
      <c r="C163">
        <f t="shared" si="9"/>
        <v>3</v>
      </c>
      <c r="D163" t="str">
        <f t="shared" si="10"/>
        <v>março</v>
      </c>
      <c r="E163" t="str">
        <f t="shared" si="11"/>
        <v>2024-03</v>
      </c>
    </row>
    <row r="164" spans="1:5" x14ac:dyDescent="0.3">
      <c r="A164" s="1" t="d">
        <v>2024-03-11</v>
      </c>
      <c r="B164">
        <f t="shared" si="8"/>
        <v>2024</v>
      </c>
      <c r="C164">
        <f t="shared" si="9"/>
        <v>3</v>
      </c>
      <c r="D164" t="str">
        <f t="shared" si="10"/>
        <v>março</v>
      </c>
      <c r="E164" t="str">
        <f t="shared" si="11"/>
        <v>2024-03</v>
      </c>
    </row>
    <row r="165" spans="1:5" x14ac:dyDescent="0.3">
      <c r="A165" s="1" t="d">
        <v>2024-03-12</v>
      </c>
      <c r="B165">
        <f t="shared" si="8"/>
        <v>2024</v>
      </c>
      <c r="C165">
        <f t="shared" si="9"/>
        <v>3</v>
      </c>
      <c r="D165" t="str">
        <f t="shared" si="10"/>
        <v>março</v>
      </c>
      <c r="E165" t="str">
        <f t="shared" si="11"/>
        <v>2024-03</v>
      </c>
    </row>
    <row r="166" spans="1:5" x14ac:dyDescent="0.3">
      <c r="A166" s="1" t="d">
        <v>2024-03-13</v>
      </c>
      <c r="B166">
        <f t="shared" si="8"/>
        <v>2024</v>
      </c>
      <c r="C166">
        <f t="shared" si="9"/>
        <v>3</v>
      </c>
      <c r="D166" t="str">
        <f t="shared" si="10"/>
        <v>março</v>
      </c>
      <c r="E166" t="str">
        <f t="shared" si="11"/>
        <v>2024-03</v>
      </c>
    </row>
    <row r="167" spans="1:5" x14ac:dyDescent="0.3">
      <c r="A167" s="1" t="d">
        <v>2024-03-14</v>
      </c>
      <c r="B167">
        <f t="shared" si="8"/>
        <v>2024</v>
      </c>
      <c r="C167">
        <f t="shared" si="9"/>
        <v>3</v>
      </c>
      <c r="D167" t="str">
        <f t="shared" si="10"/>
        <v>março</v>
      </c>
      <c r="E167" t="str">
        <f t="shared" si="11"/>
        <v>2024-03</v>
      </c>
    </row>
    <row r="168" spans="1:5" x14ac:dyDescent="0.3">
      <c r="A168" s="1" t="d">
        <v>2024-03-15</v>
      </c>
      <c r="B168">
        <f t="shared" si="8"/>
        <v>2024</v>
      </c>
      <c r="C168">
        <f t="shared" si="9"/>
        <v>3</v>
      </c>
      <c r="D168" t="str">
        <f t="shared" si="10"/>
        <v>março</v>
      </c>
      <c r="E168" t="str">
        <f t="shared" si="11"/>
        <v>2024-03</v>
      </c>
    </row>
    <row r="169" spans="1:5" x14ac:dyDescent="0.3">
      <c r="A169" s="1" t="d">
        <v>2024-03-16</v>
      </c>
      <c r="B169">
        <f t="shared" si="8"/>
        <v>2024</v>
      </c>
      <c r="C169">
        <f t="shared" si="9"/>
        <v>3</v>
      </c>
      <c r="D169" t="str">
        <f t="shared" si="10"/>
        <v>março</v>
      </c>
      <c r="E169" t="str">
        <f t="shared" si="11"/>
        <v>2024-03</v>
      </c>
    </row>
    <row r="170" spans="1:5" x14ac:dyDescent="0.3">
      <c r="A170" s="1" t="d">
        <v>2024-03-17</v>
      </c>
      <c r="B170">
        <f t="shared" si="8"/>
        <v>2024</v>
      </c>
      <c r="C170">
        <f t="shared" si="9"/>
        <v>3</v>
      </c>
      <c r="D170" t="str">
        <f t="shared" si="10"/>
        <v>março</v>
      </c>
      <c r="E170" t="str">
        <f t="shared" si="11"/>
        <v>2024-03</v>
      </c>
    </row>
    <row r="171" spans="1:5" x14ac:dyDescent="0.3">
      <c r="A171" s="1" t="d">
        <v>2024-03-18</v>
      </c>
      <c r="B171">
        <f t="shared" si="8"/>
        <v>2024</v>
      </c>
      <c r="C171">
        <f t="shared" si="9"/>
        <v>3</v>
      </c>
      <c r="D171" t="str">
        <f t="shared" si="10"/>
        <v>março</v>
      </c>
      <c r="E171" t="str">
        <f t="shared" si="11"/>
        <v>2024-03</v>
      </c>
    </row>
    <row r="172" spans="1:5" x14ac:dyDescent="0.3">
      <c r="A172" s="1" t="d">
        <v>2024-03-19</v>
      </c>
      <c r="B172">
        <f t="shared" si="8"/>
        <v>2024</v>
      </c>
      <c r="C172">
        <f t="shared" si="9"/>
        <v>3</v>
      </c>
      <c r="D172" t="str">
        <f t="shared" si="10"/>
        <v>março</v>
      </c>
      <c r="E172" t="str">
        <f t="shared" si="11"/>
        <v>2024-03</v>
      </c>
    </row>
    <row r="173" spans="1:5" x14ac:dyDescent="0.3">
      <c r="A173" s="1" t="d">
        <v>2024-03-20</v>
      </c>
      <c r="B173">
        <f t="shared" si="8"/>
        <v>2024</v>
      </c>
      <c r="C173">
        <f t="shared" si="9"/>
        <v>3</v>
      </c>
      <c r="D173" t="str">
        <f t="shared" si="10"/>
        <v>março</v>
      </c>
      <c r="E173" t="str">
        <f t="shared" si="11"/>
        <v>2024-03</v>
      </c>
    </row>
    <row r="174" spans="1:5" x14ac:dyDescent="0.3">
      <c r="A174" s="1" t="d">
        <v>2024-03-21</v>
      </c>
      <c r="B174">
        <f t="shared" si="8"/>
        <v>2024</v>
      </c>
      <c r="C174">
        <f t="shared" si="9"/>
        <v>3</v>
      </c>
      <c r="D174" t="str">
        <f t="shared" si="10"/>
        <v>março</v>
      </c>
      <c r="E174" t="str">
        <f t="shared" si="11"/>
        <v>2024-03</v>
      </c>
    </row>
    <row r="175" spans="1:5" x14ac:dyDescent="0.3">
      <c r="A175" s="1" t="d">
        <v>2024-03-22</v>
      </c>
      <c r="B175">
        <f t="shared" si="8"/>
        <v>2024</v>
      </c>
      <c r="C175">
        <f t="shared" si="9"/>
        <v>3</v>
      </c>
      <c r="D175" t="str">
        <f t="shared" si="10"/>
        <v>março</v>
      </c>
      <c r="E175" t="str">
        <f t="shared" si="11"/>
        <v>2024-03</v>
      </c>
    </row>
    <row r="176" spans="1:5" x14ac:dyDescent="0.3">
      <c r="A176" s="1" t="d">
        <v>2024-03-23</v>
      </c>
      <c r="B176">
        <f t="shared" si="8"/>
        <v>2024</v>
      </c>
      <c r="C176">
        <f t="shared" si="9"/>
        <v>3</v>
      </c>
      <c r="D176" t="str">
        <f t="shared" si="10"/>
        <v>março</v>
      </c>
      <c r="E176" t="str">
        <f t="shared" si="11"/>
        <v>2024-03</v>
      </c>
    </row>
    <row r="177" spans="1:5" x14ac:dyDescent="0.3">
      <c r="A177" s="1" t="d">
        <v>2024-03-24</v>
      </c>
      <c r="B177">
        <f t="shared" si="8"/>
        <v>2024</v>
      </c>
      <c r="C177">
        <f t="shared" si="9"/>
        <v>3</v>
      </c>
      <c r="D177" t="str">
        <f t="shared" si="10"/>
        <v>março</v>
      </c>
      <c r="E177" t="str">
        <f t="shared" si="11"/>
        <v>2024-03</v>
      </c>
    </row>
    <row r="178" spans="1:5" x14ac:dyDescent="0.3">
      <c r="A178" s="1" t="d">
        <v>2024-03-25</v>
      </c>
      <c r="B178">
        <f t="shared" si="8"/>
        <v>2024</v>
      </c>
      <c r="C178">
        <f t="shared" si="9"/>
        <v>3</v>
      </c>
      <c r="D178" t="str">
        <f t="shared" si="10"/>
        <v>março</v>
      </c>
      <c r="E178" t="str">
        <f t="shared" si="11"/>
        <v>2024-03</v>
      </c>
    </row>
    <row r="179" spans="1:5" x14ac:dyDescent="0.3">
      <c r="A179" s="1" t="d">
        <v>2024-03-26</v>
      </c>
      <c r="B179">
        <f t="shared" si="8"/>
        <v>2024</v>
      </c>
      <c r="C179">
        <f t="shared" si="9"/>
        <v>3</v>
      </c>
      <c r="D179" t="str">
        <f t="shared" si="10"/>
        <v>março</v>
      </c>
      <c r="E179" t="str">
        <f t="shared" si="11"/>
        <v>2024-03</v>
      </c>
    </row>
    <row r="180" spans="1:5" x14ac:dyDescent="0.3">
      <c r="A180" s="1" t="d">
        <v>2024-03-27</v>
      </c>
      <c r="B180">
        <f t="shared" si="8"/>
        <v>2024</v>
      </c>
      <c r="C180">
        <f t="shared" si="9"/>
        <v>3</v>
      </c>
      <c r="D180" t="str">
        <f t="shared" si="10"/>
        <v>março</v>
      </c>
      <c r="E180" t="str">
        <f t="shared" si="11"/>
        <v>2024-03</v>
      </c>
    </row>
    <row r="181" spans="1:5" x14ac:dyDescent="0.3">
      <c r="A181" s="1" t="d">
        <v>2024-03-28</v>
      </c>
      <c r="B181">
        <f t="shared" si="8"/>
        <v>2024</v>
      </c>
      <c r="C181">
        <f t="shared" si="9"/>
        <v>3</v>
      </c>
      <c r="D181" t="str">
        <f t="shared" si="10"/>
        <v>março</v>
      </c>
      <c r="E181" t="str">
        <f t="shared" si="11"/>
        <v>2024-03</v>
      </c>
    </row>
    <row r="182" spans="1:5" x14ac:dyDescent="0.3">
      <c r="A182" s="1" t="d">
        <v>2024-03-29</v>
      </c>
      <c r="B182">
        <f t="shared" si="8"/>
        <v>2024</v>
      </c>
      <c r="C182">
        <f t="shared" si="9"/>
        <v>3</v>
      </c>
      <c r="D182" t="str">
        <f t="shared" si="10"/>
        <v>março</v>
      </c>
      <c r="E182" t="str">
        <f t="shared" si="11"/>
        <v>2024-03</v>
      </c>
    </row>
    <row r="183" spans="1:5" x14ac:dyDescent="0.3">
      <c r="A183" s="1" t="d">
        <v>2024-03-30</v>
      </c>
      <c r="B183">
        <f t="shared" si="8"/>
        <v>2024</v>
      </c>
      <c r="C183">
        <f t="shared" si="9"/>
        <v>3</v>
      </c>
      <c r="D183" t="str">
        <f t="shared" si="10"/>
        <v>março</v>
      </c>
      <c r="E183" t="str">
        <f t="shared" si="11"/>
        <v>2024-03</v>
      </c>
    </row>
    <row r="184" spans="1:5" x14ac:dyDescent="0.3">
      <c r="A184" s="1" t="d">
        <v>2024-03-31</v>
      </c>
      <c r="B184">
        <f t="shared" si="8"/>
        <v>2024</v>
      </c>
      <c r="C184">
        <f t="shared" si="9"/>
        <v>3</v>
      </c>
      <c r="D184" t="str">
        <f t="shared" si="10"/>
        <v>março</v>
      </c>
      <c r="E184" t="str">
        <f t="shared" si="11"/>
        <v>2024-03</v>
      </c>
    </row>
    <row r="185" spans="1:5" x14ac:dyDescent="0.3">
      <c r="A185" s="1" t="d">
        <v>2024-04-01</v>
      </c>
      <c r="B185">
        <f t="shared" si="8"/>
        <v>2024</v>
      </c>
      <c r="C185">
        <f t="shared" si="9"/>
        <v>4</v>
      </c>
      <c r="D185" t="str">
        <f t="shared" si="10"/>
        <v>abril</v>
      </c>
      <c r="E185" t="str">
        <f t="shared" si="11"/>
        <v>2024-04</v>
      </c>
    </row>
    <row r="186" spans="1:5" x14ac:dyDescent="0.3">
      <c r="A186" s="1" t="d">
        <v>2024-04-02</v>
      </c>
      <c r="B186">
        <f t="shared" si="8"/>
        <v>2024</v>
      </c>
      <c r="C186">
        <f t="shared" si="9"/>
        <v>4</v>
      </c>
      <c r="D186" t="str">
        <f t="shared" si="10"/>
        <v>abril</v>
      </c>
      <c r="E186" t="str">
        <f t="shared" si="11"/>
        <v>2024-04</v>
      </c>
    </row>
    <row r="187" spans="1:5" x14ac:dyDescent="0.3">
      <c r="A187" s="1" t="d">
        <v>2024-04-03</v>
      </c>
      <c r="B187">
        <f t="shared" si="8"/>
        <v>2024</v>
      </c>
      <c r="C187">
        <f t="shared" si="9"/>
        <v>4</v>
      </c>
      <c r="D187" t="str">
        <f t="shared" si="10"/>
        <v>abril</v>
      </c>
      <c r="E187" t="str">
        <f t="shared" si="11"/>
        <v>2024-04</v>
      </c>
    </row>
    <row r="188" spans="1:5" x14ac:dyDescent="0.3">
      <c r="A188" s="1" t="d">
        <v>2024-04-04</v>
      </c>
      <c r="B188">
        <f t="shared" si="8"/>
        <v>2024</v>
      </c>
      <c r="C188">
        <f t="shared" si="9"/>
        <v>4</v>
      </c>
      <c r="D188" t="str">
        <f t="shared" si="10"/>
        <v>abril</v>
      </c>
      <c r="E188" t="str">
        <f t="shared" si="11"/>
        <v>2024-04</v>
      </c>
    </row>
    <row r="189" spans="1:5" x14ac:dyDescent="0.3">
      <c r="A189" s="1" t="d">
        <v>2024-04-05</v>
      </c>
      <c r="B189">
        <f t="shared" si="8"/>
        <v>2024</v>
      </c>
      <c r="C189">
        <f t="shared" si="9"/>
        <v>4</v>
      </c>
      <c r="D189" t="str">
        <f t="shared" si="10"/>
        <v>abril</v>
      </c>
      <c r="E189" t="str">
        <f t="shared" si="11"/>
        <v>2024-04</v>
      </c>
    </row>
    <row r="190" spans="1:5" x14ac:dyDescent="0.3">
      <c r="A190" s="1" t="d">
        <v>2024-04-06</v>
      </c>
      <c r="B190">
        <f t="shared" si="8"/>
        <v>2024</v>
      </c>
      <c r="C190">
        <f t="shared" si="9"/>
        <v>4</v>
      </c>
      <c r="D190" t="str">
        <f t="shared" si="10"/>
        <v>abril</v>
      </c>
      <c r="E190" t="str">
        <f t="shared" si="11"/>
        <v>2024-04</v>
      </c>
    </row>
    <row r="191" spans="1:5" x14ac:dyDescent="0.3">
      <c r="A191" s="1" t="d">
        <v>2024-04-07</v>
      </c>
      <c r="B191">
        <f t="shared" si="8"/>
        <v>2024</v>
      </c>
      <c r="C191">
        <f t="shared" si="9"/>
        <v>4</v>
      </c>
      <c r="D191" t="str">
        <f t="shared" si="10"/>
        <v>abril</v>
      </c>
      <c r="E191" t="str">
        <f t="shared" si="11"/>
        <v>2024-04</v>
      </c>
    </row>
    <row r="192" spans="1:5" x14ac:dyDescent="0.3">
      <c r="A192" s="1" t="d">
        <v>2024-04-08</v>
      </c>
      <c r="B192">
        <f t="shared" si="8"/>
        <v>2024</v>
      </c>
      <c r="C192">
        <f t="shared" si="9"/>
        <v>4</v>
      </c>
      <c r="D192" t="str">
        <f t="shared" si="10"/>
        <v>abril</v>
      </c>
      <c r="E192" t="str">
        <f t="shared" si="11"/>
        <v>2024-04</v>
      </c>
    </row>
    <row r="193" spans="1:5" x14ac:dyDescent="0.3">
      <c r="A193" s="1" t="d">
        <v>2024-04-09</v>
      </c>
      <c r="B193">
        <f t="shared" si="8"/>
        <v>2024</v>
      </c>
      <c r="C193">
        <f t="shared" si="9"/>
        <v>4</v>
      </c>
      <c r="D193" t="str">
        <f t="shared" si="10"/>
        <v>abril</v>
      </c>
      <c r="E193" t="str">
        <f t="shared" si="11"/>
        <v>2024-04</v>
      </c>
    </row>
    <row r="194" spans="1:5" x14ac:dyDescent="0.3">
      <c r="A194" s="1" t="d">
        <v>2024-04-10</v>
      </c>
      <c r="B194">
        <f t="shared" si="8"/>
        <v>2024</v>
      </c>
      <c r="C194">
        <f t="shared" si="9"/>
        <v>4</v>
      </c>
      <c r="D194" t="str">
        <f t="shared" si="10"/>
        <v>abril</v>
      </c>
      <c r="E194" t="str">
        <f t="shared" si="11"/>
        <v>2024-04</v>
      </c>
    </row>
    <row r="195" spans="1:5" x14ac:dyDescent="0.3">
      <c r="A195" s="1" t="d">
        <v>2024-04-11</v>
      </c>
      <c r="B195">
        <f t="shared" ref="B195:B258" si="12">YEAR(A195)</f>
        <v>2024</v>
      </c>
      <c r="C195">
        <f t="shared" ref="C195:C258" si="13">MONTH(A195)</f>
        <v>4</v>
      </c>
      <c r="D195" t="str">
        <f t="shared" ref="D195:D258" si="14">TEXT(A195, "mmmm")</f>
        <v>abril</v>
      </c>
      <c r="E195" t="str">
        <f t="shared" ref="E195:E258" si="15">TEXT(A195, "aaaa-mm")</f>
        <v>2024-04</v>
      </c>
    </row>
    <row r="196" spans="1:5" x14ac:dyDescent="0.3">
      <c r="A196" s="1" t="d">
        <v>2024-04-12</v>
      </c>
      <c r="B196">
        <f t="shared" si="12"/>
        <v>2024</v>
      </c>
      <c r="C196">
        <f t="shared" si="13"/>
        <v>4</v>
      </c>
      <c r="D196" t="str">
        <f t="shared" si="14"/>
        <v>abril</v>
      </c>
      <c r="E196" t="str">
        <f t="shared" si="15"/>
        <v>2024-04</v>
      </c>
    </row>
    <row r="197" spans="1:5" x14ac:dyDescent="0.3">
      <c r="A197" s="1" t="d">
        <v>2024-04-13</v>
      </c>
      <c r="B197">
        <f t="shared" si="12"/>
        <v>2024</v>
      </c>
      <c r="C197">
        <f t="shared" si="13"/>
        <v>4</v>
      </c>
      <c r="D197" t="str">
        <f t="shared" si="14"/>
        <v>abril</v>
      </c>
      <c r="E197" t="str">
        <f t="shared" si="15"/>
        <v>2024-04</v>
      </c>
    </row>
    <row r="198" spans="1:5" x14ac:dyDescent="0.3">
      <c r="A198" s="1" t="d">
        <v>2024-04-14</v>
      </c>
      <c r="B198">
        <f t="shared" si="12"/>
        <v>2024</v>
      </c>
      <c r="C198">
        <f t="shared" si="13"/>
        <v>4</v>
      </c>
      <c r="D198" t="str">
        <f t="shared" si="14"/>
        <v>abril</v>
      </c>
      <c r="E198" t="str">
        <f t="shared" si="15"/>
        <v>2024-04</v>
      </c>
    </row>
    <row r="199" spans="1:5" x14ac:dyDescent="0.3">
      <c r="A199" s="1" t="d">
        <v>2024-04-15</v>
      </c>
      <c r="B199">
        <f t="shared" si="12"/>
        <v>2024</v>
      </c>
      <c r="C199">
        <f t="shared" si="13"/>
        <v>4</v>
      </c>
      <c r="D199" t="str">
        <f t="shared" si="14"/>
        <v>abril</v>
      </c>
      <c r="E199" t="str">
        <f t="shared" si="15"/>
        <v>2024-04</v>
      </c>
    </row>
    <row r="200" spans="1:5" x14ac:dyDescent="0.3">
      <c r="A200" s="1" t="d">
        <v>2024-04-16</v>
      </c>
      <c r="B200">
        <f t="shared" si="12"/>
        <v>2024</v>
      </c>
      <c r="C200">
        <f t="shared" si="13"/>
        <v>4</v>
      </c>
      <c r="D200" t="str">
        <f t="shared" si="14"/>
        <v>abril</v>
      </c>
      <c r="E200" t="str">
        <f t="shared" si="15"/>
        <v>2024-04</v>
      </c>
    </row>
    <row r="201" spans="1:5" x14ac:dyDescent="0.3">
      <c r="A201" s="1" t="d">
        <v>2024-04-17</v>
      </c>
      <c r="B201">
        <f t="shared" si="12"/>
        <v>2024</v>
      </c>
      <c r="C201">
        <f t="shared" si="13"/>
        <v>4</v>
      </c>
      <c r="D201" t="str">
        <f t="shared" si="14"/>
        <v>abril</v>
      </c>
      <c r="E201" t="str">
        <f t="shared" si="15"/>
        <v>2024-04</v>
      </c>
    </row>
    <row r="202" spans="1:5" x14ac:dyDescent="0.3">
      <c r="A202" s="1" t="d">
        <v>2024-04-18</v>
      </c>
      <c r="B202">
        <f t="shared" si="12"/>
        <v>2024</v>
      </c>
      <c r="C202">
        <f t="shared" si="13"/>
        <v>4</v>
      </c>
      <c r="D202" t="str">
        <f t="shared" si="14"/>
        <v>abril</v>
      </c>
      <c r="E202" t="str">
        <f t="shared" si="15"/>
        <v>2024-04</v>
      </c>
    </row>
    <row r="203" spans="1:5" x14ac:dyDescent="0.3">
      <c r="A203" s="1" t="d">
        <v>2024-04-19</v>
      </c>
      <c r="B203">
        <f t="shared" si="12"/>
        <v>2024</v>
      </c>
      <c r="C203">
        <f t="shared" si="13"/>
        <v>4</v>
      </c>
      <c r="D203" t="str">
        <f t="shared" si="14"/>
        <v>abril</v>
      </c>
      <c r="E203" t="str">
        <f t="shared" si="15"/>
        <v>2024-04</v>
      </c>
    </row>
    <row r="204" spans="1:5" x14ac:dyDescent="0.3">
      <c r="A204" s="1" t="d">
        <v>2024-04-20</v>
      </c>
      <c r="B204">
        <f t="shared" si="12"/>
        <v>2024</v>
      </c>
      <c r="C204">
        <f t="shared" si="13"/>
        <v>4</v>
      </c>
      <c r="D204" t="str">
        <f t="shared" si="14"/>
        <v>abril</v>
      </c>
      <c r="E204" t="str">
        <f t="shared" si="15"/>
        <v>2024-04</v>
      </c>
    </row>
    <row r="205" spans="1:5" x14ac:dyDescent="0.3">
      <c r="A205" s="1" t="d">
        <v>2024-04-21</v>
      </c>
      <c r="B205">
        <f t="shared" si="12"/>
        <v>2024</v>
      </c>
      <c r="C205">
        <f t="shared" si="13"/>
        <v>4</v>
      </c>
      <c r="D205" t="str">
        <f t="shared" si="14"/>
        <v>abril</v>
      </c>
      <c r="E205" t="str">
        <f t="shared" si="15"/>
        <v>2024-04</v>
      </c>
    </row>
    <row r="206" spans="1:5" x14ac:dyDescent="0.3">
      <c r="A206" s="1" t="d">
        <v>2024-04-22</v>
      </c>
      <c r="B206">
        <f t="shared" si="12"/>
        <v>2024</v>
      </c>
      <c r="C206">
        <f t="shared" si="13"/>
        <v>4</v>
      </c>
      <c r="D206" t="str">
        <f t="shared" si="14"/>
        <v>abril</v>
      </c>
      <c r="E206" t="str">
        <f t="shared" si="15"/>
        <v>2024-04</v>
      </c>
    </row>
    <row r="207" spans="1:5" x14ac:dyDescent="0.3">
      <c r="A207" s="1" t="d">
        <v>2024-04-23</v>
      </c>
      <c r="B207">
        <f t="shared" si="12"/>
        <v>2024</v>
      </c>
      <c r="C207">
        <f t="shared" si="13"/>
        <v>4</v>
      </c>
      <c r="D207" t="str">
        <f t="shared" si="14"/>
        <v>abril</v>
      </c>
      <c r="E207" t="str">
        <f t="shared" si="15"/>
        <v>2024-04</v>
      </c>
    </row>
    <row r="208" spans="1:5" x14ac:dyDescent="0.3">
      <c r="A208" s="1" t="d">
        <v>2024-04-24</v>
      </c>
      <c r="B208">
        <f t="shared" si="12"/>
        <v>2024</v>
      </c>
      <c r="C208">
        <f t="shared" si="13"/>
        <v>4</v>
      </c>
      <c r="D208" t="str">
        <f t="shared" si="14"/>
        <v>abril</v>
      </c>
      <c r="E208" t="str">
        <f t="shared" si="15"/>
        <v>2024-04</v>
      </c>
    </row>
    <row r="209" spans="1:5" x14ac:dyDescent="0.3">
      <c r="A209" s="1" t="d">
        <v>2024-04-25</v>
      </c>
      <c r="B209">
        <f t="shared" si="12"/>
        <v>2024</v>
      </c>
      <c r="C209">
        <f t="shared" si="13"/>
        <v>4</v>
      </c>
      <c r="D209" t="str">
        <f t="shared" si="14"/>
        <v>abril</v>
      </c>
      <c r="E209" t="str">
        <f t="shared" si="15"/>
        <v>2024-04</v>
      </c>
    </row>
    <row r="210" spans="1:5" x14ac:dyDescent="0.3">
      <c r="A210" s="1" t="d">
        <v>2024-04-26</v>
      </c>
      <c r="B210">
        <f t="shared" si="12"/>
        <v>2024</v>
      </c>
      <c r="C210">
        <f t="shared" si="13"/>
        <v>4</v>
      </c>
      <c r="D210" t="str">
        <f t="shared" si="14"/>
        <v>abril</v>
      </c>
      <c r="E210" t="str">
        <f t="shared" si="15"/>
        <v>2024-04</v>
      </c>
    </row>
    <row r="211" spans="1:5" x14ac:dyDescent="0.3">
      <c r="A211" s="1" t="d">
        <v>2024-04-27</v>
      </c>
      <c r="B211">
        <f t="shared" si="12"/>
        <v>2024</v>
      </c>
      <c r="C211">
        <f t="shared" si="13"/>
        <v>4</v>
      </c>
      <c r="D211" t="str">
        <f t="shared" si="14"/>
        <v>abril</v>
      </c>
      <c r="E211" t="str">
        <f t="shared" si="15"/>
        <v>2024-04</v>
      </c>
    </row>
    <row r="212" spans="1:5" x14ac:dyDescent="0.3">
      <c r="A212" s="1" t="d">
        <v>2024-04-28</v>
      </c>
      <c r="B212">
        <f t="shared" si="12"/>
        <v>2024</v>
      </c>
      <c r="C212">
        <f t="shared" si="13"/>
        <v>4</v>
      </c>
      <c r="D212" t="str">
        <f t="shared" si="14"/>
        <v>abril</v>
      </c>
      <c r="E212" t="str">
        <f t="shared" si="15"/>
        <v>2024-04</v>
      </c>
    </row>
    <row r="213" spans="1:5" x14ac:dyDescent="0.3">
      <c r="A213" s="1" t="d">
        <v>2024-04-29</v>
      </c>
      <c r="B213">
        <f t="shared" si="12"/>
        <v>2024</v>
      </c>
      <c r="C213">
        <f t="shared" si="13"/>
        <v>4</v>
      </c>
      <c r="D213" t="str">
        <f t="shared" si="14"/>
        <v>abril</v>
      </c>
      <c r="E213" t="str">
        <f t="shared" si="15"/>
        <v>2024-04</v>
      </c>
    </row>
    <row r="214" spans="1:5" x14ac:dyDescent="0.3">
      <c r="A214" s="1" t="d">
        <v>2024-04-30</v>
      </c>
      <c r="B214">
        <f t="shared" si="12"/>
        <v>2024</v>
      </c>
      <c r="C214">
        <f t="shared" si="13"/>
        <v>4</v>
      </c>
      <c r="D214" t="str">
        <f t="shared" si="14"/>
        <v>abril</v>
      </c>
      <c r="E214" t="str">
        <f t="shared" si="15"/>
        <v>2024-04</v>
      </c>
    </row>
    <row r="215" spans="1:5" x14ac:dyDescent="0.3">
      <c r="A215" s="1" t="d">
        <v>2024-05-01</v>
      </c>
      <c r="B215">
        <f t="shared" si="12"/>
        <v>2024</v>
      </c>
      <c r="C215">
        <f t="shared" si="13"/>
        <v>5</v>
      </c>
      <c r="D215" t="str">
        <f t="shared" si="14"/>
        <v>maio</v>
      </c>
      <c r="E215" t="str">
        <f t="shared" si="15"/>
        <v>2024-05</v>
      </c>
    </row>
    <row r="216" spans="1:5" x14ac:dyDescent="0.3">
      <c r="A216" s="1" t="d">
        <v>2024-05-02</v>
      </c>
      <c r="B216">
        <f t="shared" si="12"/>
        <v>2024</v>
      </c>
      <c r="C216">
        <f t="shared" si="13"/>
        <v>5</v>
      </c>
      <c r="D216" t="str">
        <f t="shared" si="14"/>
        <v>maio</v>
      </c>
      <c r="E216" t="str">
        <f t="shared" si="15"/>
        <v>2024-05</v>
      </c>
    </row>
    <row r="217" spans="1:5" x14ac:dyDescent="0.3">
      <c r="A217" s="1" t="d">
        <v>2024-05-03</v>
      </c>
      <c r="B217">
        <f t="shared" si="12"/>
        <v>2024</v>
      </c>
      <c r="C217">
        <f t="shared" si="13"/>
        <v>5</v>
      </c>
      <c r="D217" t="str">
        <f t="shared" si="14"/>
        <v>maio</v>
      </c>
      <c r="E217" t="str">
        <f t="shared" si="15"/>
        <v>2024-05</v>
      </c>
    </row>
    <row r="218" spans="1:5" x14ac:dyDescent="0.3">
      <c r="A218" s="1" t="d">
        <v>2024-05-04</v>
      </c>
      <c r="B218">
        <f t="shared" si="12"/>
        <v>2024</v>
      </c>
      <c r="C218">
        <f t="shared" si="13"/>
        <v>5</v>
      </c>
      <c r="D218" t="str">
        <f t="shared" si="14"/>
        <v>maio</v>
      </c>
      <c r="E218" t="str">
        <f t="shared" si="15"/>
        <v>2024-05</v>
      </c>
    </row>
    <row r="219" spans="1:5" x14ac:dyDescent="0.3">
      <c r="A219" s="1" t="d">
        <v>2024-05-05</v>
      </c>
      <c r="B219">
        <f t="shared" si="12"/>
        <v>2024</v>
      </c>
      <c r="C219">
        <f t="shared" si="13"/>
        <v>5</v>
      </c>
      <c r="D219" t="str">
        <f t="shared" si="14"/>
        <v>maio</v>
      </c>
      <c r="E219" t="str">
        <f t="shared" si="15"/>
        <v>2024-05</v>
      </c>
    </row>
    <row r="220" spans="1:5" x14ac:dyDescent="0.3">
      <c r="A220" s="1" t="d">
        <v>2024-05-06</v>
      </c>
      <c r="B220">
        <f t="shared" si="12"/>
        <v>2024</v>
      </c>
      <c r="C220">
        <f t="shared" si="13"/>
        <v>5</v>
      </c>
      <c r="D220" t="str">
        <f t="shared" si="14"/>
        <v>maio</v>
      </c>
      <c r="E220" t="str">
        <f t="shared" si="15"/>
        <v>2024-05</v>
      </c>
    </row>
    <row r="221" spans="1:5" x14ac:dyDescent="0.3">
      <c r="A221" s="1" t="d">
        <v>2024-05-07</v>
      </c>
      <c r="B221">
        <f t="shared" si="12"/>
        <v>2024</v>
      </c>
      <c r="C221">
        <f t="shared" si="13"/>
        <v>5</v>
      </c>
      <c r="D221" t="str">
        <f t="shared" si="14"/>
        <v>maio</v>
      </c>
      <c r="E221" t="str">
        <f t="shared" si="15"/>
        <v>2024-05</v>
      </c>
    </row>
    <row r="222" spans="1:5" x14ac:dyDescent="0.3">
      <c r="A222" s="1" t="d">
        <v>2024-05-08</v>
      </c>
      <c r="B222">
        <f t="shared" si="12"/>
        <v>2024</v>
      </c>
      <c r="C222">
        <f t="shared" si="13"/>
        <v>5</v>
      </c>
      <c r="D222" t="str">
        <f t="shared" si="14"/>
        <v>maio</v>
      </c>
      <c r="E222" t="str">
        <f t="shared" si="15"/>
        <v>2024-05</v>
      </c>
    </row>
    <row r="223" spans="1:5" x14ac:dyDescent="0.3">
      <c r="A223" s="1" t="d">
        <v>2024-05-09</v>
      </c>
      <c r="B223">
        <f t="shared" si="12"/>
        <v>2024</v>
      </c>
      <c r="C223">
        <f t="shared" si="13"/>
        <v>5</v>
      </c>
      <c r="D223" t="str">
        <f t="shared" si="14"/>
        <v>maio</v>
      </c>
      <c r="E223" t="str">
        <f t="shared" si="15"/>
        <v>2024-05</v>
      </c>
    </row>
    <row r="224" spans="1:5" x14ac:dyDescent="0.3">
      <c r="A224" s="1" t="d">
        <v>2024-05-10</v>
      </c>
      <c r="B224">
        <f t="shared" si="12"/>
        <v>2024</v>
      </c>
      <c r="C224">
        <f t="shared" si="13"/>
        <v>5</v>
      </c>
      <c r="D224" t="str">
        <f t="shared" si="14"/>
        <v>maio</v>
      </c>
      <c r="E224" t="str">
        <f t="shared" si="15"/>
        <v>2024-05</v>
      </c>
    </row>
    <row r="225" spans="1:5" x14ac:dyDescent="0.3">
      <c r="A225" s="1" t="d">
        <v>2024-05-11</v>
      </c>
      <c r="B225">
        <f t="shared" si="12"/>
        <v>2024</v>
      </c>
      <c r="C225">
        <f t="shared" si="13"/>
        <v>5</v>
      </c>
      <c r="D225" t="str">
        <f t="shared" si="14"/>
        <v>maio</v>
      </c>
      <c r="E225" t="str">
        <f t="shared" si="15"/>
        <v>2024-05</v>
      </c>
    </row>
    <row r="226" spans="1:5" x14ac:dyDescent="0.3">
      <c r="A226" s="1" t="d">
        <v>2024-05-12</v>
      </c>
      <c r="B226">
        <f t="shared" si="12"/>
        <v>2024</v>
      </c>
      <c r="C226">
        <f t="shared" si="13"/>
        <v>5</v>
      </c>
      <c r="D226" t="str">
        <f t="shared" si="14"/>
        <v>maio</v>
      </c>
      <c r="E226" t="str">
        <f t="shared" si="15"/>
        <v>2024-05</v>
      </c>
    </row>
    <row r="227" spans="1:5" x14ac:dyDescent="0.3">
      <c r="A227" s="1" t="d">
        <v>2024-05-13</v>
      </c>
      <c r="B227">
        <f t="shared" si="12"/>
        <v>2024</v>
      </c>
      <c r="C227">
        <f t="shared" si="13"/>
        <v>5</v>
      </c>
      <c r="D227" t="str">
        <f t="shared" si="14"/>
        <v>maio</v>
      </c>
      <c r="E227" t="str">
        <f t="shared" si="15"/>
        <v>2024-05</v>
      </c>
    </row>
    <row r="228" spans="1:5" x14ac:dyDescent="0.3">
      <c r="A228" s="1" t="d">
        <v>2024-05-14</v>
      </c>
      <c r="B228">
        <f t="shared" si="12"/>
        <v>2024</v>
      </c>
      <c r="C228">
        <f t="shared" si="13"/>
        <v>5</v>
      </c>
      <c r="D228" t="str">
        <f t="shared" si="14"/>
        <v>maio</v>
      </c>
      <c r="E228" t="str">
        <f t="shared" si="15"/>
        <v>2024-05</v>
      </c>
    </row>
    <row r="229" spans="1:5" x14ac:dyDescent="0.3">
      <c r="A229" s="1" t="d">
        <v>2024-05-15</v>
      </c>
      <c r="B229">
        <f t="shared" si="12"/>
        <v>2024</v>
      </c>
      <c r="C229">
        <f t="shared" si="13"/>
        <v>5</v>
      </c>
      <c r="D229" t="str">
        <f t="shared" si="14"/>
        <v>maio</v>
      </c>
      <c r="E229" t="str">
        <f t="shared" si="15"/>
        <v>2024-05</v>
      </c>
    </row>
    <row r="230" spans="1:5" x14ac:dyDescent="0.3">
      <c r="A230" s="1" t="d">
        <v>2024-05-16</v>
      </c>
      <c r="B230">
        <f t="shared" si="12"/>
        <v>2024</v>
      </c>
      <c r="C230">
        <f t="shared" si="13"/>
        <v>5</v>
      </c>
      <c r="D230" t="str">
        <f t="shared" si="14"/>
        <v>maio</v>
      </c>
      <c r="E230" t="str">
        <f t="shared" si="15"/>
        <v>2024-05</v>
      </c>
    </row>
    <row r="231" spans="1:5" x14ac:dyDescent="0.3">
      <c r="A231" s="1" t="d">
        <v>2024-05-17</v>
      </c>
      <c r="B231">
        <f t="shared" si="12"/>
        <v>2024</v>
      </c>
      <c r="C231">
        <f t="shared" si="13"/>
        <v>5</v>
      </c>
      <c r="D231" t="str">
        <f t="shared" si="14"/>
        <v>maio</v>
      </c>
      <c r="E231" t="str">
        <f t="shared" si="15"/>
        <v>2024-05</v>
      </c>
    </row>
    <row r="232" spans="1:5" x14ac:dyDescent="0.3">
      <c r="A232" s="1" t="d">
        <v>2024-05-18</v>
      </c>
      <c r="B232">
        <f t="shared" si="12"/>
        <v>2024</v>
      </c>
      <c r="C232">
        <f t="shared" si="13"/>
        <v>5</v>
      </c>
      <c r="D232" t="str">
        <f t="shared" si="14"/>
        <v>maio</v>
      </c>
      <c r="E232" t="str">
        <f t="shared" si="15"/>
        <v>2024-05</v>
      </c>
    </row>
    <row r="233" spans="1:5" x14ac:dyDescent="0.3">
      <c r="A233" s="1" t="d">
        <v>2024-05-19</v>
      </c>
      <c r="B233">
        <f t="shared" si="12"/>
        <v>2024</v>
      </c>
      <c r="C233">
        <f t="shared" si="13"/>
        <v>5</v>
      </c>
      <c r="D233" t="str">
        <f t="shared" si="14"/>
        <v>maio</v>
      </c>
      <c r="E233" t="str">
        <f t="shared" si="15"/>
        <v>2024-05</v>
      </c>
    </row>
    <row r="234" spans="1:5" x14ac:dyDescent="0.3">
      <c r="A234" s="1" t="d">
        <v>2024-05-20</v>
      </c>
      <c r="B234">
        <f t="shared" si="12"/>
        <v>2024</v>
      </c>
      <c r="C234">
        <f t="shared" si="13"/>
        <v>5</v>
      </c>
      <c r="D234" t="str">
        <f t="shared" si="14"/>
        <v>maio</v>
      </c>
      <c r="E234" t="str">
        <f t="shared" si="15"/>
        <v>2024-05</v>
      </c>
    </row>
    <row r="235" spans="1:5" x14ac:dyDescent="0.3">
      <c r="A235" s="1" t="d">
        <v>2024-05-21</v>
      </c>
      <c r="B235">
        <f t="shared" si="12"/>
        <v>2024</v>
      </c>
      <c r="C235">
        <f t="shared" si="13"/>
        <v>5</v>
      </c>
      <c r="D235" t="str">
        <f t="shared" si="14"/>
        <v>maio</v>
      </c>
      <c r="E235" t="str">
        <f t="shared" si="15"/>
        <v>2024-05</v>
      </c>
    </row>
    <row r="236" spans="1:5" x14ac:dyDescent="0.3">
      <c r="A236" s="1" t="d">
        <v>2024-05-22</v>
      </c>
      <c r="B236">
        <f t="shared" si="12"/>
        <v>2024</v>
      </c>
      <c r="C236">
        <f t="shared" si="13"/>
        <v>5</v>
      </c>
      <c r="D236" t="str">
        <f t="shared" si="14"/>
        <v>maio</v>
      </c>
      <c r="E236" t="str">
        <f t="shared" si="15"/>
        <v>2024-05</v>
      </c>
    </row>
    <row r="237" spans="1:5" x14ac:dyDescent="0.3">
      <c r="A237" s="1" t="d">
        <v>2024-05-23</v>
      </c>
      <c r="B237">
        <f t="shared" si="12"/>
        <v>2024</v>
      </c>
      <c r="C237">
        <f t="shared" si="13"/>
        <v>5</v>
      </c>
      <c r="D237" t="str">
        <f t="shared" si="14"/>
        <v>maio</v>
      </c>
      <c r="E237" t="str">
        <f t="shared" si="15"/>
        <v>2024-05</v>
      </c>
    </row>
    <row r="238" spans="1:5" x14ac:dyDescent="0.3">
      <c r="A238" s="1" t="d">
        <v>2024-05-24</v>
      </c>
      <c r="B238">
        <f t="shared" si="12"/>
        <v>2024</v>
      </c>
      <c r="C238">
        <f t="shared" si="13"/>
        <v>5</v>
      </c>
      <c r="D238" t="str">
        <f t="shared" si="14"/>
        <v>maio</v>
      </c>
      <c r="E238" t="str">
        <f t="shared" si="15"/>
        <v>2024-05</v>
      </c>
    </row>
    <row r="239" spans="1:5" x14ac:dyDescent="0.3">
      <c r="A239" s="1" t="d">
        <v>2024-05-25</v>
      </c>
      <c r="B239">
        <f t="shared" si="12"/>
        <v>2024</v>
      </c>
      <c r="C239">
        <f t="shared" si="13"/>
        <v>5</v>
      </c>
      <c r="D239" t="str">
        <f t="shared" si="14"/>
        <v>maio</v>
      </c>
      <c r="E239" t="str">
        <f t="shared" si="15"/>
        <v>2024-05</v>
      </c>
    </row>
    <row r="240" spans="1:5" x14ac:dyDescent="0.3">
      <c r="A240" s="1" t="d">
        <v>2024-05-26</v>
      </c>
      <c r="B240">
        <f t="shared" si="12"/>
        <v>2024</v>
      </c>
      <c r="C240">
        <f t="shared" si="13"/>
        <v>5</v>
      </c>
      <c r="D240" t="str">
        <f t="shared" si="14"/>
        <v>maio</v>
      </c>
      <c r="E240" t="str">
        <f t="shared" si="15"/>
        <v>2024-05</v>
      </c>
    </row>
    <row r="241" spans="1:5" x14ac:dyDescent="0.3">
      <c r="A241" s="1" t="d">
        <v>2024-05-27</v>
      </c>
      <c r="B241">
        <f t="shared" si="12"/>
        <v>2024</v>
      </c>
      <c r="C241">
        <f t="shared" si="13"/>
        <v>5</v>
      </c>
      <c r="D241" t="str">
        <f t="shared" si="14"/>
        <v>maio</v>
      </c>
      <c r="E241" t="str">
        <f t="shared" si="15"/>
        <v>2024-05</v>
      </c>
    </row>
    <row r="242" spans="1:5" x14ac:dyDescent="0.3">
      <c r="A242" s="1" t="d">
        <v>2024-05-28</v>
      </c>
      <c r="B242">
        <f t="shared" si="12"/>
        <v>2024</v>
      </c>
      <c r="C242">
        <f t="shared" si="13"/>
        <v>5</v>
      </c>
      <c r="D242" t="str">
        <f t="shared" si="14"/>
        <v>maio</v>
      </c>
      <c r="E242" t="str">
        <f t="shared" si="15"/>
        <v>2024-05</v>
      </c>
    </row>
    <row r="243" spans="1:5" x14ac:dyDescent="0.3">
      <c r="A243" s="1" t="d">
        <v>2024-05-29</v>
      </c>
      <c r="B243">
        <f t="shared" si="12"/>
        <v>2024</v>
      </c>
      <c r="C243">
        <f t="shared" si="13"/>
        <v>5</v>
      </c>
      <c r="D243" t="str">
        <f t="shared" si="14"/>
        <v>maio</v>
      </c>
      <c r="E243" t="str">
        <f t="shared" si="15"/>
        <v>2024-05</v>
      </c>
    </row>
    <row r="244" spans="1:5" x14ac:dyDescent="0.3">
      <c r="A244" s="1" t="d">
        <v>2024-05-30</v>
      </c>
      <c r="B244">
        <f t="shared" si="12"/>
        <v>2024</v>
      </c>
      <c r="C244">
        <f t="shared" si="13"/>
        <v>5</v>
      </c>
      <c r="D244" t="str">
        <f t="shared" si="14"/>
        <v>maio</v>
      </c>
      <c r="E244" t="str">
        <f t="shared" si="15"/>
        <v>2024-05</v>
      </c>
    </row>
    <row r="245" spans="1:5" x14ac:dyDescent="0.3">
      <c r="A245" s="1" t="d">
        <v>2024-05-31</v>
      </c>
      <c r="B245">
        <f t="shared" si="12"/>
        <v>2024</v>
      </c>
      <c r="C245">
        <f t="shared" si="13"/>
        <v>5</v>
      </c>
      <c r="D245" t="str">
        <f t="shared" si="14"/>
        <v>maio</v>
      </c>
      <c r="E245" t="str">
        <f t="shared" si="15"/>
        <v>2024-05</v>
      </c>
    </row>
    <row r="246" spans="1:5" x14ac:dyDescent="0.3">
      <c r="A246" s="1" t="d">
        <v>2024-06-01</v>
      </c>
      <c r="B246">
        <f t="shared" si="12"/>
        <v>2024</v>
      </c>
      <c r="C246">
        <f t="shared" si="13"/>
        <v>6</v>
      </c>
      <c r="D246" t="str">
        <f t="shared" si="14"/>
        <v>junho</v>
      </c>
      <c r="E246" t="str">
        <f t="shared" si="15"/>
        <v>2024-06</v>
      </c>
    </row>
    <row r="247" spans="1:5" x14ac:dyDescent="0.3">
      <c r="A247" s="1" t="d">
        <v>2024-06-02</v>
      </c>
      <c r="B247">
        <f t="shared" si="12"/>
        <v>2024</v>
      </c>
      <c r="C247">
        <f t="shared" si="13"/>
        <v>6</v>
      </c>
      <c r="D247" t="str">
        <f t="shared" si="14"/>
        <v>junho</v>
      </c>
      <c r="E247" t="str">
        <f t="shared" si="15"/>
        <v>2024-06</v>
      </c>
    </row>
    <row r="248" spans="1:5" x14ac:dyDescent="0.3">
      <c r="A248" s="1" t="d">
        <v>2024-06-03</v>
      </c>
      <c r="B248">
        <f t="shared" si="12"/>
        <v>2024</v>
      </c>
      <c r="C248">
        <f t="shared" si="13"/>
        <v>6</v>
      </c>
      <c r="D248" t="str">
        <f t="shared" si="14"/>
        <v>junho</v>
      </c>
      <c r="E248" t="str">
        <f t="shared" si="15"/>
        <v>2024-06</v>
      </c>
    </row>
    <row r="249" spans="1:5" x14ac:dyDescent="0.3">
      <c r="A249" s="1" t="d">
        <v>2024-06-04</v>
      </c>
      <c r="B249">
        <f t="shared" si="12"/>
        <v>2024</v>
      </c>
      <c r="C249">
        <f t="shared" si="13"/>
        <v>6</v>
      </c>
      <c r="D249" t="str">
        <f t="shared" si="14"/>
        <v>junho</v>
      </c>
      <c r="E249" t="str">
        <f t="shared" si="15"/>
        <v>2024-06</v>
      </c>
    </row>
    <row r="250" spans="1:5" x14ac:dyDescent="0.3">
      <c r="A250" s="1" t="d">
        <v>2024-06-05</v>
      </c>
      <c r="B250">
        <f t="shared" si="12"/>
        <v>2024</v>
      </c>
      <c r="C250">
        <f t="shared" si="13"/>
        <v>6</v>
      </c>
      <c r="D250" t="str">
        <f t="shared" si="14"/>
        <v>junho</v>
      </c>
      <c r="E250" t="str">
        <f t="shared" si="15"/>
        <v>2024-06</v>
      </c>
    </row>
    <row r="251" spans="1:5" x14ac:dyDescent="0.3">
      <c r="A251" s="1" t="d">
        <v>2024-06-06</v>
      </c>
      <c r="B251">
        <f t="shared" si="12"/>
        <v>2024</v>
      </c>
      <c r="C251">
        <f t="shared" si="13"/>
        <v>6</v>
      </c>
      <c r="D251" t="str">
        <f t="shared" si="14"/>
        <v>junho</v>
      </c>
      <c r="E251" t="str">
        <f t="shared" si="15"/>
        <v>2024-06</v>
      </c>
    </row>
    <row r="252" spans="1:5" x14ac:dyDescent="0.3">
      <c r="A252" s="1" t="d">
        <v>2024-06-07</v>
      </c>
      <c r="B252">
        <f t="shared" si="12"/>
        <v>2024</v>
      </c>
      <c r="C252">
        <f t="shared" si="13"/>
        <v>6</v>
      </c>
      <c r="D252" t="str">
        <f t="shared" si="14"/>
        <v>junho</v>
      </c>
      <c r="E252" t="str">
        <f t="shared" si="15"/>
        <v>2024-06</v>
      </c>
    </row>
    <row r="253" spans="1:5" x14ac:dyDescent="0.3">
      <c r="A253" s="1" t="d">
        <v>2024-06-08</v>
      </c>
      <c r="B253">
        <f t="shared" si="12"/>
        <v>2024</v>
      </c>
      <c r="C253">
        <f t="shared" si="13"/>
        <v>6</v>
      </c>
      <c r="D253" t="str">
        <f t="shared" si="14"/>
        <v>junho</v>
      </c>
      <c r="E253" t="str">
        <f t="shared" si="15"/>
        <v>2024-06</v>
      </c>
    </row>
    <row r="254" spans="1:5" x14ac:dyDescent="0.3">
      <c r="A254" s="1" t="d">
        <v>2024-06-09</v>
      </c>
      <c r="B254">
        <f t="shared" si="12"/>
        <v>2024</v>
      </c>
      <c r="C254">
        <f t="shared" si="13"/>
        <v>6</v>
      </c>
      <c r="D254" t="str">
        <f t="shared" si="14"/>
        <v>junho</v>
      </c>
      <c r="E254" t="str">
        <f t="shared" si="15"/>
        <v>2024-06</v>
      </c>
    </row>
    <row r="255" spans="1:5" x14ac:dyDescent="0.3">
      <c r="A255" s="1" t="d">
        <v>2024-06-10</v>
      </c>
      <c r="B255">
        <f t="shared" si="12"/>
        <v>2024</v>
      </c>
      <c r="C255">
        <f t="shared" si="13"/>
        <v>6</v>
      </c>
      <c r="D255" t="str">
        <f t="shared" si="14"/>
        <v>junho</v>
      </c>
      <c r="E255" t="str">
        <f t="shared" si="15"/>
        <v>2024-06</v>
      </c>
    </row>
    <row r="256" spans="1:5" x14ac:dyDescent="0.3">
      <c r="A256" s="1" t="d">
        <v>2024-06-11</v>
      </c>
      <c r="B256">
        <f t="shared" si="12"/>
        <v>2024</v>
      </c>
      <c r="C256">
        <f t="shared" si="13"/>
        <v>6</v>
      </c>
      <c r="D256" t="str">
        <f t="shared" si="14"/>
        <v>junho</v>
      </c>
      <c r="E256" t="str">
        <f t="shared" si="15"/>
        <v>2024-06</v>
      </c>
    </row>
    <row r="257" spans="1:5" x14ac:dyDescent="0.3">
      <c r="A257" s="1" t="d">
        <v>2024-06-12</v>
      </c>
      <c r="B257">
        <f t="shared" si="12"/>
        <v>2024</v>
      </c>
      <c r="C257">
        <f t="shared" si="13"/>
        <v>6</v>
      </c>
      <c r="D257" t="str">
        <f t="shared" si="14"/>
        <v>junho</v>
      </c>
      <c r="E257" t="str">
        <f t="shared" si="15"/>
        <v>2024-06</v>
      </c>
    </row>
    <row r="258" spans="1:5" x14ac:dyDescent="0.3">
      <c r="A258" s="1" t="d">
        <v>2024-06-13</v>
      </c>
      <c r="B258">
        <f t="shared" si="12"/>
        <v>2024</v>
      </c>
      <c r="C258">
        <f t="shared" si="13"/>
        <v>6</v>
      </c>
      <c r="D258" t="str">
        <f t="shared" si="14"/>
        <v>junho</v>
      </c>
      <c r="E258" t="str">
        <f t="shared" si="15"/>
        <v>2024-06</v>
      </c>
    </row>
    <row r="259" spans="1:5" x14ac:dyDescent="0.3">
      <c r="A259" s="1" t="d">
        <v>2024-06-14</v>
      </c>
      <c r="B259">
        <f t="shared" ref="B259:B322" si="16">YEAR(A259)</f>
        <v>2024</v>
      </c>
      <c r="C259">
        <f t="shared" ref="C259:C322" si="17">MONTH(A259)</f>
        <v>6</v>
      </c>
      <c r="D259" t="str">
        <f t="shared" ref="D259:D322" si="18">TEXT(A259, "mmmm")</f>
        <v>junho</v>
      </c>
      <c r="E259" t="str">
        <f t="shared" ref="E259:E322" si="19">TEXT(A259, "aaaa-mm")</f>
        <v>2024-06</v>
      </c>
    </row>
    <row r="260" spans="1:5" x14ac:dyDescent="0.3">
      <c r="A260" s="1" t="d">
        <v>2024-06-15</v>
      </c>
      <c r="B260">
        <f t="shared" si="16"/>
        <v>2024</v>
      </c>
      <c r="C260">
        <f t="shared" si="17"/>
        <v>6</v>
      </c>
      <c r="D260" t="str">
        <f t="shared" si="18"/>
        <v>junho</v>
      </c>
      <c r="E260" t="str">
        <f t="shared" si="19"/>
        <v>2024-06</v>
      </c>
    </row>
    <row r="261" spans="1:5" x14ac:dyDescent="0.3">
      <c r="A261" s="1" t="d">
        <v>2024-06-16</v>
      </c>
      <c r="B261">
        <f t="shared" si="16"/>
        <v>2024</v>
      </c>
      <c r="C261">
        <f t="shared" si="17"/>
        <v>6</v>
      </c>
      <c r="D261" t="str">
        <f t="shared" si="18"/>
        <v>junho</v>
      </c>
      <c r="E261" t="str">
        <f t="shared" si="19"/>
        <v>2024-06</v>
      </c>
    </row>
    <row r="262" spans="1:5" x14ac:dyDescent="0.3">
      <c r="A262" s="1" t="d">
        <v>2024-06-17</v>
      </c>
      <c r="B262">
        <f t="shared" si="16"/>
        <v>2024</v>
      </c>
      <c r="C262">
        <f t="shared" si="17"/>
        <v>6</v>
      </c>
      <c r="D262" t="str">
        <f t="shared" si="18"/>
        <v>junho</v>
      </c>
      <c r="E262" t="str">
        <f t="shared" si="19"/>
        <v>2024-06</v>
      </c>
    </row>
    <row r="263" spans="1:5" x14ac:dyDescent="0.3">
      <c r="A263" s="1" t="d">
        <v>2024-06-18</v>
      </c>
      <c r="B263">
        <f t="shared" si="16"/>
        <v>2024</v>
      </c>
      <c r="C263">
        <f t="shared" si="17"/>
        <v>6</v>
      </c>
      <c r="D263" t="str">
        <f t="shared" si="18"/>
        <v>junho</v>
      </c>
      <c r="E263" t="str">
        <f t="shared" si="19"/>
        <v>2024-06</v>
      </c>
    </row>
    <row r="264" spans="1:5" x14ac:dyDescent="0.3">
      <c r="A264" s="1" t="d">
        <v>2024-06-19</v>
      </c>
      <c r="B264">
        <f t="shared" si="16"/>
        <v>2024</v>
      </c>
      <c r="C264">
        <f t="shared" si="17"/>
        <v>6</v>
      </c>
      <c r="D264" t="str">
        <f t="shared" si="18"/>
        <v>junho</v>
      </c>
      <c r="E264" t="str">
        <f t="shared" si="19"/>
        <v>2024-06</v>
      </c>
    </row>
    <row r="265" spans="1:5" x14ac:dyDescent="0.3">
      <c r="A265" s="1" t="d">
        <v>2024-06-20</v>
      </c>
      <c r="B265">
        <f t="shared" si="16"/>
        <v>2024</v>
      </c>
      <c r="C265">
        <f t="shared" si="17"/>
        <v>6</v>
      </c>
      <c r="D265" t="str">
        <f t="shared" si="18"/>
        <v>junho</v>
      </c>
      <c r="E265" t="str">
        <f t="shared" si="19"/>
        <v>2024-06</v>
      </c>
    </row>
    <row r="266" spans="1:5" x14ac:dyDescent="0.3">
      <c r="A266" s="1" t="d">
        <v>2024-06-21</v>
      </c>
      <c r="B266">
        <f t="shared" si="16"/>
        <v>2024</v>
      </c>
      <c r="C266">
        <f t="shared" si="17"/>
        <v>6</v>
      </c>
      <c r="D266" t="str">
        <f t="shared" si="18"/>
        <v>junho</v>
      </c>
      <c r="E266" t="str">
        <f t="shared" si="19"/>
        <v>2024-06</v>
      </c>
    </row>
    <row r="267" spans="1:5" x14ac:dyDescent="0.3">
      <c r="A267" s="1" t="d">
        <v>2024-06-22</v>
      </c>
      <c r="B267">
        <f t="shared" si="16"/>
        <v>2024</v>
      </c>
      <c r="C267">
        <f t="shared" si="17"/>
        <v>6</v>
      </c>
      <c r="D267" t="str">
        <f t="shared" si="18"/>
        <v>junho</v>
      </c>
      <c r="E267" t="str">
        <f t="shared" si="19"/>
        <v>2024-06</v>
      </c>
    </row>
    <row r="268" spans="1:5" x14ac:dyDescent="0.3">
      <c r="A268" s="1" t="d">
        <v>2024-06-23</v>
      </c>
      <c r="B268">
        <f t="shared" si="16"/>
        <v>2024</v>
      </c>
      <c r="C268">
        <f t="shared" si="17"/>
        <v>6</v>
      </c>
      <c r="D268" t="str">
        <f t="shared" si="18"/>
        <v>junho</v>
      </c>
      <c r="E268" t="str">
        <f t="shared" si="19"/>
        <v>2024-06</v>
      </c>
    </row>
    <row r="269" spans="1:5" x14ac:dyDescent="0.3">
      <c r="A269" s="1" t="d">
        <v>2024-06-24</v>
      </c>
      <c r="B269">
        <f t="shared" si="16"/>
        <v>2024</v>
      </c>
      <c r="C269">
        <f t="shared" si="17"/>
        <v>6</v>
      </c>
      <c r="D269" t="str">
        <f t="shared" si="18"/>
        <v>junho</v>
      </c>
      <c r="E269" t="str">
        <f t="shared" si="19"/>
        <v>2024-06</v>
      </c>
    </row>
    <row r="270" spans="1:5" x14ac:dyDescent="0.3">
      <c r="A270" s="1" t="d">
        <v>2024-06-25</v>
      </c>
      <c r="B270">
        <f t="shared" si="16"/>
        <v>2024</v>
      </c>
      <c r="C270">
        <f t="shared" si="17"/>
        <v>6</v>
      </c>
      <c r="D270" t="str">
        <f t="shared" si="18"/>
        <v>junho</v>
      </c>
      <c r="E270" t="str">
        <f t="shared" si="19"/>
        <v>2024-06</v>
      </c>
    </row>
    <row r="271" spans="1:5" x14ac:dyDescent="0.3">
      <c r="A271" s="1" t="d">
        <v>2024-06-26</v>
      </c>
      <c r="B271">
        <f t="shared" si="16"/>
        <v>2024</v>
      </c>
      <c r="C271">
        <f t="shared" si="17"/>
        <v>6</v>
      </c>
      <c r="D271" t="str">
        <f t="shared" si="18"/>
        <v>junho</v>
      </c>
      <c r="E271" t="str">
        <f t="shared" si="19"/>
        <v>2024-06</v>
      </c>
    </row>
    <row r="272" spans="1:5" x14ac:dyDescent="0.3">
      <c r="A272" s="1" t="d">
        <v>2024-06-27</v>
      </c>
      <c r="B272">
        <f t="shared" si="16"/>
        <v>2024</v>
      </c>
      <c r="C272">
        <f t="shared" si="17"/>
        <v>6</v>
      </c>
      <c r="D272" t="str">
        <f t="shared" si="18"/>
        <v>junho</v>
      </c>
      <c r="E272" t="str">
        <f t="shared" si="19"/>
        <v>2024-06</v>
      </c>
    </row>
    <row r="273" spans="1:5" x14ac:dyDescent="0.3">
      <c r="A273" s="1" t="d">
        <v>2024-06-28</v>
      </c>
      <c r="B273">
        <f t="shared" si="16"/>
        <v>2024</v>
      </c>
      <c r="C273">
        <f t="shared" si="17"/>
        <v>6</v>
      </c>
      <c r="D273" t="str">
        <f t="shared" si="18"/>
        <v>junho</v>
      </c>
      <c r="E273" t="str">
        <f t="shared" si="19"/>
        <v>2024-06</v>
      </c>
    </row>
    <row r="274" spans="1:5" x14ac:dyDescent="0.3">
      <c r="A274" s="1" t="d">
        <v>2024-06-29</v>
      </c>
      <c r="B274">
        <f t="shared" si="16"/>
        <v>2024</v>
      </c>
      <c r="C274">
        <f t="shared" si="17"/>
        <v>6</v>
      </c>
      <c r="D274" t="str">
        <f t="shared" si="18"/>
        <v>junho</v>
      </c>
      <c r="E274" t="str">
        <f t="shared" si="19"/>
        <v>2024-06</v>
      </c>
    </row>
    <row r="275" spans="1:5" x14ac:dyDescent="0.3">
      <c r="A275" s="1" t="d">
        <v>2024-06-30</v>
      </c>
      <c r="B275">
        <f t="shared" si="16"/>
        <v>2024</v>
      </c>
      <c r="C275">
        <f t="shared" si="17"/>
        <v>6</v>
      </c>
      <c r="D275" t="str">
        <f t="shared" si="18"/>
        <v>junho</v>
      </c>
      <c r="E275" t="str">
        <f t="shared" si="19"/>
        <v>2024-06</v>
      </c>
    </row>
    <row r="276" spans="1:5" x14ac:dyDescent="0.3">
      <c r="A276" s="1" t="d">
        <v>2024-07-01</v>
      </c>
      <c r="B276">
        <f t="shared" si="16"/>
        <v>2024</v>
      </c>
      <c r="C276">
        <f t="shared" si="17"/>
        <v>7</v>
      </c>
      <c r="D276" t="str">
        <f t="shared" si="18"/>
        <v>julho</v>
      </c>
      <c r="E276" t="str">
        <f t="shared" si="19"/>
        <v>2024-07</v>
      </c>
    </row>
    <row r="277" spans="1:5" x14ac:dyDescent="0.3">
      <c r="A277" s="1" t="d">
        <v>2024-07-02</v>
      </c>
      <c r="B277">
        <f t="shared" si="16"/>
        <v>2024</v>
      </c>
      <c r="C277">
        <f t="shared" si="17"/>
        <v>7</v>
      </c>
      <c r="D277" t="str">
        <f t="shared" si="18"/>
        <v>julho</v>
      </c>
      <c r="E277" t="str">
        <f t="shared" si="19"/>
        <v>2024-07</v>
      </c>
    </row>
    <row r="278" spans="1:5" x14ac:dyDescent="0.3">
      <c r="A278" s="1" t="d">
        <v>2024-07-03</v>
      </c>
      <c r="B278">
        <f t="shared" si="16"/>
        <v>2024</v>
      </c>
      <c r="C278">
        <f t="shared" si="17"/>
        <v>7</v>
      </c>
      <c r="D278" t="str">
        <f t="shared" si="18"/>
        <v>julho</v>
      </c>
      <c r="E278" t="str">
        <f t="shared" si="19"/>
        <v>2024-07</v>
      </c>
    </row>
    <row r="279" spans="1:5" x14ac:dyDescent="0.3">
      <c r="A279" s="1" t="d">
        <v>2024-07-04</v>
      </c>
      <c r="B279">
        <f t="shared" si="16"/>
        <v>2024</v>
      </c>
      <c r="C279">
        <f t="shared" si="17"/>
        <v>7</v>
      </c>
      <c r="D279" t="str">
        <f t="shared" si="18"/>
        <v>julho</v>
      </c>
      <c r="E279" t="str">
        <f t="shared" si="19"/>
        <v>2024-07</v>
      </c>
    </row>
    <row r="280" spans="1:5" x14ac:dyDescent="0.3">
      <c r="A280" s="1" t="d">
        <v>2024-07-05</v>
      </c>
      <c r="B280">
        <f t="shared" si="16"/>
        <v>2024</v>
      </c>
      <c r="C280">
        <f t="shared" si="17"/>
        <v>7</v>
      </c>
      <c r="D280" t="str">
        <f t="shared" si="18"/>
        <v>julho</v>
      </c>
      <c r="E280" t="str">
        <f t="shared" si="19"/>
        <v>2024-07</v>
      </c>
    </row>
    <row r="281" spans="1:5" x14ac:dyDescent="0.3">
      <c r="A281" s="1" t="d">
        <v>2024-07-06</v>
      </c>
      <c r="B281">
        <f t="shared" si="16"/>
        <v>2024</v>
      </c>
      <c r="C281">
        <f t="shared" si="17"/>
        <v>7</v>
      </c>
      <c r="D281" t="str">
        <f t="shared" si="18"/>
        <v>julho</v>
      </c>
      <c r="E281" t="str">
        <f t="shared" si="19"/>
        <v>2024-07</v>
      </c>
    </row>
    <row r="282" spans="1:5" x14ac:dyDescent="0.3">
      <c r="A282" s="1" t="d">
        <v>2024-07-07</v>
      </c>
      <c r="B282">
        <f t="shared" si="16"/>
        <v>2024</v>
      </c>
      <c r="C282">
        <f t="shared" si="17"/>
        <v>7</v>
      </c>
      <c r="D282" t="str">
        <f t="shared" si="18"/>
        <v>julho</v>
      </c>
      <c r="E282" t="str">
        <f t="shared" si="19"/>
        <v>2024-07</v>
      </c>
    </row>
    <row r="283" spans="1:5" x14ac:dyDescent="0.3">
      <c r="A283" s="1" t="d">
        <v>2024-07-08</v>
      </c>
      <c r="B283">
        <f t="shared" si="16"/>
        <v>2024</v>
      </c>
      <c r="C283">
        <f t="shared" si="17"/>
        <v>7</v>
      </c>
      <c r="D283" t="str">
        <f t="shared" si="18"/>
        <v>julho</v>
      </c>
      <c r="E283" t="str">
        <f t="shared" si="19"/>
        <v>2024-07</v>
      </c>
    </row>
    <row r="284" spans="1:5" x14ac:dyDescent="0.3">
      <c r="A284" s="1" t="d">
        <v>2024-07-09</v>
      </c>
      <c r="B284">
        <f t="shared" si="16"/>
        <v>2024</v>
      </c>
      <c r="C284">
        <f t="shared" si="17"/>
        <v>7</v>
      </c>
      <c r="D284" t="str">
        <f t="shared" si="18"/>
        <v>julho</v>
      </c>
      <c r="E284" t="str">
        <f t="shared" si="19"/>
        <v>2024-07</v>
      </c>
    </row>
    <row r="285" spans="1:5" x14ac:dyDescent="0.3">
      <c r="A285" s="1" t="d">
        <v>2024-07-10</v>
      </c>
      <c r="B285">
        <f t="shared" si="16"/>
        <v>2024</v>
      </c>
      <c r="C285">
        <f t="shared" si="17"/>
        <v>7</v>
      </c>
      <c r="D285" t="str">
        <f t="shared" si="18"/>
        <v>julho</v>
      </c>
      <c r="E285" t="str">
        <f t="shared" si="19"/>
        <v>2024-07</v>
      </c>
    </row>
    <row r="286" spans="1:5" x14ac:dyDescent="0.3">
      <c r="A286" s="1" t="d">
        <v>2024-07-11</v>
      </c>
      <c r="B286">
        <f t="shared" si="16"/>
        <v>2024</v>
      </c>
      <c r="C286">
        <f t="shared" si="17"/>
        <v>7</v>
      </c>
      <c r="D286" t="str">
        <f t="shared" si="18"/>
        <v>julho</v>
      </c>
      <c r="E286" t="str">
        <f t="shared" si="19"/>
        <v>2024-07</v>
      </c>
    </row>
    <row r="287" spans="1:5" x14ac:dyDescent="0.3">
      <c r="A287" s="1" t="d">
        <v>2024-07-12</v>
      </c>
      <c r="B287">
        <f t="shared" si="16"/>
        <v>2024</v>
      </c>
      <c r="C287">
        <f t="shared" si="17"/>
        <v>7</v>
      </c>
      <c r="D287" t="str">
        <f t="shared" si="18"/>
        <v>julho</v>
      </c>
      <c r="E287" t="str">
        <f t="shared" si="19"/>
        <v>2024-07</v>
      </c>
    </row>
    <row r="288" spans="1:5" x14ac:dyDescent="0.3">
      <c r="A288" s="1" t="d">
        <v>2024-07-13</v>
      </c>
      <c r="B288">
        <f t="shared" si="16"/>
        <v>2024</v>
      </c>
      <c r="C288">
        <f t="shared" si="17"/>
        <v>7</v>
      </c>
      <c r="D288" t="str">
        <f t="shared" si="18"/>
        <v>julho</v>
      </c>
      <c r="E288" t="str">
        <f t="shared" si="19"/>
        <v>2024-07</v>
      </c>
    </row>
    <row r="289" spans="1:5" x14ac:dyDescent="0.3">
      <c r="A289" s="1" t="d">
        <v>2024-07-14</v>
      </c>
      <c r="B289">
        <f t="shared" si="16"/>
        <v>2024</v>
      </c>
      <c r="C289">
        <f t="shared" si="17"/>
        <v>7</v>
      </c>
      <c r="D289" t="str">
        <f t="shared" si="18"/>
        <v>julho</v>
      </c>
      <c r="E289" t="str">
        <f t="shared" si="19"/>
        <v>2024-07</v>
      </c>
    </row>
    <row r="290" spans="1:5" x14ac:dyDescent="0.3">
      <c r="A290" s="1" t="d">
        <v>2024-07-15</v>
      </c>
      <c r="B290">
        <f t="shared" si="16"/>
        <v>2024</v>
      </c>
      <c r="C290">
        <f t="shared" si="17"/>
        <v>7</v>
      </c>
      <c r="D290" t="str">
        <f t="shared" si="18"/>
        <v>julho</v>
      </c>
      <c r="E290" t="str">
        <f t="shared" si="19"/>
        <v>2024-07</v>
      </c>
    </row>
    <row r="291" spans="1:5" x14ac:dyDescent="0.3">
      <c r="A291" s="1" t="d">
        <v>2024-07-16</v>
      </c>
      <c r="B291">
        <f t="shared" si="16"/>
        <v>2024</v>
      </c>
      <c r="C291">
        <f t="shared" si="17"/>
        <v>7</v>
      </c>
      <c r="D291" t="str">
        <f t="shared" si="18"/>
        <v>julho</v>
      </c>
      <c r="E291" t="str">
        <f t="shared" si="19"/>
        <v>2024-07</v>
      </c>
    </row>
    <row r="292" spans="1:5" x14ac:dyDescent="0.3">
      <c r="A292" s="1" t="d">
        <v>2024-07-17</v>
      </c>
      <c r="B292">
        <f t="shared" si="16"/>
        <v>2024</v>
      </c>
      <c r="C292">
        <f t="shared" si="17"/>
        <v>7</v>
      </c>
      <c r="D292" t="str">
        <f t="shared" si="18"/>
        <v>julho</v>
      </c>
      <c r="E292" t="str">
        <f t="shared" si="19"/>
        <v>2024-07</v>
      </c>
    </row>
    <row r="293" spans="1:5" x14ac:dyDescent="0.3">
      <c r="A293" s="1" t="d">
        <v>2024-07-18</v>
      </c>
      <c r="B293">
        <f t="shared" si="16"/>
        <v>2024</v>
      </c>
      <c r="C293">
        <f t="shared" si="17"/>
        <v>7</v>
      </c>
      <c r="D293" t="str">
        <f t="shared" si="18"/>
        <v>julho</v>
      </c>
      <c r="E293" t="str">
        <f t="shared" si="19"/>
        <v>2024-07</v>
      </c>
    </row>
    <row r="294" spans="1:5" x14ac:dyDescent="0.3">
      <c r="A294" s="1" t="d">
        <v>2024-07-19</v>
      </c>
      <c r="B294">
        <f t="shared" si="16"/>
        <v>2024</v>
      </c>
      <c r="C294">
        <f t="shared" si="17"/>
        <v>7</v>
      </c>
      <c r="D294" t="str">
        <f t="shared" si="18"/>
        <v>julho</v>
      </c>
      <c r="E294" t="str">
        <f t="shared" si="19"/>
        <v>2024-07</v>
      </c>
    </row>
    <row r="295" spans="1:5" x14ac:dyDescent="0.3">
      <c r="A295" s="1" t="d">
        <v>2024-07-20</v>
      </c>
      <c r="B295">
        <f t="shared" si="16"/>
        <v>2024</v>
      </c>
      <c r="C295">
        <f t="shared" si="17"/>
        <v>7</v>
      </c>
      <c r="D295" t="str">
        <f t="shared" si="18"/>
        <v>julho</v>
      </c>
      <c r="E295" t="str">
        <f t="shared" si="19"/>
        <v>2024-07</v>
      </c>
    </row>
    <row r="296" spans="1:5" x14ac:dyDescent="0.3">
      <c r="A296" s="1" t="d">
        <v>2024-07-21</v>
      </c>
      <c r="B296">
        <f t="shared" si="16"/>
        <v>2024</v>
      </c>
      <c r="C296">
        <f t="shared" si="17"/>
        <v>7</v>
      </c>
      <c r="D296" t="str">
        <f t="shared" si="18"/>
        <v>julho</v>
      </c>
      <c r="E296" t="str">
        <f t="shared" si="19"/>
        <v>2024-07</v>
      </c>
    </row>
    <row r="297" spans="1:5" x14ac:dyDescent="0.3">
      <c r="A297" s="1" t="d">
        <v>2024-07-22</v>
      </c>
      <c r="B297">
        <f t="shared" si="16"/>
        <v>2024</v>
      </c>
      <c r="C297">
        <f t="shared" si="17"/>
        <v>7</v>
      </c>
      <c r="D297" t="str">
        <f t="shared" si="18"/>
        <v>julho</v>
      </c>
      <c r="E297" t="str">
        <f t="shared" si="19"/>
        <v>2024-07</v>
      </c>
    </row>
    <row r="298" spans="1:5" x14ac:dyDescent="0.3">
      <c r="A298" s="1" t="d">
        <v>2024-07-23</v>
      </c>
      <c r="B298">
        <f t="shared" si="16"/>
        <v>2024</v>
      </c>
      <c r="C298">
        <f t="shared" si="17"/>
        <v>7</v>
      </c>
      <c r="D298" t="str">
        <f t="shared" si="18"/>
        <v>julho</v>
      </c>
      <c r="E298" t="str">
        <f t="shared" si="19"/>
        <v>2024-07</v>
      </c>
    </row>
    <row r="299" spans="1:5" x14ac:dyDescent="0.3">
      <c r="A299" s="1" t="d">
        <v>2024-07-24</v>
      </c>
      <c r="B299">
        <f t="shared" si="16"/>
        <v>2024</v>
      </c>
      <c r="C299">
        <f t="shared" si="17"/>
        <v>7</v>
      </c>
      <c r="D299" t="str">
        <f t="shared" si="18"/>
        <v>julho</v>
      </c>
      <c r="E299" t="str">
        <f t="shared" si="19"/>
        <v>2024-07</v>
      </c>
    </row>
    <row r="300" spans="1:5" x14ac:dyDescent="0.3">
      <c r="A300" s="1" t="d">
        <v>2024-07-25</v>
      </c>
      <c r="B300">
        <f t="shared" si="16"/>
        <v>2024</v>
      </c>
      <c r="C300">
        <f t="shared" si="17"/>
        <v>7</v>
      </c>
      <c r="D300" t="str">
        <f t="shared" si="18"/>
        <v>julho</v>
      </c>
      <c r="E300" t="str">
        <f t="shared" si="19"/>
        <v>2024-07</v>
      </c>
    </row>
    <row r="301" spans="1:5" x14ac:dyDescent="0.3">
      <c r="A301" s="1" t="d">
        <v>2024-07-26</v>
      </c>
      <c r="B301">
        <f t="shared" si="16"/>
        <v>2024</v>
      </c>
      <c r="C301">
        <f t="shared" si="17"/>
        <v>7</v>
      </c>
      <c r="D301" t="str">
        <f t="shared" si="18"/>
        <v>julho</v>
      </c>
      <c r="E301" t="str">
        <f t="shared" si="19"/>
        <v>2024-07</v>
      </c>
    </row>
    <row r="302" spans="1:5" x14ac:dyDescent="0.3">
      <c r="A302" s="1" t="d">
        <v>2024-07-27</v>
      </c>
      <c r="B302">
        <f t="shared" si="16"/>
        <v>2024</v>
      </c>
      <c r="C302">
        <f t="shared" si="17"/>
        <v>7</v>
      </c>
      <c r="D302" t="str">
        <f t="shared" si="18"/>
        <v>julho</v>
      </c>
      <c r="E302" t="str">
        <f t="shared" si="19"/>
        <v>2024-07</v>
      </c>
    </row>
    <row r="303" spans="1:5" x14ac:dyDescent="0.3">
      <c r="A303" s="1" t="d">
        <v>2024-07-28</v>
      </c>
      <c r="B303">
        <f t="shared" si="16"/>
        <v>2024</v>
      </c>
      <c r="C303">
        <f t="shared" si="17"/>
        <v>7</v>
      </c>
      <c r="D303" t="str">
        <f t="shared" si="18"/>
        <v>julho</v>
      </c>
      <c r="E303" t="str">
        <f t="shared" si="19"/>
        <v>2024-07</v>
      </c>
    </row>
    <row r="304" spans="1:5" x14ac:dyDescent="0.3">
      <c r="A304" s="1" t="d">
        <v>2024-07-29</v>
      </c>
      <c r="B304">
        <f t="shared" si="16"/>
        <v>2024</v>
      </c>
      <c r="C304">
        <f t="shared" si="17"/>
        <v>7</v>
      </c>
      <c r="D304" t="str">
        <f t="shared" si="18"/>
        <v>julho</v>
      </c>
      <c r="E304" t="str">
        <f t="shared" si="19"/>
        <v>2024-07</v>
      </c>
    </row>
    <row r="305" spans="1:5" x14ac:dyDescent="0.3">
      <c r="A305" s="1" t="d">
        <v>2024-07-30</v>
      </c>
      <c r="B305">
        <f t="shared" si="16"/>
        <v>2024</v>
      </c>
      <c r="C305">
        <f t="shared" si="17"/>
        <v>7</v>
      </c>
      <c r="D305" t="str">
        <f t="shared" si="18"/>
        <v>julho</v>
      </c>
      <c r="E305" t="str">
        <f t="shared" si="19"/>
        <v>2024-07</v>
      </c>
    </row>
    <row r="306" spans="1:5" x14ac:dyDescent="0.3">
      <c r="A306" s="1" t="d">
        <v>2024-07-31</v>
      </c>
      <c r="B306">
        <f t="shared" si="16"/>
        <v>2024</v>
      </c>
      <c r="C306">
        <f t="shared" si="17"/>
        <v>7</v>
      </c>
      <c r="D306" t="str">
        <f t="shared" si="18"/>
        <v>julho</v>
      </c>
      <c r="E306" t="str">
        <f t="shared" si="19"/>
        <v>2024-07</v>
      </c>
    </row>
    <row r="307" spans="1:5" x14ac:dyDescent="0.3">
      <c r="A307" s="1" t="d">
        <v>2024-08-01</v>
      </c>
      <c r="B307">
        <f t="shared" si="16"/>
        <v>2024</v>
      </c>
      <c r="C307">
        <f t="shared" si="17"/>
        <v>8</v>
      </c>
      <c r="D307" t="str">
        <f t="shared" si="18"/>
        <v>agosto</v>
      </c>
      <c r="E307" t="str">
        <f t="shared" si="19"/>
        <v>2024-08</v>
      </c>
    </row>
    <row r="308" spans="1:5" x14ac:dyDescent="0.3">
      <c r="A308" s="1" t="d">
        <v>2024-08-02</v>
      </c>
      <c r="B308">
        <f t="shared" si="16"/>
        <v>2024</v>
      </c>
      <c r="C308">
        <f t="shared" si="17"/>
        <v>8</v>
      </c>
      <c r="D308" t="str">
        <f t="shared" si="18"/>
        <v>agosto</v>
      </c>
      <c r="E308" t="str">
        <f t="shared" si="19"/>
        <v>2024-08</v>
      </c>
    </row>
    <row r="309" spans="1:5" x14ac:dyDescent="0.3">
      <c r="A309" s="1" t="d">
        <v>2024-08-03</v>
      </c>
      <c r="B309">
        <f t="shared" si="16"/>
        <v>2024</v>
      </c>
      <c r="C309">
        <f t="shared" si="17"/>
        <v>8</v>
      </c>
      <c r="D309" t="str">
        <f t="shared" si="18"/>
        <v>agosto</v>
      </c>
      <c r="E309" t="str">
        <f t="shared" si="19"/>
        <v>2024-08</v>
      </c>
    </row>
    <row r="310" spans="1:5" x14ac:dyDescent="0.3">
      <c r="A310" s="1" t="d">
        <v>2024-08-04</v>
      </c>
      <c r="B310">
        <f t="shared" si="16"/>
        <v>2024</v>
      </c>
      <c r="C310">
        <f t="shared" si="17"/>
        <v>8</v>
      </c>
      <c r="D310" t="str">
        <f t="shared" si="18"/>
        <v>agosto</v>
      </c>
      <c r="E310" t="str">
        <f t="shared" si="19"/>
        <v>2024-08</v>
      </c>
    </row>
    <row r="311" spans="1:5" x14ac:dyDescent="0.3">
      <c r="A311" s="1" t="d">
        <v>2024-08-05</v>
      </c>
      <c r="B311">
        <f t="shared" si="16"/>
        <v>2024</v>
      </c>
      <c r="C311">
        <f t="shared" si="17"/>
        <v>8</v>
      </c>
      <c r="D311" t="str">
        <f t="shared" si="18"/>
        <v>agosto</v>
      </c>
      <c r="E311" t="str">
        <f t="shared" si="19"/>
        <v>2024-08</v>
      </c>
    </row>
    <row r="312" spans="1:5" x14ac:dyDescent="0.3">
      <c r="A312" s="1" t="d">
        <v>2024-08-06</v>
      </c>
      <c r="B312">
        <f t="shared" si="16"/>
        <v>2024</v>
      </c>
      <c r="C312">
        <f t="shared" si="17"/>
        <v>8</v>
      </c>
      <c r="D312" t="str">
        <f t="shared" si="18"/>
        <v>agosto</v>
      </c>
      <c r="E312" t="str">
        <f t="shared" si="19"/>
        <v>2024-08</v>
      </c>
    </row>
    <row r="313" spans="1:5" x14ac:dyDescent="0.3">
      <c r="A313" s="1" t="d">
        <v>2024-08-07</v>
      </c>
      <c r="B313">
        <f t="shared" si="16"/>
        <v>2024</v>
      </c>
      <c r="C313">
        <f t="shared" si="17"/>
        <v>8</v>
      </c>
      <c r="D313" t="str">
        <f t="shared" si="18"/>
        <v>agosto</v>
      </c>
      <c r="E313" t="str">
        <f t="shared" si="19"/>
        <v>2024-08</v>
      </c>
    </row>
    <row r="314" spans="1:5" x14ac:dyDescent="0.3">
      <c r="A314" s="1" t="d">
        <v>2024-08-08</v>
      </c>
      <c r="B314">
        <f t="shared" si="16"/>
        <v>2024</v>
      </c>
      <c r="C314">
        <f t="shared" si="17"/>
        <v>8</v>
      </c>
      <c r="D314" t="str">
        <f t="shared" si="18"/>
        <v>agosto</v>
      </c>
      <c r="E314" t="str">
        <f t="shared" si="19"/>
        <v>2024-08</v>
      </c>
    </row>
    <row r="315" spans="1:5" x14ac:dyDescent="0.3">
      <c r="A315" s="1" t="d">
        <v>2024-08-09</v>
      </c>
      <c r="B315">
        <f t="shared" si="16"/>
        <v>2024</v>
      </c>
      <c r="C315">
        <f t="shared" si="17"/>
        <v>8</v>
      </c>
      <c r="D315" t="str">
        <f t="shared" si="18"/>
        <v>agosto</v>
      </c>
      <c r="E315" t="str">
        <f t="shared" si="19"/>
        <v>2024-08</v>
      </c>
    </row>
    <row r="316" spans="1:5" x14ac:dyDescent="0.3">
      <c r="A316" s="1" t="d">
        <v>2024-08-10</v>
      </c>
      <c r="B316">
        <f t="shared" si="16"/>
        <v>2024</v>
      </c>
      <c r="C316">
        <f t="shared" si="17"/>
        <v>8</v>
      </c>
      <c r="D316" t="str">
        <f t="shared" si="18"/>
        <v>agosto</v>
      </c>
      <c r="E316" t="str">
        <f t="shared" si="19"/>
        <v>2024-08</v>
      </c>
    </row>
    <row r="317" spans="1:5" x14ac:dyDescent="0.3">
      <c r="A317" s="1" t="d">
        <v>2024-08-11</v>
      </c>
      <c r="B317">
        <f t="shared" si="16"/>
        <v>2024</v>
      </c>
      <c r="C317">
        <f t="shared" si="17"/>
        <v>8</v>
      </c>
      <c r="D317" t="str">
        <f t="shared" si="18"/>
        <v>agosto</v>
      </c>
      <c r="E317" t="str">
        <f t="shared" si="19"/>
        <v>2024-08</v>
      </c>
    </row>
    <row r="318" spans="1:5" x14ac:dyDescent="0.3">
      <c r="A318" s="1" t="d">
        <v>2024-08-12</v>
      </c>
      <c r="B318">
        <f t="shared" si="16"/>
        <v>2024</v>
      </c>
      <c r="C318">
        <f t="shared" si="17"/>
        <v>8</v>
      </c>
      <c r="D318" t="str">
        <f t="shared" si="18"/>
        <v>agosto</v>
      </c>
      <c r="E318" t="str">
        <f t="shared" si="19"/>
        <v>2024-08</v>
      </c>
    </row>
    <row r="319" spans="1:5" x14ac:dyDescent="0.3">
      <c r="A319" s="1" t="d">
        <v>2024-08-13</v>
      </c>
      <c r="B319">
        <f t="shared" si="16"/>
        <v>2024</v>
      </c>
      <c r="C319">
        <f t="shared" si="17"/>
        <v>8</v>
      </c>
      <c r="D319" t="str">
        <f t="shared" si="18"/>
        <v>agosto</v>
      </c>
      <c r="E319" t="str">
        <f t="shared" si="19"/>
        <v>2024-08</v>
      </c>
    </row>
    <row r="320" spans="1:5" x14ac:dyDescent="0.3">
      <c r="A320" s="1" t="d">
        <v>2024-08-14</v>
      </c>
      <c r="B320">
        <f t="shared" si="16"/>
        <v>2024</v>
      </c>
      <c r="C320">
        <f t="shared" si="17"/>
        <v>8</v>
      </c>
      <c r="D320" t="str">
        <f t="shared" si="18"/>
        <v>agosto</v>
      </c>
      <c r="E320" t="str">
        <f t="shared" si="19"/>
        <v>2024-08</v>
      </c>
    </row>
    <row r="321" spans="1:5" x14ac:dyDescent="0.3">
      <c r="A321" s="1" t="d">
        <v>2024-08-15</v>
      </c>
      <c r="B321">
        <f t="shared" si="16"/>
        <v>2024</v>
      </c>
      <c r="C321">
        <f t="shared" si="17"/>
        <v>8</v>
      </c>
      <c r="D321" t="str">
        <f t="shared" si="18"/>
        <v>agosto</v>
      </c>
      <c r="E321" t="str">
        <f t="shared" si="19"/>
        <v>2024-08</v>
      </c>
    </row>
    <row r="322" spans="1:5" x14ac:dyDescent="0.3">
      <c r="A322" s="1" t="d">
        <v>2024-08-16</v>
      </c>
      <c r="B322">
        <f t="shared" si="16"/>
        <v>2024</v>
      </c>
      <c r="C322">
        <f t="shared" si="17"/>
        <v>8</v>
      </c>
      <c r="D322" t="str">
        <f t="shared" si="18"/>
        <v>agosto</v>
      </c>
      <c r="E322" t="str">
        <f t="shared" si="19"/>
        <v>2024-08</v>
      </c>
    </row>
    <row r="323" spans="1:5" x14ac:dyDescent="0.3">
      <c r="A323" s="1" t="d">
        <v>2024-08-17</v>
      </c>
      <c r="B323">
        <f t="shared" ref="B323:B386" si="20">YEAR(A323)</f>
        <v>2024</v>
      </c>
      <c r="C323">
        <f t="shared" ref="C323:C386" si="21">MONTH(A323)</f>
        <v>8</v>
      </c>
      <c r="D323" t="str">
        <f t="shared" ref="D323:D386" si="22">TEXT(A323, "mmmm")</f>
        <v>agosto</v>
      </c>
      <c r="E323" t="str">
        <f t="shared" ref="E323:E386" si="23">TEXT(A323, "aaaa-mm")</f>
        <v>2024-08</v>
      </c>
    </row>
    <row r="324" spans="1:5" x14ac:dyDescent="0.3">
      <c r="A324" s="1" t="d">
        <v>2024-08-18</v>
      </c>
      <c r="B324">
        <f t="shared" si="20"/>
        <v>2024</v>
      </c>
      <c r="C324">
        <f t="shared" si="21"/>
        <v>8</v>
      </c>
      <c r="D324" t="str">
        <f t="shared" si="22"/>
        <v>agosto</v>
      </c>
      <c r="E324" t="str">
        <f t="shared" si="23"/>
        <v>2024-08</v>
      </c>
    </row>
    <row r="325" spans="1:5" x14ac:dyDescent="0.3">
      <c r="A325" s="1" t="d">
        <v>2024-08-19</v>
      </c>
      <c r="B325">
        <f t="shared" si="20"/>
        <v>2024</v>
      </c>
      <c r="C325">
        <f t="shared" si="21"/>
        <v>8</v>
      </c>
      <c r="D325" t="str">
        <f t="shared" si="22"/>
        <v>agosto</v>
      </c>
      <c r="E325" t="str">
        <f t="shared" si="23"/>
        <v>2024-08</v>
      </c>
    </row>
    <row r="326" spans="1:5" x14ac:dyDescent="0.3">
      <c r="A326" s="1" t="d">
        <v>2024-08-20</v>
      </c>
      <c r="B326">
        <f t="shared" si="20"/>
        <v>2024</v>
      </c>
      <c r="C326">
        <f t="shared" si="21"/>
        <v>8</v>
      </c>
      <c r="D326" t="str">
        <f t="shared" si="22"/>
        <v>agosto</v>
      </c>
      <c r="E326" t="str">
        <f t="shared" si="23"/>
        <v>2024-08</v>
      </c>
    </row>
    <row r="327" spans="1:5" x14ac:dyDescent="0.3">
      <c r="A327" s="1" t="d">
        <v>2024-08-21</v>
      </c>
      <c r="B327">
        <f t="shared" si="20"/>
        <v>2024</v>
      </c>
      <c r="C327">
        <f t="shared" si="21"/>
        <v>8</v>
      </c>
      <c r="D327" t="str">
        <f t="shared" si="22"/>
        <v>agosto</v>
      </c>
      <c r="E327" t="str">
        <f t="shared" si="23"/>
        <v>2024-08</v>
      </c>
    </row>
    <row r="328" spans="1:5" x14ac:dyDescent="0.3">
      <c r="A328" s="1" t="d">
        <v>2024-08-22</v>
      </c>
      <c r="B328">
        <f t="shared" si="20"/>
        <v>2024</v>
      </c>
      <c r="C328">
        <f t="shared" si="21"/>
        <v>8</v>
      </c>
      <c r="D328" t="str">
        <f t="shared" si="22"/>
        <v>agosto</v>
      </c>
      <c r="E328" t="str">
        <f t="shared" si="23"/>
        <v>2024-08</v>
      </c>
    </row>
    <row r="329" spans="1:5" x14ac:dyDescent="0.3">
      <c r="A329" s="1" t="d">
        <v>2024-08-23</v>
      </c>
      <c r="B329">
        <f t="shared" si="20"/>
        <v>2024</v>
      </c>
      <c r="C329">
        <f t="shared" si="21"/>
        <v>8</v>
      </c>
      <c r="D329" t="str">
        <f t="shared" si="22"/>
        <v>agosto</v>
      </c>
      <c r="E329" t="str">
        <f t="shared" si="23"/>
        <v>2024-08</v>
      </c>
    </row>
    <row r="330" spans="1:5" x14ac:dyDescent="0.3">
      <c r="A330" s="1" t="d">
        <v>2024-08-24</v>
      </c>
      <c r="B330">
        <f t="shared" si="20"/>
        <v>2024</v>
      </c>
      <c r="C330">
        <f t="shared" si="21"/>
        <v>8</v>
      </c>
      <c r="D330" t="str">
        <f t="shared" si="22"/>
        <v>agosto</v>
      </c>
      <c r="E330" t="str">
        <f t="shared" si="23"/>
        <v>2024-08</v>
      </c>
    </row>
    <row r="331" spans="1:5" x14ac:dyDescent="0.3">
      <c r="A331" s="1" t="d">
        <v>2024-08-25</v>
      </c>
      <c r="B331">
        <f t="shared" si="20"/>
        <v>2024</v>
      </c>
      <c r="C331">
        <f t="shared" si="21"/>
        <v>8</v>
      </c>
      <c r="D331" t="str">
        <f t="shared" si="22"/>
        <v>agosto</v>
      </c>
      <c r="E331" t="str">
        <f t="shared" si="23"/>
        <v>2024-08</v>
      </c>
    </row>
    <row r="332" spans="1:5" x14ac:dyDescent="0.3">
      <c r="A332" s="1" t="d">
        <v>2024-08-26</v>
      </c>
      <c r="B332">
        <f t="shared" si="20"/>
        <v>2024</v>
      </c>
      <c r="C332">
        <f t="shared" si="21"/>
        <v>8</v>
      </c>
      <c r="D332" t="str">
        <f t="shared" si="22"/>
        <v>agosto</v>
      </c>
      <c r="E332" t="str">
        <f t="shared" si="23"/>
        <v>2024-08</v>
      </c>
    </row>
    <row r="333" spans="1:5" x14ac:dyDescent="0.3">
      <c r="A333" s="1" t="d">
        <v>2024-08-27</v>
      </c>
      <c r="B333">
        <f t="shared" si="20"/>
        <v>2024</v>
      </c>
      <c r="C333">
        <f t="shared" si="21"/>
        <v>8</v>
      </c>
      <c r="D333" t="str">
        <f t="shared" si="22"/>
        <v>agosto</v>
      </c>
      <c r="E333" t="str">
        <f t="shared" si="23"/>
        <v>2024-08</v>
      </c>
    </row>
    <row r="334" spans="1:5" x14ac:dyDescent="0.3">
      <c r="A334" s="1" t="d">
        <v>2024-08-28</v>
      </c>
      <c r="B334">
        <f t="shared" si="20"/>
        <v>2024</v>
      </c>
      <c r="C334">
        <f t="shared" si="21"/>
        <v>8</v>
      </c>
      <c r="D334" t="str">
        <f t="shared" si="22"/>
        <v>agosto</v>
      </c>
      <c r="E334" t="str">
        <f t="shared" si="23"/>
        <v>2024-08</v>
      </c>
    </row>
    <row r="335" spans="1:5" x14ac:dyDescent="0.3">
      <c r="A335" s="1" t="d">
        <v>2024-08-29</v>
      </c>
      <c r="B335">
        <f t="shared" si="20"/>
        <v>2024</v>
      </c>
      <c r="C335">
        <f t="shared" si="21"/>
        <v>8</v>
      </c>
      <c r="D335" t="str">
        <f t="shared" si="22"/>
        <v>agosto</v>
      </c>
      <c r="E335" t="str">
        <f t="shared" si="23"/>
        <v>2024-08</v>
      </c>
    </row>
    <row r="336" spans="1:5" x14ac:dyDescent="0.3">
      <c r="A336" s="1" t="d">
        <v>2024-08-30</v>
      </c>
      <c r="B336">
        <f t="shared" si="20"/>
        <v>2024</v>
      </c>
      <c r="C336">
        <f t="shared" si="21"/>
        <v>8</v>
      </c>
      <c r="D336" t="str">
        <f t="shared" si="22"/>
        <v>agosto</v>
      </c>
      <c r="E336" t="str">
        <f t="shared" si="23"/>
        <v>2024-08</v>
      </c>
    </row>
    <row r="337" spans="1:5" x14ac:dyDescent="0.3">
      <c r="A337" s="1" t="d">
        <v>2024-08-31</v>
      </c>
      <c r="B337">
        <f t="shared" si="20"/>
        <v>2024</v>
      </c>
      <c r="C337">
        <f t="shared" si="21"/>
        <v>8</v>
      </c>
      <c r="D337" t="str">
        <f t="shared" si="22"/>
        <v>agosto</v>
      </c>
      <c r="E337" t="str">
        <f t="shared" si="23"/>
        <v>2024-08</v>
      </c>
    </row>
    <row r="338" spans="1:5" x14ac:dyDescent="0.3">
      <c r="A338" s="1" t="d">
        <v>2024-09-01</v>
      </c>
      <c r="B338">
        <f t="shared" si="20"/>
        <v>2024</v>
      </c>
      <c r="C338">
        <f t="shared" si="21"/>
        <v>9</v>
      </c>
      <c r="D338" t="str">
        <f t="shared" si="22"/>
        <v>setembro</v>
      </c>
      <c r="E338" t="str">
        <f t="shared" si="23"/>
        <v>2024-09</v>
      </c>
    </row>
    <row r="339" spans="1:5" x14ac:dyDescent="0.3">
      <c r="A339" s="1" t="d">
        <v>2024-09-02</v>
      </c>
      <c r="B339">
        <f t="shared" si="20"/>
        <v>2024</v>
      </c>
      <c r="C339">
        <f t="shared" si="21"/>
        <v>9</v>
      </c>
      <c r="D339" t="str">
        <f t="shared" si="22"/>
        <v>setembro</v>
      </c>
      <c r="E339" t="str">
        <f t="shared" si="23"/>
        <v>2024-09</v>
      </c>
    </row>
    <row r="340" spans="1:5" x14ac:dyDescent="0.3">
      <c r="A340" s="1" t="d">
        <v>2024-09-03</v>
      </c>
      <c r="B340">
        <f t="shared" si="20"/>
        <v>2024</v>
      </c>
      <c r="C340">
        <f t="shared" si="21"/>
        <v>9</v>
      </c>
      <c r="D340" t="str">
        <f t="shared" si="22"/>
        <v>setembro</v>
      </c>
      <c r="E340" t="str">
        <f t="shared" si="23"/>
        <v>2024-09</v>
      </c>
    </row>
    <row r="341" spans="1:5" x14ac:dyDescent="0.3">
      <c r="A341" s="1" t="d">
        <v>2024-09-04</v>
      </c>
      <c r="B341">
        <f t="shared" si="20"/>
        <v>2024</v>
      </c>
      <c r="C341">
        <f t="shared" si="21"/>
        <v>9</v>
      </c>
      <c r="D341" t="str">
        <f t="shared" si="22"/>
        <v>setembro</v>
      </c>
      <c r="E341" t="str">
        <f t="shared" si="23"/>
        <v>2024-09</v>
      </c>
    </row>
    <row r="342" spans="1:5" x14ac:dyDescent="0.3">
      <c r="A342" s="1" t="d">
        <v>2024-09-05</v>
      </c>
      <c r="B342">
        <f t="shared" si="20"/>
        <v>2024</v>
      </c>
      <c r="C342">
        <f t="shared" si="21"/>
        <v>9</v>
      </c>
      <c r="D342" t="str">
        <f t="shared" si="22"/>
        <v>setembro</v>
      </c>
      <c r="E342" t="str">
        <f t="shared" si="23"/>
        <v>2024-09</v>
      </c>
    </row>
    <row r="343" spans="1:5" x14ac:dyDescent="0.3">
      <c r="A343" s="1" t="d">
        <v>2024-09-06</v>
      </c>
      <c r="B343">
        <f t="shared" si="20"/>
        <v>2024</v>
      </c>
      <c r="C343">
        <f t="shared" si="21"/>
        <v>9</v>
      </c>
      <c r="D343" t="str">
        <f t="shared" si="22"/>
        <v>setembro</v>
      </c>
      <c r="E343" t="str">
        <f t="shared" si="23"/>
        <v>2024-09</v>
      </c>
    </row>
    <row r="344" spans="1:5" x14ac:dyDescent="0.3">
      <c r="A344" s="1" t="d">
        <v>2024-09-07</v>
      </c>
      <c r="B344">
        <f t="shared" si="20"/>
        <v>2024</v>
      </c>
      <c r="C344">
        <f t="shared" si="21"/>
        <v>9</v>
      </c>
      <c r="D344" t="str">
        <f t="shared" si="22"/>
        <v>setembro</v>
      </c>
      <c r="E344" t="str">
        <f t="shared" si="23"/>
        <v>2024-09</v>
      </c>
    </row>
    <row r="345" spans="1:5" x14ac:dyDescent="0.3">
      <c r="A345" s="1" t="d">
        <v>2024-09-08</v>
      </c>
      <c r="B345">
        <f t="shared" si="20"/>
        <v>2024</v>
      </c>
      <c r="C345">
        <f t="shared" si="21"/>
        <v>9</v>
      </c>
      <c r="D345" t="str">
        <f t="shared" si="22"/>
        <v>setembro</v>
      </c>
      <c r="E345" t="str">
        <f t="shared" si="23"/>
        <v>2024-09</v>
      </c>
    </row>
    <row r="346" spans="1:5" x14ac:dyDescent="0.3">
      <c r="A346" s="1" t="d">
        <v>2024-09-09</v>
      </c>
      <c r="B346">
        <f t="shared" si="20"/>
        <v>2024</v>
      </c>
      <c r="C346">
        <f t="shared" si="21"/>
        <v>9</v>
      </c>
      <c r="D346" t="str">
        <f t="shared" si="22"/>
        <v>setembro</v>
      </c>
      <c r="E346" t="str">
        <f t="shared" si="23"/>
        <v>2024-09</v>
      </c>
    </row>
    <row r="347" spans="1:5" x14ac:dyDescent="0.3">
      <c r="A347" s="1" t="d">
        <v>2024-09-10</v>
      </c>
      <c r="B347">
        <f t="shared" si="20"/>
        <v>2024</v>
      </c>
      <c r="C347">
        <f t="shared" si="21"/>
        <v>9</v>
      </c>
      <c r="D347" t="str">
        <f t="shared" si="22"/>
        <v>setembro</v>
      </c>
      <c r="E347" t="str">
        <f t="shared" si="23"/>
        <v>2024-09</v>
      </c>
    </row>
    <row r="348" spans="1:5" x14ac:dyDescent="0.3">
      <c r="A348" s="1" t="d">
        <v>2024-09-11</v>
      </c>
      <c r="B348">
        <f t="shared" si="20"/>
        <v>2024</v>
      </c>
      <c r="C348">
        <f t="shared" si="21"/>
        <v>9</v>
      </c>
      <c r="D348" t="str">
        <f t="shared" si="22"/>
        <v>setembro</v>
      </c>
      <c r="E348" t="str">
        <f t="shared" si="23"/>
        <v>2024-09</v>
      </c>
    </row>
    <row r="349" spans="1:5" x14ac:dyDescent="0.3">
      <c r="A349" s="1" t="d">
        <v>2024-09-12</v>
      </c>
      <c r="B349">
        <f t="shared" si="20"/>
        <v>2024</v>
      </c>
      <c r="C349">
        <f t="shared" si="21"/>
        <v>9</v>
      </c>
      <c r="D349" t="str">
        <f t="shared" si="22"/>
        <v>setembro</v>
      </c>
      <c r="E349" t="str">
        <f t="shared" si="23"/>
        <v>2024-09</v>
      </c>
    </row>
    <row r="350" spans="1:5" x14ac:dyDescent="0.3">
      <c r="A350" s="1" t="d">
        <v>2024-09-13</v>
      </c>
      <c r="B350">
        <f t="shared" si="20"/>
        <v>2024</v>
      </c>
      <c r="C350">
        <f t="shared" si="21"/>
        <v>9</v>
      </c>
      <c r="D350" t="str">
        <f t="shared" si="22"/>
        <v>setembro</v>
      </c>
      <c r="E350" t="str">
        <f t="shared" si="23"/>
        <v>2024-09</v>
      </c>
    </row>
    <row r="351" spans="1:5" x14ac:dyDescent="0.3">
      <c r="A351" s="1" t="d">
        <v>2024-09-14</v>
      </c>
      <c r="B351">
        <f t="shared" si="20"/>
        <v>2024</v>
      </c>
      <c r="C351">
        <f t="shared" si="21"/>
        <v>9</v>
      </c>
      <c r="D351" t="str">
        <f t="shared" si="22"/>
        <v>setembro</v>
      </c>
      <c r="E351" t="str">
        <f t="shared" si="23"/>
        <v>2024-09</v>
      </c>
    </row>
    <row r="352" spans="1:5" x14ac:dyDescent="0.3">
      <c r="A352" s="1" t="d">
        <v>2024-09-15</v>
      </c>
      <c r="B352">
        <f t="shared" si="20"/>
        <v>2024</v>
      </c>
      <c r="C352">
        <f t="shared" si="21"/>
        <v>9</v>
      </c>
      <c r="D352" t="str">
        <f t="shared" si="22"/>
        <v>setembro</v>
      </c>
      <c r="E352" t="str">
        <f t="shared" si="23"/>
        <v>2024-09</v>
      </c>
    </row>
    <row r="353" spans="1:5" x14ac:dyDescent="0.3">
      <c r="A353" s="1" t="d">
        <v>2024-09-16</v>
      </c>
      <c r="B353">
        <f t="shared" si="20"/>
        <v>2024</v>
      </c>
      <c r="C353">
        <f t="shared" si="21"/>
        <v>9</v>
      </c>
      <c r="D353" t="str">
        <f t="shared" si="22"/>
        <v>setembro</v>
      </c>
      <c r="E353" t="str">
        <f t="shared" si="23"/>
        <v>2024-09</v>
      </c>
    </row>
    <row r="354" spans="1:5" x14ac:dyDescent="0.3">
      <c r="A354" s="1" t="d">
        <v>2024-09-17</v>
      </c>
      <c r="B354">
        <f t="shared" si="20"/>
        <v>2024</v>
      </c>
      <c r="C354">
        <f t="shared" si="21"/>
        <v>9</v>
      </c>
      <c r="D354" t="str">
        <f t="shared" si="22"/>
        <v>setembro</v>
      </c>
      <c r="E354" t="str">
        <f t="shared" si="23"/>
        <v>2024-09</v>
      </c>
    </row>
    <row r="355" spans="1:5" x14ac:dyDescent="0.3">
      <c r="A355" s="1" t="d">
        <v>2024-09-18</v>
      </c>
      <c r="B355">
        <f t="shared" si="20"/>
        <v>2024</v>
      </c>
      <c r="C355">
        <f t="shared" si="21"/>
        <v>9</v>
      </c>
      <c r="D355" t="str">
        <f t="shared" si="22"/>
        <v>setembro</v>
      </c>
      <c r="E355" t="str">
        <f t="shared" si="23"/>
        <v>2024-09</v>
      </c>
    </row>
    <row r="356" spans="1:5" x14ac:dyDescent="0.3">
      <c r="A356" s="1" t="d">
        <v>2024-09-19</v>
      </c>
      <c r="B356">
        <f t="shared" si="20"/>
        <v>2024</v>
      </c>
      <c r="C356">
        <f t="shared" si="21"/>
        <v>9</v>
      </c>
      <c r="D356" t="str">
        <f t="shared" si="22"/>
        <v>setembro</v>
      </c>
      <c r="E356" t="str">
        <f t="shared" si="23"/>
        <v>2024-09</v>
      </c>
    </row>
    <row r="357" spans="1:5" x14ac:dyDescent="0.3">
      <c r="A357" s="1" t="d">
        <v>2024-09-20</v>
      </c>
      <c r="B357">
        <f t="shared" si="20"/>
        <v>2024</v>
      </c>
      <c r="C357">
        <f t="shared" si="21"/>
        <v>9</v>
      </c>
      <c r="D357" t="str">
        <f t="shared" si="22"/>
        <v>setembro</v>
      </c>
      <c r="E357" t="str">
        <f t="shared" si="23"/>
        <v>2024-09</v>
      </c>
    </row>
    <row r="358" spans="1:5" x14ac:dyDescent="0.3">
      <c r="A358" s="1" t="d">
        <v>2024-09-21</v>
      </c>
      <c r="B358">
        <f t="shared" si="20"/>
        <v>2024</v>
      </c>
      <c r="C358">
        <f t="shared" si="21"/>
        <v>9</v>
      </c>
      <c r="D358" t="str">
        <f t="shared" si="22"/>
        <v>setembro</v>
      </c>
      <c r="E358" t="str">
        <f t="shared" si="23"/>
        <v>2024-09</v>
      </c>
    </row>
    <row r="359" spans="1:5" x14ac:dyDescent="0.3">
      <c r="A359" s="1" t="d">
        <v>2024-09-22</v>
      </c>
      <c r="B359">
        <f t="shared" si="20"/>
        <v>2024</v>
      </c>
      <c r="C359">
        <f t="shared" si="21"/>
        <v>9</v>
      </c>
      <c r="D359" t="str">
        <f t="shared" si="22"/>
        <v>setembro</v>
      </c>
      <c r="E359" t="str">
        <f t="shared" si="23"/>
        <v>2024-09</v>
      </c>
    </row>
    <row r="360" spans="1:5" x14ac:dyDescent="0.3">
      <c r="A360" s="1" t="d">
        <v>2024-09-23</v>
      </c>
      <c r="B360">
        <f t="shared" si="20"/>
        <v>2024</v>
      </c>
      <c r="C360">
        <f t="shared" si="21"/>
        <v>9</v>
      </c>
      <c r="D360" t="str">
        <f t="shared" si="22"/>
        <v>setembro</v>
      </c>
      <c r="E360" t="str">
        <f t="shared" si="23"/>
        <v>2024-09</v>
      </c>
    </row>
    <row r="361" spans="1:5" x14ac:dyDescent="0.3">
      <c r="A361" s="1" t="d">
        <v>2024-09-24</v>
      </c>
      <c r="B361">
        <f t="shared" si="20"/>
        <v>2024</v>
      </c>
      <c r="C361">
        <f t="shared" si="21"/>
        <v>9</v>
      </c>
      <c r="D361" t="str">
        <f t="shared" si="22"/>
        <v>setembro</v>
      </c>
      <c r="E361" t="str">
        <f t="shared" si="23"/>
        <v>2024-09</v>
      </c>
    </row>
    <row r="362" spans="1:5" x14ac:dyDescent="0.3">
      <c r="A362" s="1" t="d">
        <v>2024-09-25</v>
      </c>
      <c r="B362">
        <f t="shared" si="20"/>
        <v>2024</v>
      </c>
      <c r="C362">
        <f t="shared" si="21"/>
        <v>9</v>
      </c>
      <c r="D362" t="str">
        <f t="shared" si="22"/>
        <v>setembro</v>
      </c>
      <c r="E362" t="str">
        <f t="shared" si="23"/>
        <v>2024-09</v>
      </c>
    </row>
    <row r="363" spans="1:5" x14ac:dyDescent="0.3">
      <c r="A363" s="1" t="d">
        <v>2024-09-26</v>
      </c>
      <c r="B363">
        <f t="shared" si="20"/>
        <v>2024</v>
      </c>
      <c r="C363">
        <f t="shared" si="21"/>
        <v>9</v>
      </c>
      <c r="D363" t="str">
        <f t="shared" si="22"/>
        <v>setembro</v>
      </c>
      <c r="E363" t="str">
        <f t="shared" si="23"/>
        <v>2024-09</v>
      </c>
    </row>
    <row r="364" spans="1:5" x14ac:dyDescent="0.3">
      <c r="A364" s="1" t="d">
        <v>2024-09-27</v>
      </c>
      <c r="B364">
        <f t="shared" si="20"/>
        <v>2024</v>
      </c>
      <c r="C364">
        <f t="shared" si="21"/>
        <v>9</v>
      </c>
      <c r="D364" t="str">
        <f t="shared" si="22"/>
        <v>setembro</v>
      </c>
      <c r="E364" t="str">
        <f t="shared" si="23"/>
        <v>2024-09</v>
      </c>
    </row>
    <row r="365" spans="1:5" x14ac:dyDescent="0.3">
      <c r="A365" s="1" t="d">
        <v>2024-09-28</v>
      </c>
      <c r="B365">
        <f t="shared" si="20"/>
        <v>2024</v>
      </c>
      <c r="C365">
        <f t="shared" si="21"/>
        <v>9</v>
      </c>
      <c r="D365" t="str">
        <f t="shared" si="22"/>
        <v>setembro</v>
      </c>
      <c r="E365" t="str">
        <f t="shared" si="23"/>
        <v>2024-09</v>
      </c>
    </row>
    <row r="366" spans="1:5" x14ac:dyDescent="0.3">
      <c r="A366" s="1" t="d">
        <v>2024-09-29</v>
      </c>
      <c r="B366">
        <f t="shared" si="20"/>
        <v>2024</v>
      </c>
      <c r="C366">
        <f t="shared" si="21"/>
        <v>9</v>
      </c>
      <c r="D366" t="str">
        <f t="shared" si="22"/>
        <v>setembro</v>
      </c>
      <c r="E366" t="str">
        <f t="shared" si="23"/>
        <v>2024-09</v>
      </c>
    </row>
    <row r="367" spans="1:5" x14ac:dyDescent="0.3">
      <c r="A367" s="1" t="d">
        <v>2024-09-30</v>
      </c>
      <c r="B367">
        <f t="shared" si="20"/>
        <v>2024</v>
      </c>
      <c r="C367">
        <f t="shared" si="21"/>
        <v>9</v>
      </c>
      <c r="D367" t="str">
        <f t="shared" si="22"/>
        <v>setembro</v>
      </c>
      <c r="E367" t="str">
        <f t="shared" si="23"/>
        <v>2024-09</v>
      </c>
    </row>
    <row r="368" spans="1:5" x14ac:dyDescent="0.3">
      <c r="A368" s="1" t="d">
        <v>2024-10-01</v>
      </c>
      <c r="B368">
        <f t="shared" si="20"/>
        <v>2024</v>
      </c>
      <c r="C368">
        <f t="shared" si="21"/>
        <v>10</v>
      </c>
      <c r="D368" t="str">
        <f t="shared" si="22"/>
        <v>outubro</v>
      </c>
      <c r="E368" t="str">
        <f t="shared" si="23"/>
        <v>2024-10</v>
      </c>
    </row>
    <row r="369" spans="1:5" x14ac:dyDescent="0.3">
      <c r="A369" s="1" t="d">
        <v>2024-10-02</v>
      </c>
      <c r="B369">
        <f t="shared" si="20"/>
        <v>2024</v>
      </c>
      <c r="C369">
        <f t="shared" si="21"/>
        <v>10</v>
      </c>
      <c r="D369" t="str">
        <f t="shared" si="22"/>
        <v>outubro</v>
      </c>
      <c r="E369" t="str">
        <f t="shared" si="23"/>
        <v>2024-10</v>
      </c>
    </row>
    <row r="370" spans="1:5" x14ac:dyDescent="0.3">
      <c r="A370" s="1" t="d">
        <v>2024-10-03</v>
      </c>
      <c r="B370">
        <f t="shared" si="20"/>
        <v>2024</v>
      </c>
      <c r="C370">
        <f t="shared" si="21"/>
        <v>10</v>
      </c>
      <c r="D370" t="str">
        <f t="shared" si="22"/>
        <v>outubro</v>
      </c>
      <c r="E370" t="str">
        <f t="shared" si="23"/>
        <v>2024-10</v>
      </c>
    </row>
    <row r="371" spans="1:5" x14ac:dyDescent="0.3">
      <c r="A371" s="1" t="d">
        <v>2024-10-04</v>
      </c>
      <c r="B371">
        <f t="shared" si="20"/>
        <v>2024</v>
      </c>
      <c r="C371">
        <f t="shared" si="21"/>
        <v>10</v>
      </c>
      <c r="D371" t="str">
        <f t="shared" si="22"/>
        <v>outubro</v>
      </c>
      <c r="E371" t="str">
        <f t="shared" si="23"/>
        <v>2024-10</v>
      </c>
    </row>
    <row r="372" spans="1:5" x14ac:dyDescent="0.3">
      <c r="A372" s="1" t="d">
        <v>2024-10-05</v>
      </c>
      <c r="B372">
        <f t="shared" si="20"/>
        <v>2024</v>
      </c>
      <c r="C372">
        <f t="shared" si="21"/>
        <v>10</v>
      </c>
      <c r="D372" t="str">
        <f t="shared" si="22"/>
        <v>outubro</v>
      </c>
      <c r="E372" t="str">
        <f t="shared" si="23"/>
        <v>2024-10</v>
      </c>
    </row>
    <row r="373" spans="1:5" x14ac:dyDescent="0.3">
      <c r="A373" s="1" t="d">
        <v>2024-10-06</v>
      </c>
      <c r="B373">
        <f t="shared" si="20"/>
        <v>2024</v>
      </c>
      <c r="C373">
        <f t="shared" si="21"/>
        <v>10</v>
      </c>
      <c r="D373" t="str">
        <f t="shared" si="22"/>
        <v>outubro</v>
      </c>
      <c r="E373" t="str">
        <f t="shared" si="23"/>
        <v>2024-10</v>
      </c>
    </row>
    <row r="374" spans="1:5" x14ac:dyDescent="0.3">
      <c r="A374" s="1" t="d">
        <v>2024-10-07</v>
      </c>
      <c r="B374">
        <f t="shared" si="20"/>
        <v>2024</v>
      </c>
      <c r="C374">
        <f t="shared" si="21"/>
        <v>10</v>
      </c>
      <c r="D374" t="str">
        <f t="shared" si="22"/>
        <v>outubro</v>
      </c>
      <c r="E374" t="str">
        <f t="shared" si="23"/>
        <v>2024-10</v>
      </c>
    </row>
    <row r="375" spans="1:5" x14ac:dyDescent="0.3">
      <c r="A375" s="1" t="d">
        <v>2024-10-08</v>
      </c>
      <c r="B375">
        <f t="shared" si="20"/>
        <v>2024</v>
      </c>
      <c r="C375">
        <f t="shared" si="21"/>
        <v>10</v>
      </c>
      <c r="D375" t="str">
        <f t="shared" si="22"/>
        <v>outubro</v>
      </c>
      <c r="E375" t="str">
        <f t="shared" si="23"/>
        <v>2024-10</v>
      </c>
    </row>
    <row r="376" spans="1:5" x14ac:dyDescent="0.3">
      <c r="A376" s="1" t="d">
        <v>2024-10-09</v>
      </c>
      <c r="B376">
        <f t="shared" si="20"/>
        <v>2024</v>
      </c>
      <c r="C376">
        <f t="shared" si="21"/>
        <v>10</v>
      </c>
      <c r="D376" t="str">
        <f t="shared" si="22"/>
        <v>outubro</v>
      </c>
      <c r="E376" t="str">
        <f t="shared" si="23"/>
        <v>2024-10</v>
      </c>
    </row>
    <row r="377" spans="1:5" x14ac:dyDescent="0.3">
      <c r="A377" s="1" t="d">
        <v>2024-10-10</v>
      </c>
      <c r="B377">
        <f t="shared" si="20"/>
        <v>2024</v>
      </c>
      <c r="C377">
        <f t="shared" si="21"/>
        <v>10</v>
      </c>
      <c r="D377" t="str">
        <f t="shared" si="22"/>
        <v>outubro</v>
      </c>
      <c r="E377" t="str">
        <f t="shared" si="23"/>
        <v>2024-10</v>
      </c>
    </row>
    <row r="378" spans="1:5" x14ac:dyDescent="0.3">
      <c r="A378" s="1" t="d">
        <v>2024-10-11</v>
      </c>
      <c r="B378">
        <f t="shared" si="20"/>
        <v>2024</v>
      </c>
      <c r="C378">
        <f t="shared" si="21"/>
        <v>10</v>
      </c>
      <c r="D378" t="str">
        <f t="shared" si="22"/>
        <v>outubro</v>
      </c>
      <c r="E378" t="str">
        <f t="shared" si="23"/>
        <v>2024-10</v>
      </c>
    </row>
    <row r="379" spans="1:5" x14ac:dyDescent="0.3">
      <c r="A379" s="1" t="d">
        <v>2024-10-12</v>
      </c>
      <c r="B379">
        <f t="shared" si="20"/>
        <v>2024</v>
      </c>
      <c r="C379">
        <f t="shared" si="21"/>
        <v>10</v>
      </c>
      <c r="D379" t="str">
        <f t="shared" si="22"/>
        <v>outubro</v>
      </c>
      <c r="E379" t="str">
        <f t="shared" si="23"/>
        <v>2024-10</v>
      </c>
    </row>
    <row r="380" spans="1:5" x14ac:dyDescent="0.3">
      <c r="A380" s="1" t="d">
        <v>2024-10-13</v>
      </c>
      <c r="B380">
        <f t="shared" si="20"/>
        <v>2024</v>
      </c>
      <c r="C380">
        <f t="shared" si="21"/>
        <v>10</v>
      </c>
      <c r="D380" t="str">
        <f t="shared" si="22"/>
        <v>outubro</v>
      </c>
      <c r="E380" t="str">
        <f t="shared" si="23"/>
        <v>2024-10</v>
      </c>
    </row>
    <row r="381" spans="1:5" x14ac:dyDescent="0.3">
      <c r="A381" s="1" t="d">
        <v>2024-10-14</v>
      </c>
      <c r="B381">
        <f t="shared" si="20"/>
        <v>2024</v>
      </c>
      <c r="C381">
        <f t="shared" si="21"/>
        <v>10</v>
      </c>
      <c r="D381" t="str">
        <f t="shared" si="22"/>
        <v>outubro</v>
      </c>
      <c r="E381" t="str">
        <f t="shared" si="23"/>
        <v>2024-10</v>
      </c>
    </row>
    <row r="382" spans="1:5" x14ac:dyDescent="0.3">
      <c r="A382" s="1" t="d">
        <v>2024-10-15</v>
      </c>
      <c r="B382">
        <f t="shared" si="20"/>
        <v>2024</v>
      </c>
      <c r="C382">
        <f t="shared" si="21"/>
        <v>10</v>
      </c>
      <c r="D382" t="str">
        <f t="shared" si="22"/>
        <v>outubro</v>
      </c>
      <c r="E382" t="str">
        <f t="shared" si="23"/>
        <v>2024-10</v>
      </c>
    </row>
    <row r="383" spans="1:5" x14ac:dyDescent="0.3">
      <c r="A383" s="1" t="d">
        <v>2024-10-16</v>
      </c>
      <c r="B383">
        <f t="shared" si="20"/>
        <v>2024</v>
      </c>
      <c r="C383">
        <f t="shared" si="21"/>
        <v>10</v>
      </c>
      <c r="D383" t="str">
        <f t="shared" si="22"/>
        <v>outubro</v>
      </c>
      <c r="E383" t="str">
        <f t="shared" si="23"/>
        <v>2024-10</v>
      </c>
    </row>
    <row r="384" spans="1:5" x14ac:dyDescent="0.3">
      <c r="A384" s="1" t="d">
        <v>2024-10-17</v>
      </c>
      <c r="B384">
        <f t="shared" si="20"/>
        <v>2024</v>
      </c>
      <c r="C384">
        <f t="shared" si="21"/>
        <v>10</v>
      </c>
      <c r="D384" t="str">
        <f t="shared" si="22"/>
        <v>outubro</v>
      </c>
      <c r="E384" t="str">
        <f t="shared" si="23"/>
        <v>2024-10</v>
      </c>
    </row>
    <row r="385" spans="1:5" x14ac:dyDescent="0.3">
      <c r="A385" s="1" t="d">
        <v>2024-10-18</v>
      </c>
      <c r="B385">
        <f t="shared" si="20"/>
        <v>2024</v>
      </c>
      <c r="C385">
        <f t="shared" si="21"/>
        <v>10</v>
      </c>
      <c r="D385" t="str">
        <f t="shared" si="22"/>
        <v>outubro</v>
      </c>
      <c r="E385" t="str">
        <f t="shared" si="23"/>
        <v>2024-10</v>
      </c>
    </row>
    <row r="386" spans="1:5" x14ac:dyDescent="0.3">
      <c r="A386" s="1" t="d">
        <v>2024-10-19</v>
      </c>
      <c r="B386">
        <f t="shared" si="20"/>
        <v>2024</v>
      </c>
      <c r="C386">
        <f t="shared" si="21"/>
        <v>10</v>
      </c>
      <c r="D386" t="str">
        <f t="shared" si="22"/>
        <v>outubro</v>
      </c>
      <c r="E386" t="str">
        <f t="shared" si="23"/>
        <v>2024-10</v>
      </c>
    </row>
    <row r="387" spans="1:5" x14ac:dyDescent="0.3">
      <c r="A387" s="1" t="d">
        <v>2024-10-20</v>
      </c>
      <c r="B387">
        <f t="shared" ref="B387:B450" si="24">YEAR(A387)</f>
        <v>2024</v>
      </c>
      <c r="C387">
        <f t="shared" ref="C387:C450" si="25">MONTH(A387)</f>
        <v>10</v>
      </c>
      <c r="D387" t="str">
        <f t="shared" ref="D387:D450" si="26">TEXT(A387, "mmmm")</f>
        <v>outubro</v>
      </c>
      <c r="E387" t="str">
        <f t="shared" ref="E387:E450" si="27">TEXT(A387, "aaaa-mm")</f>
        <v>2024-10</v>
      </c>
    </row>
    <row r="388" spans="1:5" x14ac:dyDescent="0.3">
      <c r="A388" s="1" t="d">
        <v>2024-10-21</v>
      </c>
      <c r="B388">
        <f t="shared" si="24"/>
        <v>2024</v>
      </c>
      <c r="C388">
        <f t="shared" si="25"/>
        <v>10</v>
      </c>
      <c r="D388" t="str">
        <f t="shared" si="26"/>
        <v>outubro</v>
      </c>
      <c r="E388" t="str">
        <f t="shared" si="27"/>
        <v>2024-10</v>
      </c>
    </row>
    <row r="389" spans="1:5" x14ac:dyDescent="0.3">
      <c r="A389" s="1" t="d">
        <v>2024-10-22</v>
      </c>
      <c r="B389">
        <f t="shared" si="24"/>
        <v>2024</v>
      </c>
      <c r="C389">
        <f t="shared" si="25"/>
        <v>10</v>
      </c>
      <c r="D389" t="str">
        <f t="shared" si="26"/>
        <v>outubro</v>
      </c>
      <c r="E389" t="str">
        <f t="shared" si="27"/>
        <v>2024-10</v>
      </c>
    </row>
    <row r="390" spans="1:5" x14ac:dyDescent="0.3">
      <c r="A390" s="1" t="d">
        <v>2024-10-23</v>
      </c>
      <c r="B390">
        <f t="shared" si="24"/>
        <v>2024</v>
      </c>
      <c r="C390">
        <f t="shared" si="25"/>
        <v>10</v>
      </c>
      <c r="D390" t="str">
        <f t="shared" si="26"/>
        <v>outubro</v>
      </c>
      <c r="E390" t="str">
        <f t="shared" si="27"/>
        <v>2024-10</v>
      </c>
    </row>
    <row r="391" spans="1:5" x14ac:dyDescent="0.3">
      <c r="A391" s="1" t="d">
        <v>2024-10-24</v>
      </c>
      <c r="B391">
        <f t="shared" si="24"/>
        <v>2024</v>
      </c>
      <c r="C391">
        <f t="shared" si="25"/>
        <v>10</v>
      </c>
      <c r="D391" t="str">
        <f t="shared" si="26"/>
        <v>outubro</v>
      </c>
      <c r="E391" t="str">
        <f t="shared" si="27"/>
        <v>2024-10</v>
      </c>
    </row>
    <row r="392" spans="1:5" x14ac:dyDescent="0.3">
      <c r="A392" s="1" t="d">
        <v>2024-10-25</v>
      </c>
      <c r="B392">
        <f t="shared" si="24"/>
        <v>2024</v>
      </c>
      <c r="C392">
        <f t="shared" si="25"/>
        <v>10</v>
      </c>
      <c r="D392" t="str">
        <f t="shared" si="26"/>
        <v>outubro</v>
      </c>
      <c r="E392" t="str">
        <f t="shared" si="27"/>
        <v>2024-10</v>
      </c>
    </row>
    <row r="393" spans="1:5" x14ac:dyDescent="0.3">
      <c r="A393" s="1" t="d">
        <v>2024-10-26</v>
      </c>
      <c r="B393">
        <f t="shared" si="24"/>
        <v>2024</v>
      </c>
      <c r="C393">
        <f t="shared" si="25"/>
        <v>10</v>
      </c>
      <c r="D393" t="str">
        <f t="shared" si="26"/>
        <v>outubro</v>
      </c>
      <c r="E393" t="str">
        <f t="shared" si="27"/>
        <v>2024-10</v>
      </c>
    </row>
    <row r="394" spans="1:5" x14ac:dyDescent="0.3">
      <c r="A394" s="1" t="d">
        <v>2024-10-27</v>
      </c>
      <c r="B394">
        <f t="shared" si="24"/>
        <v>2024</v>
      </c>
      <c r="C394">
        <f t="shared" si="25"/>
        <v>10</v>
      </c>
      <c r="D394" t="str">
        <f t="shared" si="26"/>
        <v>outubro</v>
      </c>
      <c r="E394" t="str">
        <f t="shared" si="27"/>
        <v>2024-10</v>
      </c>
    </row>
    <row r="395" spans="1:5" x14ac:dyDescent="0.3">
      <c r="A395" s="1" t="d">
        <v>2024-10-28</v>
      </c>
      <c r="B395">
        <f t="shared" si="24"/>
        <v>2024</v>
      </c>
      <c r="C395">
        <f t="shared" si="25"/>
        <v>10</v>
      </c>
      <c r="D395" t="str">
        <f t="shared" si="26"/>
        <v>outubro</v>
      </c>
      <c r="E395" t="str">
        <f t="shared" si="27"/>
        <v>2024-10</v>
      </c>
    </row>
    <row r="396" spans="1:5" x14ac:dyDescent="0.3">
      <c r="A396" s="1" t="d">
        <v>2024-10-29</v>
      </c>
      <c r="B396">
        <f t="shared" si="24"/>
        <v>2024</v>
      </c>
      <c r="C396">
        <f t="shared" si="25"/>
        <v>10</v>
      </c>
      <c r="D396" t="str">
        <f t="shared" si="26"/>
        <v>outubro</v>
      </c>
      <c r="E396" t="str">
        <f t="shared" si="27"/>
        <v>2024-10</v>
      </c>
    </row>
    <row r="397" spans="1:5" x14ac:dyDescent="0.3">
      <c r="A397" s="1" t="d">
        <v>2024-10-30</v>
      </c>
      <c r="B397">
        <f t="shared" si="24"/>
        <v>2024</v>
      </c>
      <c r="C397">
        <f t="shared" si="25"/>
        <v>10</v>
      </c>
      <c r="D397" t="str">
        <f t="shared" si="26"/>
        <v>outubro</v>
      </c>
      <c r="E397" t="str">
        <f t="shared" si="27"/>
        <v>2024-10</v>
      </c>
    </row>
    <row r="398" spans="1:5" x14ac:dyDescent="0.3">
      <c r="A398" s="1" t="d">
        <v>2024-10-31</v>
      </c>
      <c r="B398">
        <f t="shared" si="24"/>
        <v>2024</v>
      </c>
      <c r="C398">
        <f t="shared" si="25"/>
        <v>10</v>
      </c>
      <c r="D398" t="str">
        <f t="shared" si="26"/>
        <v>outubro</v>
      </c>
      <c r="E398" t="str">
        <f t="shared" si="27"/>
        <v>2024-10</v>
      </c>
    </row>
    <row r="399" spans="1:5" x14ac:dyDescent="0.3">
      <c r="A399" s="1" t="d">
        <v>2024-11-01</v>
      </c>
      <c r="B399">
        <f t="shared" si="24"/>
        <v>2024</v>
      </c>
      <c r="C399">
        <f t="shared" si="25"/>
        <v>11</v>
      </c>
      <c r="D399" t="str">
        <f t="shared" si="26"/>
        <v>novembro</v>
      </c>
      <c r="E399" t="str">
        <f t="shared" si="27"/>
        <v>2024-11</v>
      </c>
    </row>
    <row r="400" spans="1:5" x14ac:dyDescent="0.3">
      <c r="A400" s="1" t="d">
        <v>2024-11-02</v>
      </c>
      <c r="B400">
        <f t="shared" si="24"/>
        <v>2024</v>
      </c>
      <c r="C400">
        <f t="shared" si="25"/>
        <v>11</v>
      </c>
      <c r="D400" t="str">
        <f t="shared" si="26"/>
        <v>novembro</v>
      </c>
      <c r="E400" t="str">
        <f t="shared" si="27"/>
        <v>2024-11</v>
      </c>
    </row>
    <row r="401" spans="1:5" x14ac:dyDescent="0.3">
      <c r="A401" s="1" t="d">
        <v>2024-11-03</v>
      </c>
      <c r="B401">
        <f t="shared" si="24"/>
        <v>2024</v>
      </c>
      <c r="C401">
        <f t="shared" si="25"/>
        <v>11</v>
      </c>
      <c r="D401" t="str">
        <f t="shared" si="26"/>
        <v>novembro</v>
      </c>
      <c r="E401" t="str">
        <f t="shared" si="27"/>
        <v>2024-11</v>
      </c>
    </row>
    <row r="402" spans="1:5" x14ac:dyDescent="0.3">
      <c r="A402" s="1" t="d">
        <v>2024-11-04</v>
      </c>
      <c r="B402">
        <f t="shared" si="24"/>
        <v>2024</v>
      </c>
      <c r="C402">
        <f t="shared" si="25"/>
        <v>11</v>
      </c>
      <c r="D402" t="str">
        <f t="shared" si="26"/>
        <v>novembro</v>
      </c>
      <c r="E402" t="str">
        <f t="shared" si="27"/>
        <v>2024-11</v>
      </c>
    </row>
    <row r="403" spans="1:5" x14ac:dyDescent="0.3">
      <c r="A403" s="1" t="d">
        <v>2024-11-05</v>
      </c>
      <c r="B403">
        <f t="shared" si="24"/>
        <v>2024</v>
      </c>
      <c r="C403">
        <f t="shared" si="25"/>
        <v>11</v>
      </c>
      <c r="D403" t="str">
        <f t="shared" si="26"/>
        <v>novembro</v>
      </c>
      <c r="E403" t="str">
        <f t="shared" si="27"/>
        <v>2024-11</v>
      </c>
    </row>
    <row r="404" spans="1:5" x14ac:dyDescent="0.3">
      <c r="A404" s="1" t="d">
        <v>2024-11-06</v>
      </c>
      <c r="B404">
        <f t="shared" si="24"/>
        <v>2024</v>
      </c>
      <c r="C404">
        <f t="shared" si="25"/>
        <v>11</v>
      </c>
      <c r="D404" t="str">
        <f t="shared" si="26"/>
        <v>novembro</v>
      </c>
      <c r="E404" t="str">
        <f t="shared" si="27"/>
        <v>2024-11</v>
      </c>
    </row>
    <row r="405" spans="1:5" x14ac:dyDescent="0.3">
      <c r="A405" s="1" t="d">
        <v>2024-11-07</v>
      </c>
      <c r="B405">
        <f t="shared" si="24"/>
        <v>2024</v>
      </c>
      <c r="C405">
        <f t="shared" si="25"/>
        <v>11</v>
      </c>
      <c r="D405" t="str">
        <f t="shared" si="26"/>
        <v>novembro</v>
      </c>
      <c r="E405" t="str">
        <f t="shared" si="27"/>
        <v>2024-11</v>
      </c>
    </row>
    <row r="406" spans="1:5" x14ac:dyDescent="0.3">
      <c r="A406" s="1" t="d">
        <v>2024-11-08</v>
      </c>
      <c r="B406">
        <f t="shared" si="24"/>
        <v>2024</v>
      </c>
      <c r="C406">
        <f t="shared" si="25"/>
        <v>11</v>
      </c>
      <c r="D406" t="str">
        <f t="shared" si="26"/>
        <v>novembro</v>
      </c>
      <c r="E406" t="str">
        <f t="shared" si="27"/>
        <v>2024-11</v>
      </c>
    </row>
    <row r="407" spans="1:5" x14ac:dyDescent="0.3">
      <c r="A407" s="1" t="d">
        <v>2024-11-09</v>
      </c>
      <c r="B407">
        <f t="shared" si="24"/>
        <v>2024</v>
      </c>
      <c r="C407">
        <f t="shared" si="25"/>
        <v>11</v>
      </c>
      <c r="D407" t="str">
        <f t="shared" si="26"/>
        <v>novembro</v>
      </c>
      <c r="E407" t="str">
        <f t="shared" si="27"/>
        <v>2024-11</v>
      </c>
    </row>
    <row r="408" spans="1:5" x14ac:dyDescent="0.3">
      <c r="A408" s="1" t="d">
        <v>2024-11-10</v>
      </c>
      <c r="B408">
        <f t="shared" si="24"/>
        <v>2024</v>
      </c>
      <c r="C408">
        <f t="shared" si="25"/>
        <v>11</v>
      </c>
      <c r="D408" t="str">
        <f t="shared" si="26"/>
        <v>novembro</v>
      </c>
      <c r="E408" t="str">
        <f t="shared" si="27"/>
        <v>2024-11</v>
      </c>
    </row>
    <row r="409" spans="1:5" x14ac:dyDescent="0.3">
      <c r="A409" s="1" t="d">
        <v>2024-11-11</v>
      </c>
      <c r="B409">
        <f t="shared" si="24"/>
        <v>2024</v>
      </c>
      <c r="C409">
        <f t="shared" si="25"/>
        <v>11</v>
      </c>
      <c r="D409" t="str">
        <f t="shared" si="26"/>
        <v>novembro</v>
      </c>
      <c r="E409" t="str">
        <f t="shared" si="27"/>
        <v>2024-11</v>
      </c>
    </row>
    <row r="410" spans="1:5" x14ac:dyDescent="0.3">
      <c r="A410" s="1" t="d">
        <v>2024-11-12</v>
      </c>
      <c r="B410">
        <f t="shared" si="24"/>
        <v>2024</v>
      </c>
      <c r="C410">
        <f t="shared" si="25"/>
        <v>11</v>
      </c>
      <c r="D410" t="str">
        <f t="shared" si="26"/>
        <v>novembro</v>
      </c>
      <c r="E410" t="str">
        <f t="shared" si="27"/>
        <v>2024-11</v>
      </c>
    </row>
    <row r="411" spans="1:5" x14ac:dyDescent="0.3">
      <c r="A411" s="1" t="d">
        <v>2024-11-13</v>
      </c>
      <c r="B411">
        <f t="shared" si="24"/>
        <v>2024</v>
      </c>
      <c r="C411">
        <f t="shared" si="25"/>
        <v>11</v>
      </c>
      <c r="D411" t="str">
        <f t="shared" si="26"/>
        <v>novembro</v>
      </c>
      <c r="E411" t="str">
        <f t="shared" si="27"/>
        <v>2024-11</v>
      </c>
    </row>
    <row r="412" spans="1:5" x14ac:dyDescent="0.3">
      <c r="A412" s="1" t="d">
        <v>2024-11-14</v>
      </c>
      <c r="B412">
        <f t="shared" si="24"/>
        <v>2024</v>
      </c>
      <c r="C412">
        <f t="shared" si="25"/>
        <v>11</v>
      </c>
      <c r="D412" t="str">
        <f t="shared" si="26"/>
        <v>novembro</v>
      </c>
      <c r="E412" t="str">
        <f t="shared" si="27"/>
        <v>2024-11</v>
      </c>
    </row>
    <row r="413" spans="1:5" x14ac:dyDescent="0.3">
      <c r="A413" s="1" t="d">
        <v>2024-11-15</v>
      </c>
      <c r="B413">
        <f t="shared" si="24"/>
        <v>2024</v>
      </c>
      <c r="C413">
        <f t="shared" si="25"/>
        <v>11</v>
      </c>
      <c r="D413" t="str">
        <f t="shared" si="26"/>
        <v>novembro</v>
      </c>
      <c r="E413" t="str">
        <f t="shared" si="27"/>
        <v>2024-11</v>
      </c>
    </row>
    <row r="414" spans="1:5" x14ac:dyDescent="0.3">
      <c r="A414" s="1" t="d">
        <v>2024-11-16</v>
      </c>
      <c r="B414">
        <f t="shared" si="24"/>
        <v>2024</v>
      </c>
      <c r="C414">
        <f t="shared" si="25"/>
        <v>11</v>
      </c>
      <c r="D414" t="str">
        <f t="shared" si="26"/>
        <v>novembro</v>
      </c>
      <c r="E414" t="str">
        <f t="shared" si="27"/>
        <v>2024-11</v>
      </c>
    </row>
    <row r="415" spans="1:5" x14ac:dyDescent="0.3">
      <c r="A415" s="1" t="d">
        <v>2024-11-17</v>
      </c>
      <c r="B415">
        <f t="shared" si="24"/>
        <v>2024</v>
      </c>
      <c r="C415">
        <f t="shared" si="25"/>
        <v>11</v>
      </c>
      <c r="D415" t="str">
        <f t="shared" si="26"/>
        <v>novembro</v>
      </c>
      <c r="E415" t="str">
        <f t="shared" si="27"/>
        <v>2024-11</v>
      </c>
    </row>
    <row r="416" spans="1:5" x14ac:dyDescent="0.3">
      <c r="A416" s="1" t="d">
        <v>2024-11-18</v>
      </c>
      <c r="B416">
        <f t="shared" si="24"/>
        <v>2024</v>
      </c>
      <c r="C416">
        <f t="shared" si="25"/>
        <v>11</v>
      </c>
      <c r="D416" t="str">
        <f t="shared" si="26"/>
        <v>novembro</v>
      </c>
      <c r="E416" t="str">
        <f t="shared" si="27"/>
        <v>2024-11</v>
      </c>
    </row>
    <row r="417" spans="1:5" x14ac:dyDescent="0.3">
      <c r="A417" s="1" t="d">
        <v>2024-11-19</v>
      </c>
      <c r="B417">
        <f t="shared" si="24"/>
        <v>2024</v>
      </c>
      <c r="C417">
        <f t="shared" si="25"/>
        <v>11</v>
      </c>
      <c r="D417" t="str">
        <f t="shared" si="26"/>
        <v>novembro</v>
      </c>
      <c r="E417" t="str">
        <f t="shared" si="27"/>
        <v>2024-11</v>
      </c>
    </row>
    <row r="418" spans="1:5" x14ac:dyDescent="0.3">
      <c r="A418" s="1" t="d">
        <v>2024-11-20</v>
      </c>
      <c r="B418">
        <f t="shared" si="24"/>
        <v>2024</v>
      </c>
      <c r="C418">
        <f t="shared" si="25"/>
        <v>11</v>
      </c>
      <c r="D418" t="str">
        <f t="shared" si="26"/>
        <v>novembro</v>
      </c>
      <c r="E418" t="str">
        <f t="shared" si="27"/>
        <v>2024-11</v>
      </c>
    </row>
    <row r="419" spans="1:5" x14ac:dyDescent="0.3">
      <c r="A419" s="1" t="d">
        <v>2024-11-21</v>
      </c>
      <c r="B419">
        <f t="shared" si="24"/>
        <v>2024</v>
      </c>
      <c r="C419">
        <f t="shared" si="25"/>
        <v>11</v>
      </c>
      <c r="D419" t="str">
        <f t="shared" si="26"/>
        <v>novembro</v>
      </c>
      <c r="E419" t="str">
        <f t="shared" si="27"/>
        <v>2024-11</v>
      </c>
    </row>
    <row r="420" spans="1:5" x14ac:dyDescent="0.3">
      <c r="A420" s="1" t="d">
        <v>2024-11-22</v>
      </c>
      <c r="B420">
        <f t="shared" si="24"/>
        <v>2024</v>
      </c>
      <c r="C420">
        <f t="shared" si="25"/>
        <v>11</v>
      </c>
      <c r="D420" t="str">
        <f t="shared" si="26"/>
        <v>novembro</v>
      </c>
      <c r="E420" t="str">
        <f t="shared" si="27"/>
        <v>2024-11</v>
      </c>
    </row>
    <row r="421" spans="1:5" x14ac:dyDescent="0.3">
      <c r="A421" s="1" t="d">
        <v>2024-11-23</v>
      </c>
      <c r="B421">
        <f t="shared" si="24"/>
        <v>2024</v>
      </c>
      <c r="C421">
        <f t="shared" si="25"/>
        <v>11</v>
      </c>
      <c r="D421" t="str">
        <f t="shared" si="26"/>
        <v>novembro</v>
      </c>
      <c r="E421" t="str">
        <f t="shared" si="27"/>
        <v>2024-11</v>
      </c>
    </row>
    <row r="422" spans="1:5" x14ac:dyDescent="0.3">
      <c r="A422" s="1" t="d">
        <v>2024-11-24</v>
      </c>
      <c r="B422">
        <f t="shared" si="24"/>
        <v>2024</v>
      </c>
      <c r="C422">
        <f t="shared" si="25"/>
        <v>11</v>
      </c>
      <c r="D422" t="str">
        <f t="shared" si="26"/>
        <v>novembro</v>
      </c>
      <c r="E422" t="str">
        <f t="shared" si="27"/>
        <v>2024-11</v>
      </c>
    </row>
    <row r="423" spans="1:5" x14ac:dyDescent="0.3">
      <c r="A423" s="1" t="d">
        <v>2024-11-25</v>
      </c>
      <c r="B423">
        <f t="shared" si="24"/>
        <v>2024</v>
      </c>
      <c r="C423">
        <f t="shared" si="25"/>
        <v>11</v>
      </c>
      <c r="D423" t="str">
        <f t="shared" si="26"/>
        <v>novembro</v>
      </c>
      <c r="E423" t="str">
        <f t="shared" si="27"/>
        <v>2024-11</v>
      </c>
    </row>
    <row r="424" spans="1:5" x14ac:dyDescent="0.3">
      <c r="A424" s="1" t="d">
        <v>2024-11-26</v>
      </c>
      <c r="B424">
        <f t="shared" si="24"/>
        <v>2024</v>
      </c>
      <c r="C424">
        <f t="shared" si="25"/>
        <v>11</v>
      </c>
      <c r="D424" t="str">
        <f t="shared" si="26"/>
        <v>novembro</v>
      </c>
      <c r="E424" t="str">
        <f t="shared" si="27"/>
        <v>2024-11</v>
      </c>
    </row>
    <row r="425" spans="1:5" x14ac:dyDescent="0.3">
      <c r="A425" s="1" t="d">
        <v>2024-11-27</v>
      </c>
      <c r="B425">
        <f t="shared" si="24"/>
        <v>2024</v>
      </c>
      <c r="C425">
        <f t="shared" si="25"/>
        <v>11</v>
      </c>
      <c r="D425" t="str">
        <f t="shared" si="26"/>
        <v>novembro</v>
      </c>
      <c r="E425" t="str">
        <f t="shared" si="27"/>
        <v>2024-11</v>
      </c>
    </row>
    <row r="426" spans="1:5" x14ac:dyDescent="0.3">
      <c r="A426" s="1" t="d">
        <v>2024-11-28</v>
      </c>
      <c r="B426">
        <f t="shared" si="24"/>
        <v>2024</v>
      </c>
      <c r="C426">
        <f t="shared" si="25"/>
        <v>11</v>
      </c>
      <c r="D426" t="str">
        <f t="shared" si="26"/>
        <v>novembro</v>
      </c>
      <c r="E426" t="str">
        <f t="shared" si="27"/>
        <v>2024-11</v>
      </c>
    </row>
    <row r="427" spans="1:5" x14ac:dyDescent="0.3">
      <c r="A427" s="1" t="d">
        <v>2024-11-29</v>
      </c>
      <c r="B427">
        <f t="shared" si="24"/>
        <v>2024</v>
      </c>
      <c r="C427">
        <f t="shared" si="25"/>
        <v>11</v>
      </c>
      <c r="D427" t="str">
        <f t="shared" si="26"/>
        <v>novembro</v>
      </c>
      <c r="E427" t="str">
        <f t="shared" si="27"/>
        <v>2024-11</v>
      </c>
    </row>
    <row r="428" spans="1:5" x14ac:dyDescent="0.3">
      <c r="A428" s="1" t="d">
        <v>2024-11-30</v>
      </c>
      <c r="B428">
        <f t="shared" si="24"/>
        <v>2024</v>
      </c>
      <c r="C428">
        <f t="shared" si="25"/>
        <v>11</v>
      </c>
      <c r="D428" t="str">
        <f t="shared" si="26"/>
        <v>novembro</v>
      </c>
      <c r="E428" t="str">
        <f t="shared" si="27"/>
        <v>2024-11</v>
      </c>
    </row>
    <row r="429" spans="1:5" x14ac:dyDescent="0.3">
      <c r="A429" s="1" t="d">
        <v>2024-12-01</v>
      </c>
      <c r="B429">
        <f t="shared" si="24"/>
        <v>2024</v>
      </c>
      <c r="C429">
        <f t="shared" si="25"/>
        <v>12</v>
      </c>
      <c r="D429" t="str">
        <f t="shared" si="26"/>
        <v>dezembro</v>
      </c>
      <c r="E429" t="str">
        <f t="shared" si="27"/>
        <v>2024-12</v>
      </c>
    </row>
    <row r="430" spans="1:5" x14ac:dyDescent="0.3">
      <c r="A430" s="1" t="d">
        <v>2024-12-02</v>
      </c>
      <c r="B430">
        <f t="shared" si="24"/>
        <v>2024</v>
      </c>
      <c r="C430">
        <f t="shared" si="25"/>
        <v>12</v>
      </c>
      <c r="D430" t="str">
        <f t="shared" si="26"/>
        <v>dezembro</v>
      </c>
      <c r="E430" t="str">
        <f t="shared" si="27"/>
        <v>2024-12</v>
      </c>
    </row>
    <row r="431" spans="1:5" x14ac:dyDescent="0.3">
      <c r="A431" s="1" t="d">
        <v>2024-12-03</v>
      </c>
      <c r="B431">
        <f t="shared" si="24"/>
        <v>2024</v>
      </c>
      <c r="C431">
        <f t="shared" si="25"/>
        <v>12</v>
      </c>
      <c r="D431" t="str">
        <f t="shared" si="26"/>
        <v>dezembro</v>
      </c>
      <c r="E431" t="str">
        <f t="shared" si="27"/>
        <v>2024-12</v>
      </c>
    </row>
    <row r="432" spans="1:5" x14ac:dyDescent="0.3">
      <c r="A432" s="1" t="d">
        <v>2024-12-04</v>
      </c>
      <c r="B432">
        <f t="shared" si="24"/>
        <v>2024</v>
      </c>
      <c r="C432">
        <f t="shared" si="25"/>
        <v>12</v>
      </c>
      <c r="D432" t="str">
        <f t="shared" si="26"/>
        <v>dezembro</v>
      </c>
      <c r="E432" t="str">
        <f t="shared" si="27"/>
        <v>2024-12</v>
      </c>
    </row>
    <row r="433" spans="1:5" x14ac:dyDescent="0.3">
      <c r="A433" s="1" t="d">
        <v>2024-12-05</v>
      </c>
      <c r="B433">
        <f t="shared" si="24"/>
        <v>2024</v>
      </c>
      <c r="C433">
        <f t="shared" si="25"/>
        <v>12</v>
      </c>
      <c r="D433" t="str">
        <f t="shared" si="26"/>
        <v>dezembro</v>
      </c>
      <c r="E433" t="str">
        <f t="shared" si="27"/>
        <v>2024-12</v>
      </c>
    </row>
    <row r="434" spans="1:5" x14ac:dyDescent="0.3">
      <c r="A434" s="1" t="d">
        <v>2024-12-06</v>
      </c>
      <c r="B434">
        <f t="shared" si="24"/>
        <v>2024</v>
      </c>
      <c r="C434">
        <f t="shared" si="25"/>
        <v>12</v>
      </c>
      <c r="D434" t="str">
        <f t="shared" si="26"/>
        <v>dezembro</v>
      </c>
      <c r="E434" t="str">
        <f t="shared" si="27"/>
        <v>2024-12</v>
      </c>
    </row>
    <row r="435" spans="1:5" x14ac:dyDescent="0.3">
      <c r="A435" s="1" t="d">
        <v>2024-12-07</v>
      </c>
      <c r="B435">
        <f t="shared" si="24"/>
        <v>2024</v>
      </c>
      <c r="C435">
        <f t="shared" si="25"/>
        <v>12</v>
      </c>
      <c r="D435" t="str">
        <f t="shared" si="26"/>
        <v>dezembro</v>
      </c>
      <c r="E435" t="str">
        <f t="shared" si="27"/>
        <v>2024-12</v>
      </c>
    </row>
    <row r="436" spans="1:5" x14ac:dyDescent="0.3">
      <c r="A436" s="1" t="d">
        <v>2024-12-08</v>
      </c>
      <c r="B436">
        <f t="shared" si="24"/>
        <v>2024</v>
      </c>
      <c r="C436">
        <f t="shared" si="25"/>
        <v>12</v>
      </c>
      <c r="D436" t="str">
        <f t="shared" si="26"/>
        <v>dezembro</v>
      </c>
      <c r="E436" t="str">
        <f t="shared" si="27"/>
        <v>2024-12</v>
      </c>
    </row>
    <row r="437" spans="1:5" x14ac:dyDescent="0.3">
      <c r="A437" s="1" t="d">
        <v>2024-12-09</v>
      </c>
      <c r="B437">
        <f t="shared" si="24"/>
        <v>2024</v>
      </c>
      <c r="C437">
        <f t="shared" si="25"/>
        <v>12</v>
      </c>
      <c r="D437" t="str">
        <f t="shared" si="26"/>
        <v>dezembro</v>
      </c>
      <c r="E437" t="str">
        <f t="shared" si="27"/>
        <v>2024-12</v>
      </c>
    </row>
    <row r="438" spans="1:5" x14ac:dyDescent="0.3">
      <c r="A438" s="1" t="d">
        <v>2024-12-10</v>
      </c>
      <c r="B438">
        <f t="shared" si="24"/>
        <v>2024</v>
      </c>
      <c r="C438">
        <f t="shared" si="25"/>
        <v>12</v>
      </c>
      <c r="D438" t="str">
        <f t="shared" si="26"/>
        <v>dezembro</v>
      </c>
      <c r="E438" t="str">
        <f t="shared" si="27"/>
        <v>2024-12</v>
      </c>
    </row>
    <row r="439" spans="1:5" x14ac:dyDescent="0.3">
      <c r="A439" s="1" t="d">
        <v>2024-12-11</v>
      </c>
      <c r="B439">
        <f t="shared" si="24"/>
        <v>2024</v>
      </c>
      <c r="C439">
        <f t="shared" si="25"/>
        <v>12</v>
      </c>
      <c r="D439" t="str">
        <f t="shared" si="26"/>
        <v>dezembro</v>
      </c>
      <c r="E439" t="str">
        <f t="shared" si="27"/>
        <v>2024-12</v>
      </c>
    </row>
    <row r="440" spans="1:5" x14ac:dyDescent="0.3">
      <c r="A440" s="1" t="d">
        <v>2024-12-12</v>
      </c>
      <c r="B440">
        <f t="shared" si="24"/>
        <v>2024</v>
      </c>
      <c r="C440">
        <f t="shared" si="25"/>
        <v>12</v>
      </c>
      <c r="D440" t="str">
        <f t="shared" si="26"/>
        <v>dezembro</v>
      </c>
      <c r="E440" t="str">
        <f t="shared" si="27"/>
        <v>2024-12</v>
      </c>
    </row>
    <row r="441" spans="1:5" x14ac:dyDescent="0.3">
      <c r="A441" s="1" t="d">
        <v>2024-12-13</v>
      </c>
      <c r="B441">
        <f t="shared" si="24"/>
        <v>2024</v>
      </c>
      <c r="C441">
        <f t="shared" si="25"/>
        <v>12</v>
      </c>
      <c r="D441" t="str">
        <f t="shared" si="26"/>
        <v>dezembro</v>
      </c>
      <c r="E441" t="str">
        <f t="shared" si="27"/>
        <v>2024-12</v>
      </c>
    </row>
    <row r="442" spans="1:5" x14ac:dyDescent="0.3">
      <c r="A442" s="1" t="d">
        <v>2024-12-14</v>
      </c>
      <c r="B442">
        <f t="shared" si="24"/>
        <v>2024</v>
      </c>
      <c r="C442">
        <f t="shared" si="25"/>
        <v>12</v>
      </c>
      <c r="D442" t="str">
        <f t="shared" si="26"/>
        <v>dezembro</v>
      </c>
      <c r="E442" t="str">
        <f t="shared" si="27"/>
        <v>2024-12</v>
      </c>
    </row>
    <row r="443" spans="1:5" x14ac:dyDescent="0.3">
      <c r="A443" s="1" t="d">
        <v>2024-12-15</v>
      </c>
      <c r="B443">
        <f t="shared" si="24"/>
        <v>2024</v>
      </c>
      <c r="C443">
        <f t="shared" si="25"/>
        <v>12</v>
      </c>
      <c r="D443" t="str">
        <f t="shared" si="26"/>
        <v>dezembro</v>
      </c>
      <c r="E443" t="str">
        <f t="shared" si="27"/>
        <v>2024-12</v>
      </c>
    </row>
    <row r="444" spans="1:5" x14ac:dyDescent="0.3">
      <c r="A444" s="1" t="d">
        <v>2024-12-16</v>
      </c>
      <c r="B444">
        <f t="shared" si="24"/>
        <v>2024</v>
      </c>
      <c r="C444">
        <f t="shared" si="25"/>
        <v>12</v>
      </c>
      <c r="D444" t="str">
        <f t="shared" si="26"/>
        <v>dezembro</v>
      </c>
      <c r="E444" t="str">
        <f t="shared" si="27"/>
        <v>2024-12</v>
      </c>
    </row>
    <row r="445" spans="1:5" x14ac:dyDescent="0.3">
      <c r="A445" s="1" t="d">
        <v>2024-12-17</v>
      </c>
      <c r="B445">
        <f t="shared" si="24"/>
        <v>2024</v>
      </c>
      <c r="C445">
        <f t="shared" si="25"/>
        <v>12</v>
      </c>
      <c r="D445" t="str">
        <f t="shared" si="26"/>
        <v>dezembro</v>
      </c>
      <c r="E445" t="str">
        <f t="shared" si="27"/>
        <v>2024-12</v>
      </c>
    </row>
    <row r="446" spans="1:5" x14ac:dyDescent="0.3">
      <c r="A446" s="1" t="d">
        <v>2024-12-18</v>
      </c>
      <c r="B446">
        <f t="shared" si="24"/>
        <v>2024</v>
      </c>
      <c r="C446">
        <f t="shared" si="25"/>
        <v>12</v>
      </c>
      <c r="D446" t="str">
        <f t="shared" si="26"/>
        <v>dezembro</v>
      </c>
      <c r="E446" t="str">
        <f t="shared" si="27"/>
        <v>2024-12</v>
      </c>
    </row>
    <row r="447" spans="1:5" x14ac:dyDescent="0.3">
      <c r="A447" s="1" t="d">
        <v>2024-12-19</v>
      </c>
      <c r="B447">
        <f t="shared" si="24"/>
        <v>2024</v>
      </c>
      <c r="C447">
        <f t="shared" si="25"/>
        <v>12</v>
      </c>
      <c r="D447" t="str">
        <f t="shared" si="26"/>
        <v>dezembro</v>
      </c>
      <c r="E447" t="str">
        <f t="shared" si="27"/>
        <v>2024-12</v>
      </c>
    </row>
    <row r="448" spans="1:5" x14ac:dyDescent="0.3">
      <c r="A448" s="1" t="d">
        <v>2024-12-20</v>
      </c>
      <c r="B448">
        <f t="shared" si="24"/>
        <v>2024</v>
      </c>
      <c r="C448">
        <f t="shared" si="25"/>
        <v>12</v>
      </c>
      <c r="D448" t="str">
        <f t="shared" si="26"/>
        <v>dezembro</v>
      </c>
      <c r="E448" t="str">
        <f t="shared" si="27"/>
        <v>2024-12</v>
      </c>
    </row>
    <row r="449" spans="1:5" x14ac:dyDescent="0.3">
      <c r="A449" s="1" t="d">
        <v>2024-12-21</v>
      </c>
      <c r="B449">
        <f t="shared" si="24"/>
        <v>2024</v>
      </c>
      <c r="C449">
        <f t="shared" si="25"/>
        <v>12</v>
      </c>
      <c r="D449" t="str">
        <f t="shared" si="26"/>
        <v>dezembro</v>
      </c>
      <c r="E449" t="str">
        <f t="shared" si="27"/>
        <v>2024-12</v>
      </c>
    </row>
    <row r="450" spans="1:5" x14ac:dyDescent="0.3">
      <c r="A450" s="1" t="d">
        <v>2024-12-22</v>
      </c>
      <c r="B450">
        <f t="shared" si="24"/>
        <v>2024</v>
      </c>
      <c r="C450">
        <f t="shared" si="25"/>
        <v>12</v>
      </c>
      <c r="D450" t="str">
        <f t="shared" si="26"/>
        <v>dezembro</v>
      </c>
      <c r="E450" t="str">
        <f t="shared" si="27"/>
        <v>2024-12</v>
      </c>
    </row>
    <row r="451" spans="1:5" x14ac:dyDescent="0.3">
      <c r="A451" s="1" t="d">
        <v>2024-12-23</v>
      </c>
      <c r="B451">
        <f t="shared" ref="B451:B514" si="28">YEAR(A451)</f>
        <v>2024</v>
      </c>
      <c r="C451">
        <f t="shared" ref="C451:C514" si="29">MONTH(A451)</f>
        <v>12</v>
      </c>
      <c r="D451" t="str">
        <f t="shared" ref="D451:D514" si="30">TEXT(A451, "mmmm")</f>
        <v>dezembro</v>
      </c>
      <c r="E451" t="str">
        <f t="shared" ref="E451:E514" si="31">TEXT(A451, "aaaa-mm")</f>
        <v>2024-12</v>
      </c>
    </row>
    <row r="452" spans="1:5" x14ac:dyDescent="0.3">
      <c r="A452" s="1" t="d">
        <v>2024-12-24</v>
      </c>
      <c r="B452">
        <f t="shared" si="28"/>
        <v>2024</v>
      </c>
      <c r="C452">
        <f t="shared" si="29"/>
        <v>12</v>
      </c>
      <c r="D452" t="str">
        <f t="shared" si="30"/>
        <v>dezembro</v>
      </c>
      <c r="E452" t="str">
        <f t="shared" si="31"/>
        <v>2024-12</v>
      </c>
    </row>
    <row r="453" spans="1:5" x14ac:dyDescent="0.3">
      <c r="A453" s="1" t="d">
        <v>2024-12-25</v>
      </c>
      <c r="B453">
        <f t="shared" si="28"/>
        <v>2024</v>
      </c>
      <c r="C453">
        <f t="shared" si="29"/>
        <v>12</v>
      </c>
      <c r="D453" t="str">
        <f t="shared" si="30"/>
        <v>dezembro</v>
      </c>
      <c r="E453" t="str">
        <f t="shared" si="31"/>
        <v>2024-12</v>
      </c>
    </row>
    <row r="454" spans="1:5" x14ac:dyDescent="0.3">
      <c r="A454" s="1" t="d">
        <v>2024-12-26</v>
      </c>
      <c r="B454">
        <f t="shared" si="28"/>
        <v>2024</v>
      </c>
      <c r="C454">
        <f t="shared" si="29"/>
        <v>12</v>
      </c>
      <c r="D454" t="str">
        <f t="shared" si="30"/>
        <v>dezembro</v>
      </c>
      <c r="E454" t="str">
        <f t="shared" si="31"/>
        <v>2024-12</v>
      </c>
    </row>
    <row r="455" spans="1:5" x14ac:dyDescent="0.3">
      <c r="A455" s="1" t="d">
        <v>2024-12-27</v>
      </c>
      <c r="B455">
        <f t="shared" si="28"/>
        <v>2024</v>
      </c>
      <c r="C455">
        <f t="shared" si="29"/>
        <v>12</v>
      </c>
      <c r="D455" t="str">
        <f t="shared" si="30"/>
        <v>dezembro</v>
      </c>
      <c r="E455" t="str">
        <f t="shared" si="31"/>
        <v>2024-12</v>
      </c>
    </row>
    <row r="456" spans="1:5" x14ac:dyDescent="0.3">
      <c r="A456" s="1" t="d">
        <v>2024-12-28</v>
      </c>
      <c r="B456">
        <f t="shared" si="28"/>
        <v>2024</v>
      </c>
      <c r="C456">
        <f t="shared" si="29"/>
        <v>12</v>
      </c>
      <c r="D456" t="str">
        <f t="shared" si="30"/>
        <v>dezembro</v>
      </c>
      <c r="E456" t="str">
        <f t="shared" si="31"/>
        <v>2024-12</v>
      </c>
    </row>
    <row r="457" spans="1:5" x14ac:dyDescent="0.3">
      <c r="A457" s="1" t="d">
        <v>2024-12-29</v>
      </c>
      <c r="B457">
        <f t="shared" si="28"/>
        <v>2024</v>
      </c>
      <c r="C457">
        <f t="shared" si="29"/>
        <v>12</v>
      </c>
      <c r="D457" t="str">
        <f t="shared" si="30"/>
        <v>dezembro</v>
      </c>
      <c r="E457" t="str">
        <f t="shared" si="31"/>
        <v>2024-12</v>
      </c>
    </row>
    <row r="458" spans="1:5" x14ac:dyDescent="0.3">
      <c r="A458" s="1" t="d">
        <v>2024-12-30</v>
      </c>
      <c r="B458">
        <f t="shared" si="28"/>
        <v>2024</v>
      </c>
      <c r="C458">
        <f t="shared" si="29"/>
        <v>12</v>
      </c>
      <c r="D458" t="str">
        <f t="shared" si="30"/>
        <v>dezembro</v>
      </c>
      <c r="E458" t="str">
        <f t="shared" si="31"/>
        <v>2024-12</v>
      </c>
    </row>
    <row r="459" spans="1:5" x14ac:dyDescent="0.3">
      <c r="A459" s="1" t="d">
        <v>2024-12-31</v>
      </c>
      <c r="B459">
        <f t="shared" si="28"/>
        <v>2024</v>
      </c>
      <c r="C459">
        <f t="shared" si="29"/>
        <v>12</v>
      </c>
      <c r="D459" t="str">
        <f t="shared" si="30"/>
        <v>dezembro</v>
      </c>
      <c r="E459" t="str">
        <f t="shared" si="31"/>
        <v>2024-12</v>
      </c>
    </row>
    <row r="460" spans="1:5" x14ac:dyDescent="0.3">
      <c r="A460" s="1" t="d">
        <v>2025-01-01</v>
      </c>
      <c r="B460">
        <f t="shared" si="28"/>
        <v>2025</v>
      </c>
      <c r="C460">
        <f t="shared" si="29"/>
        <v>1</v>
      </c>
      <c r="D460" t="str">
        <f t="shared" si="30"/>
        <v>janeiro</v>
      </c>
      <c r="E460" t="str">
        <f t="shared" si="31"/>
        <v>2025-01</v>
      </c>
    </row>
    <row r="461" spans="1:5" x14ac:dyDescent="0.3">
      <c r="A461" s="1" t="d">
        <v>2025-01-02</v>
      </c>
      <c r="B461">
        <f t="shared" si="28"/>
        <v>2025</v>
      </c>
      <c r="C461">
        <f t="shared" si="29"/>
        <v>1</v>
      </c>
      <c r="D461" t="str">
        <f t="shared" si="30"/>
        <v>janeiro</v>
      </c>
      <c r="E461" t="str">
        <f t="shared" si="31"/>
        <v>2025-01</v>
      </c>
    </row>
    <row r="462" spans="1:5" x14ac:dyDescent="0.3">
      <c r="A462" s="1" t="d">
        <v>2025-01-03</v>
      </c>
      <c r="B462">
        <f t="shared" si="28"/>
        <v>2025</v>
      </c>
      <c r="C462">
        <f t="shared" si="29"/>
        <v>1</v>
      </c>
      <c r="D462" t="str">
        <f t="shared" si="30"/>
        <v>janeiro</v>
      </c>
      <c r="E462" t="str">
        <f t="shared" si="31"/>
        <v>2025-01</v>
      </c>
    </row>
    <row r="463" spans="1:5" x14ac:dyDescent="0.3">
      <c r="A463" s="1" t="d">
        <v>2025-01-04</v>
      </c>
      <c r="B463">
        <f t="shared" si="28"/>
        <v>2025</v>
      </c>
      <c r="C463">
        <f t="shared" si="29"/>
        <v>1</v>
      </c>
      <c r="D463" t="str">
        <f t="shared" si="30"/>
        <v>janeiro</v>
      </c>
      <c r="E463" t="str">
        <f t="shared" si="31"/>
        <v>2025-01</v>
      </c>
    </row>
    <row r="464" spans="1:5" x14ac:dyDescent="0.3">
      <c r="A464" s="1" t="d">
        <v>2025-01-05</v>
      </c>
      <c r="B464">
        <f t="shared" si="28"/>
        <v>2025</v>
      </c>
      <c r="C464">
        <f t="shared" si="29"/>
        <v>1</v>
      </c>
      <c r="D464" t="str">
        <f t="shared" si="30"/>
        <v>janeiro</v>
      </c>
      <c r="E464" t="str">
        <f t="shared" si="31"/>
        <v>2025-01</v>
      </c>
    </row>
    <row r="465" spans="1:5" x14ac:dyDescent="0.3">
      <c r="A465" s="1" t="d">
        <v>2025-01-06</v>
      </c>
      <c r="B465">
        <f t="shared" si="28"/>
        <v>2025</v>
      </c>
      <c r="C465">
        <f t="shared" si="29"/>
        <v>1</v>
      </c>
      <c r="D465" t="str">
        <f t="shared" si="30"/>
        <v>janeiro</v>
      </c>
      <c r="E465" t="str">
        <f t="shared" si="31"/>
        <v>2025-01</v>
      </c>
    </row>
    <row r="466" spans="1:5" x14ac:dyDescent="0.3">
      <c r="A466" s="1" t="d">
        <v>2025-01-07</v>
      </c>
      <c r="B466">
        <f t="shared" si="28"/>
        <v>2025</v>
      </c>
      <c r="C466">
        <f t="shared" si="29"/>
        <v>1</v>
      </c>
      <c r="D466" t="str">
        <f t="shared" si="30"/>
        <v>janeiro</v>
      </c>
      <c r="E466" t="str">
        <f t="shared" si="31"/>
        <v>2025-01</v>
      </c>
    </row>
    <row r="467" spans="1:5" x14ac:dyDescent="0.3">
      <c r="A467" s="1" t="d">
        <v>2025-01-08</v>
      </c>
      <c r="B467">
        <f t="shared" si="28"/>
        <v>2025</v>
      </c>
      <c r="C467">
        <f t="shared" si="29"/>
        <v>1</v>
      </c>
      <c r="D467" t="str">
        <f t="shared" si="30"/>
        <v>janeiro</v>
      </c>
      <c r="E467" t="str">
        <f t="shared" si="31"/>
        <v>2025-01</v>
      </c>
    </row>
    <row r="468" spans="1:5" x14ac:dyDescent="0.3">
      <c r="A468" s="1" t="d">
        <v>2025-01-09</v>
      </c>
      <c r="B468">
        <f t="shared" si="28"/>
        <v>2025</v>
      </c>
      <c r="C468">
        <f t="shared" si="29"/>
        <v>1</v>
      </c>
      <c r="D468" t="str">
        <f t="shared" si="30"/>
        <v>janeiro</v>
      </c>
      <c r="E468" t="str">
        <f t="shared" si="31"/>
        <v>2025-01</v>
      </c>
    </row>
    <row r="469" spans="1:5" x14ac:dyDescent="0.3">
      <c r="A469" s="1" t="d">
        <v>2025-01-10</v>
      </c>
      <c r="B469">
        <f t="shared" si="28"/>
        <v>2025</v>
      </c>
      <c r="C469">
        <f t="shared" si="29"/>
        <v>1</v>
      </c>
      <c r="D469" t="str">
        <f t="shared" si="30"/>
        <v>janeiro</v>
      </c>
      <c r="E469" t="str">
        <f t="shared" si="31"/>
        <v>2025-01</v>
      </c>
    </row>
    <row r="470" spans="1:5" x14ac:dyDescent="0.3">
      <c r="A470" s="1" t="d">
        <v>2025-01-11</v>
      </c>
      <c r="B470">
        <f t="shared" si="28"/>
        <v>2025</v>
      </c>
      <c r="C470">
        <f t="shared" si="29"/>
        <v>1</v>
      </c>
      <c r="D470" t="str">
        <f t="shared" si="30"/>
        <v>janeiro</v>
      </c>
      <c r="E470" t="str">
        <f t="shared" si="31"/>
        <v>2025-01</v>
      </c>
    </row>
    <row r="471" spans="1:5" x14ac:dyDescent="0.3">
      <c r="A471" s="1" t="d">
        <v>2025-01-12</v>
      </c>
      <c r="B471">
        <f t="shared" si="28"/>
        <v>2025</v>
      </c>
      <c r="C471">
        <f t="shared" si="29"/>
        <v>1</v>
      </c>
      <c r="D471" t="str">
        <f t="shared" si="30"/>
        <v>janeiro</v>
      </c>
      <c r="E471" t="str">
        <f t="shared" si="31"/>
        <v>2025-01</v>
      </c>
    </row>
    <row r="472" spans="1:5" x14ac:dyDescent="0.3">
      <c r="A472" s="1" t="d">
        <v>2025-01-13</v>
      </c>
      <c r="B472">
        <f t="shared" si="28"/>
        <v>2025</v>
      </c>
      <c r="C472">
        <f t="shared" si="29"/>
        <v>1</v>
      </c>
      <c r="D472" t="str">
        <f t="shared" si="30"/>
        <v>janeiro</v>
      </c>
      <c r="E472" t="str">
        <f t="shared" si="31"/>
        <v>2025-01</v>
      </c>
    </row>
    <row r="473" spans="1:5" x14ac:dyDescent="0.3">
      <c r="A473" s="1" t="d">
        <v>2025-01-14</v>
      </c>
      <c r="B473">
        <f t="shared" si="28"/>
        <v>2025</v>
      </c>
      <c r="C473">
        <f t="shared" si="29"/>
        <v>1</v>
      </c>
      <c r="D473" t="str">
        <f t="shared" si="30"/>
        <v>janeiro</v>
      </c>
      <c r="E473" t="str">
        <f t="shared" si="31"/>
        <v>2025-01</v>
      </c>
    </row>
    <row r="474" spans="1:5" x14ac:dyDescent="0.3">
      <c r="A474" s="1" t="d">
        <v>2025-01-15</v>
      </c>
      <c r="B474">
        <f t="shared" si="28"/>
        <v>2025</v>
      </c>
      <c r="C474">
        <f t="shared" si="29"/>
        <v>1</v>
      </c>
      <c r="D474" t="str">
        <f t="shared" si="30"/>
        <v>janeiro</v>
      </c>
      <c r="E474" t="str">
        <f t="shared" si="31"/>
        <v>2025-01</v>
      </c>
    </row>
    <row r="475" spans="1:5" x14ac:dyDescent="0.3">
      <c r="A475" s="1" t="d">
        <v>2025-01-16</v>
      </c>
      <c r="B475">
        <f t="shared" si="28"/>
        <v>2025</v>
      </c>
      <c r="C475">
        <f t="shared" si="29"/>
        <v>1</v>
      </c>
      <c r="D475" t="str">
        <f t="shared" si="30"/>
        <v>janeiro</v>
      </c>
      <c r="E475" t="str">
        <f t="shared" si="31"/>
        <v>2025-01</v>
      </c>
    </row>
    <row r="476" spans="1:5" x14ac:dyDescent="0.3">
      <c r="A476" s="1" t="d">
        <v>2025-01-17</v>
      </c>
      <c r="B476">
        <f t="shared" si="28"/>
        <v>2025</v>
      </c>
      <c r="C476">
        <f t="shared" si="29"/>
        <v>1</v>
      </c>
      <c r="D476" t="str">
        <f t="shared" si="30"/>
        <v>janeiro</v>
      </c>
      <c r="E476" t="str">
        <f t="shared" si="31"/>
        <v>2025-01</v>
      </c>
    </row>
    <row r="477" spans="1:5" x14ac:dyDescent="0.3">
      <c r="A477" s="1" t="d">
        <v>2025-01-18</v>
      </c>
      <c r="B477">
        <f t="shared" si="28"/>
        <v>2025</v>
      </c>
      <c r="C477">
        <f t="shared" si="29"/>
        <v>1</v>
      </c>
      <c r="D477" t="str">
        <f t="shared" si="30"/>
        <v>janeiro</v>
      </c>
      <c r="E477" t="str">
        <f t="shared" si="31"/>
        <v>2025-01</v>
      </c>
    </row>
    <row r="478" spans="1:5" x14ac:dyDescent="0.3">
      <c r="A478" s="1" t="d">
        <v>2025-01-19</v>
      </c>
      <c r="B478">
        <f t="shared" si="28"/>
        <v>2025</v>
      </c>
      <c r="C478">
        <f t="shared" si="29"/>
        <v>1</v>
      </c>
      <c r="D478" t="str">
        <f t="shared" si="30"/>
        <v>janeiro</v>
      </c>
      <c r="E478" t="str">
        <f t="shared" si="31"/>
        <v>2025-01</v>
      </c>
    </row>
    <row r="479" spans="1:5" x14ac:dyDescent="0.3">
      <c r="A479" s="1" t="d">
        <v>2025-01-20</v>
      </c>
      <c r="B479">
        <f t="shared" si="28"/>
        <v>2025</v>
      </c>
      <c r="C479">
        <f t="shared" si="29"/>
        <v>1</v>
      </c>
      <c r="D479" t="str">
        <f t="shared" si="30"/>
        <v>janeiro</v>
      </c>
      <c r="E479" t="str">
        <f t="shared" si="31"/>
        <v>2025-01</v>
      </c>
    </row>
    <row r="480" spans="1:5" x14ac:dyDescent="0.3">
      <c r="A480" s="1" t="d">
        <v>2025-01-21</v>
      </c>
      <c r="B480">
        <f t="shared" si="28"/>
        <v>2025</v>
      </c>
      <c r="C480">
        <f t="shared" si="29"/>
        <v>1</v>
      </c>
      <c r="D480" t="str">
        <f t="shared" si="30"/>
        <v>janeiro</v>
      </c>
      <c r="E480" t="str">
        <f t="shared" si="31"/>
        <v>2025-01</v>
      </c>
    </row>
    <row r="481" spans="1:5" x14ac:dyDescent="0.3">
      <c r="A481" s="1" t="d">
        <v>2025-01-22</v>
      </c>
      <c r="B481">
        <f t="shared" si="28"/>
        <v>2025</v>
      </c>
      <c r="C481">
        <f t="shared" si="29"/>
        <v>1</v>
      </c>
      <c r="D481" t="str">
        <f t="shared" si="30"/>
        <v>janeiro</v>
      </c>
      <c r="E481" t="str">
        <f t="shared" si="31"/>
        <v>2025-01</v>
      </c>
    </row>
    <row r="482" spans="1:5" x14ac:dyDescent="0.3">
      <c r="A482" s="1" t="d">
        <v>2025-01-23</v>
      </c>
      <c r="B482">
        <f t="shared" si="28"/>
        <v>2025</v>
      </c>
      <c r="C482">
        <f t="shared" si="29"/>
        <v>1</v>
      </c>
      <c r="D482" t="str">
        <f t="shared" si="30"/>
        <v>janeiro</v>
      </c>
      <c r="E482" t="str">
        <f t="shared" si="31"/>
        <v>2025-01</v>
      </c>
    </row>
    <row r="483" spans="1:5" x14ac:dyDescent="0.3">
      <c r="A483" s="1" t="d">
        <v>2025-01-24</v>
      </c>
      <c r="B483">
        <f t="shared" si="28"/>
        <v>2025</v>
      </c>
      <c r="C483">
        <f t="shared" si="29"/>
        <v>1</v>
      </c>
      <c r="D483" t="str">
        <f t="shared" si="30"/>
        <v>janeiro</v>
      </c>
      <c r="E483" t="str">
        <f t="shared" si="31"/>
        <v>2025-01</v>
      </c>
    </row>
    <row r="484" spans="1:5" x14ac:dyDescent="0.3">
      <c r="A484" s="1" t="d">
        <v>2025-01-25</v>
      </c>
      <c r="B484">
        <f t="shared" si="28"/>
        <v>2025</v>
      </c>
      <c r="C484">
        <f t="shared" si="29"/>
        <v>1</v>
      </c>
      <c r="D484" t="str">
        <f t="shared" si="30"/>
        <v>janeiro</v>
      </c>
      <c r="E484" t="str">
        <f t="shared" si="31"/>
        <v>2025-01</v>
      </c>
    </row>
    <row r="485" spans="1:5" x14ac:dyDescent="0.3">
      <c r="A485" s="1" t="d">
        <v>2025-01-26</v>
      </c>
      <c r="B485">
        <f t="shared" si="28"/>
        <v>2025</v>
      </c>
      <c r="C485">
        <f t="shared" si="29"/>
        <v>1</v>
      </c>
      <c r="D485" t="str">
        <f t="shared" si="30"/>
        <v>janeiro</v>
      </c>
      <c r="E485" t="str">
        <f t="shared" si="31"/>
        <v>2025-01</v>
      </c>
    </row>
    <row r="486" spans="1:5" x14ac:dyDescent="0.3">
      <c r="A486" s="1" t="d">
        <v>2025-01-27</v>
      </c>
      <c r="B486">
        <f t="shared" si="28"/>
        <v>2025</v>
      </c>
      <c r="C486">
        <f t="shared" si="29"/>
        <v>1</v>
      </c>
      <c r="D486" t="str">
        <f t="shared" si="30"/>
        <v>janeiro</v>
      </c>
      <c r="E486" t="str">
        <f t="shared" si="31"/>
        <v>2025-01</v>
      </c>
    </row>
    <row r="487" spans="1:5" x14ac:dyDescent="0.3">
      <c r="A487" s="1" t="d">
        <v>2025-01-28</v>
      </c>
      <c r="B487">
        <f t="shared" si="28"/>
        <v>2025</v>
      </c>
      <c r="C487">
        <f t="shared" si="29"/>
        <v>1</v>
      </c>
      <c r="D487" t="str">
        <f t="shared" si="30"/>
        <v>janeiro</v>
      </c>
      <c r="E487" t="str">
        <f t="shared" si="31"/>
        <v>2025-01</v>
      </c>
    </row>
    <row r="488" spans="1:5" x14ac:dyDescent="0.3">
      <c r="A488" s="1" t="d">
        <v>2025-01-29</v>
      </c>
      <c r="B488">
        <f t="shared" si="28"/>
        <v>2025</v>
      </c>
      <c r="C488">
        <f t="shared" si="29"/>
        <v>1</v>
      </c>
      <c r="D488" t="str">
        <f t="shared" si="30"/>
        <v>janeiro</v>
      </c>
      <c r="E488" t="str">
        <f t="shared" si="31"/>
        <v>2025-01</v>
      </c>
    </row>
    <row r="489" spans="1:5" x14ac:dyDescent="0.3">
      <c r="A489" s="1" t="d">
        <v>2025-01-30</v>
      </c>
      <c r="B489">
        <f t="shared" si="28"/>
        <v>2025</v>
      </c>
      <c r="C489">
        <f t="shared" si="29"/>
        <v>1</v>
      </c>
      <c r="D489" t="str">
        <f t="shared" si="30"/>
        <v>janeiro</v>
      </c>
      <c r="E489" t="str">
        <f t="shared" si="31"/>
        <v>2025-01</v>
      </c>
    </row>
    <row r="490" spans="1:5" x14ac:dyDescent="0.3">
      <c r="A490" s="1" t="d">
        <v>2025-01-31</v>
      </c>
      <c r="B490">
        <f t="shared" si="28"/>
        <v>2025</v>
      </c>
      <c r="C490">
        <f t="shared" si="29"/>
        <v>1</v>
      </c>
      <c r="D490" t="str">
        <f t="shared" si="30"/>
        <v>janeiro</v>
      </c>
      <c r="E490" t="str">
        <f t="shared" si="31"/>
        <v>2025-01</v>
      </c>
    </row>
    <row r="491" spans="1:5" x14ac:dyDescent="0.3">
      <c r="A491" s="1" t="d">
        <v>2025-02-01</v>
      </c>
      <c r="B491">
        <f t="shared" si="28"/>
        <v>2025</v>
      </c>
      <c r="C491">
        <f t="shared" si="29"/>
        <v>2</v>
      </c>
      <c r="D491" t="str">
        <f t="shared" si="30"/>
        <v>fevereiro</v>
      </c>
      <c r="E491" t="str">
        <f t="shared" si="31"/>
        <v>2025-02</v>
      </c>
    </row>
    <row r="492" spans="1:5" x14ac:dyDescent="0.3">
      <c r="A492" s="1" t="d">
        <v>2025-02-02</v>
      </c>
      <c r="B492">
        <f t="shared" si="28"/>
        <v>2025</v>
      </c>
      <c r="C492">
        <f t="shared" si="29"/>
        <v>2</v>
      </c>
      <c r="D492" t="str">
        <f t="shared" si="30"/>
        <v>fevereiro</v>
      </c>
      <c r="E492" t="str">
        <f t="shared" si="31"/>
        <v>2025-02</v>
      </c>
    </row>
    <row r="493" spans="1:5" x14ac:dyDescent="0.3">
      <c r="A493" s="1" t="d">
        <v>2025-02-03</v>
      </c>
      <c r="B493">
        <f t="shared" si="28"/>
        <v>2025</v>
      </c>
      <c r="C493">
        <f t="shared" si="29"/>
        <v>2</v>
      </c>
      <c r="D493" t="str">
        <f t="shared" si="30"/>
        <v>fevereiro</v>
      </c>
      <c r="E493" t="str">
        <f t="shared" si="31"/>
        <v>2025-02</v>
      </c>
    </row>
    <row r="494" spans="1:5" x14ac:dyDescent="0.3">
      <c r="A494" s="1" t="d">
        <v>2025-02-04</v>
      </c>
      <c r="B494">
        <f t="shared" si="28"/>
        <v>2025</v>
      </c>
      <c r="C494">
        <f t="shared" si="29"/>
        <v>2</v>
      </c>
      <c r="D494" t="str">
        <f t="shared" si="30"/>
        <v>fevereiro</v>
      </c>
      <c r="E494" t="str">
        <f t="shared" si="31"/>
        <v>2025-02</v>
      </c>
    </row>
    <row r="495" spans="1:5" x14ac:dyDescent="0.3">
      <c r="A495" s="1" t="d">
        <v>2025-02-05</v>
      </c>
      <c r="B495">
        <f t="shared" si="28"/>
        <v>2025</v>
      </c>
      <c r="C495">
        <f t="shared" si="29"/>
        <v>2</v>
      </c>
      <c r="D495" t="str">
        <f t="shared" si="30"/>
        <v>fevereiro</v>
      </c>
      <c r="E495" t="str">
        <f t="shared" si="31"/>
        <v>2025-02</v>
      </c>
    </row>
    <row r="496" spans="1:5" x14ac:dyDescent="0.3">
      <c r="A496" s="1" t="d">
        <v>2025-02-06</v>
      </c>
      <c r="B496">
        <f t="shared" si="28"/>
        <v>2025</v>
      </c>
      <c r="C496">
        <f t="shared" si="29"/>
        <v>2</v>
      </c>
      <c r="D496" t="str">
        <f t="shared" si="30"/>
        <v>fevereiro</v>
      </c>
      <c r="E496" t="str">
        <f t="shared" si="31"/>
        <v>2025-02</v>
      </c>
    </row>
    <row r="497" spans="1:5" x14ac:dyDescent="0.3">
      <c r="A497" s="1" t="d">
        <v>2025-02-07</v>
      </c>
      <c r="B497">
        <f t="shared" si="28"/>
        <v>2025</v>
      </c>
      <c r="C497">
        <f t="shared" si="29"/>
        <v>2</v>
      </c>
      <c r="D497" t="str">
        <f t="shared" si="30"/>
        <v>fevereiro</v>
      </c>
      <c r="E497" t="str">
        <f t="shared" si="31"/>
        <v>2025-02</v>
      </c>
    </row>
    <row r="498" spans="1:5" x14ac:dyDescent="0.3">
      <c r="A498" s="1" t="d">
        <v>2025-02-08</v>
      </c>
      <c r="B498">
        <f t="shared" si="28"/>
        <v>2025</v>
      </c>
      <c r="C498">
        <f t="shared" si="29"/>
        <v>2</v>
      </c>
      <c r="D498" t="str">
        <f t="shared" si="30"/>
        <v>fevereiro</v>
      </c>
      <c r="E498" t="str">
        <f t="shared" si="31"/>
        <v>2025-02</v>
      </c>
    </row>
    <row r="499" spans="1:5" x14ac:dyDescent="0.3">
      <c r="A499" s="1" t="d">
        <v>2025-02-09</v>
      </c>
      <c r="B499">
        <f t="shared" si="28"/>
        <v>2025</v>
      </c>
      <c r="C499">
        <f t="shared" si="29"/>
        <v>2</v>
      </c>
      <c r="D499" t="str">
        <f t="shared" si="30"/>
        <v>fevereiro</v>
      </c>
      <c r="E499" t="str">
        <f t="shared" si="31"/>
        <v>2025-02</v>
      </c>
    </row>
    <row r="500" spans="1:5" x14ac:dyDescent="0.3">
      <c r="A500" s="1" t="d">
        <v>2025-02-10</v>
      </c>
      <c r="B500">
        <f t="shared" si="28"/>
        <v>2025</v>
      </c>
      <c r="C500">
        <f t="shared" si="29"/>
        <v>2</v>
      </c>
      <c r="D500" t="str">
        <f t="shared" si="30"/>
        <v>fevereiro</v>
      </c>
      <c r="E500" t="str">
        <f t="shared" si="31"/>
        <v>2025-02</v>
      </c>
    </row>
    <row r="501" spans="1:5" x14ac:dyDescent="0.3">
      <c r="A501" s="1" t="d">
        <v>2025-02-11</v>
      </c>
      <c r="B501">
        <f t="shared" si="28"/>
        <v>2025</v>
      </c>
      <c r="C501">
        <f t="shared" si="29"/>
        <v>2</v>
      </c>
      <c r="D501" t="str">
        <f t="shared" si="30"/>
        <v>fevereiro</v>
      </c>
      <c r="E501" t="str">
        <f t="shared" si="31"/>
        <v>2025-02</v>
      </c>
    </row>
    <row r="502" spans="1:5" x14ac:dyDescent="0.3">
      <c r="A502" s="1" t="d">
        <v>2025-02-12</v>
      </c>
      <c r="B502">
        <f t="shared" si="28"/>
        <v>2025</v>
      </c>
      <c r="C502">
        <f t="shared" si="29"/>
        <v>2</v>
      </c>
      <c r="D502" t="str">
        <f t="shared" si="30"/>
        <v>fevereiro</v>
      </c>
      <c r="E502" t="str">
        <f t="shared" si="31"/>
        <v>2025-02</v>
      </c>
    </row>
    <row r="503" spans="1:5" x14ac:dyDescent="0.3">
      <c r="A503" s="1" t="d">
        <v>2025-02-13</v>
      </c>
      <c r="B503">
        <f t="shared" si="28"/>
        <v>2025</v>
      </c>
      <c r="C503">
        <f t="shared" si="29"/>
        <v>2</v>
      </c>
      <c r="D503" t="str">
        <f t="shared" si="30"/>
        <v>fevereiro</v>
      </c>
      <c r="E503" t="str">
        <f t="shared" si="31"/>
        <v>2025-02</v>
      </c>
    </row>
    <row r="504" spans="1:5" x14ac:dyDescent="0.3">
      <c r="A504" s="1" t="d">
        <v>2025-02-14</v>
      </c>
      <c r="B504">
        <f t="shared" si="28"/>
        <v>2025</v>
      </c>
      <c r="C504">
        <f t="shared" si="29"/>
        <v>2</v>
      </c>
      <c r="D504" t="str">
        <f t="shared" si="30"/>
        <v>fevereiro</v>
      </c>
      <c r="E504" t="str">
        <f t="shared" si="31"/>
        <v>2025-02</v>
      </c>
    </row>
    <row r="505" spans="1:5" x14ac:dyDescent="0.3">
      <c r="A505" s="1" t="d">
        <v>2025-02-15</v>
      </c>
      <c r="B505">
        <f t="shared" si="28"/>
        <v>2025</v>
      </c>
      <c r="C505">
        <f t="shared" si="29"/>
        <v>2</v>
      </c>
      <c r="D505" t="str">
        <f t="shared" si="30"/>
        <v>fevereiro</v>
      </c>
      <c r="E505" t="str">
        <f t="shared" si="31"/>
        <v>2025-02</v>
      </c>
    </row>
    <row r="506" spans="1:5" x14ac:dyDescent="0.3">
      <c r="A506" s="1" t="d">
        <v>2025-02-16</v>
      </c>
      <c r="B506">
        <f t="shared" si="28"/>
        <v>2025</v>
      </c>
      <c r="C506">
        <f t="shared" si="29"/>
        <v>2</v>
      </c>
      <c r="D506" t="str">
        <f t="shared" si="30"/>
        <v>fevereiro</v>
      </c>
      <c r="E506" t="str">
        <f t="shared" si="31"/>
        <v>2025-02</v>
      </c>
    </row>
    <row r="507" spans="1:5" x14ac:dyDescent="0.3">
      <c r="A507" s="1" t="d">
        <v>2025-02-17</v>
      </c>
      <c r="B507">
        <f t="shared" si="28"/>
        <v>2025</v>
      </c>
      <c r="C507">
        <f t="shared" si="29"/>
        <v>2</v>
      </c>
      <c r="D507" t="str">
        <f t="shared" si="30"/>
        <v>fevereiro</v>
      </c>
      <c r="E507" t="str">
        <f t="shared" si="31"/>
        <v>2025-02</v>
      </c>
    </row>
    <row r="508" spans="1:5" x14ac:dyDescent="0.3">
      <c r="A508" s="1" t="d">
        <v>2025-02-18</v>
      </c>
      <c r="B508">
        <f t="shared" si="28"/>
        <v>2025</v>
      </c>
      <c r="C508">
        <f t="shared" si="29"/>
        <v>2</v>
      </c>
      <c r="D508" t="str">
        <f t="shared" si="30"/>
        <v>fevereiro</v>
      </c>
      <c r="E508" t="str">
        <f t="shared" si="31"/>
        <v>2025-02</v>
      </c>
    </row>
    <row r="509" spans="1:5" x14ac:dyDescent="0.3">
      <c r="A509" s="1" t="d">
        <v>2025-02-19</v>
      </c>
      <c r="B509">
        <f t="shared" si="28"/>
        <v>2025</v>
      </c>
      <c r="C509">
        <f t="shared" si="29"/>
        <v>2</v>
      </c>
      <c r="D509" t="str">
        <f t="shared" si="30"/>
        <v>fevereiro</v>
      </c>
      <c r="E509" t="str">
        <f t="shared" si="31"/>
        <v>2025-02</v>
      </c>
    </row>
    <row r="510" spans="1:5" x14ac:dyDescent="0.3">
      <c r="A510" s="1" t="d">
        <v>2025-02-20</v>
      </c>
      <c r="B510">
        <f t="shared" si="28"/>
        <v>2025</v>
      </c>
      <c r="C510">
        <f t="shared" si="29"/>
        <v>2</v>
      </c>
      <c r="D510" t="str">
        <f t="shared" si="30"/>
        <v>fevereiro</v>
      </c>
      <c r="E510" t="str">
        <f t="shared" si="31"/>
        <v>2025-02</v>
      </c>
    </row>
    <row r="511" spans="1:5" x14ac:dyDescent="0.3">
      <c r="A511" s="1" t="d">
        <v>2025-02-21</v>
      </c>
      <c r="B511">
        <f t="shared" si="28"/>
        <v>2025</v>
      </c>
      <c r="C511">
        <f t="shared" si="29"/>
        <v>2</v>
      </c>
      <c r="D511" t="str">
        <f t="shared" si="30"/>
        <v>fevereiro</v>
      </c>
      <c r="E511" t="str">
        <f t="shared" si="31"/>
        <v>2025-02</v>
      </c>
    </row>
    <row r="512" spans="1:5" x14ac:dyDescent="0.3">
      <c r="A512" s="1" t="d">
        <v>2025-02-22</v>
      </c>
      <c r="B512">
        <f t="shared" si="28"/>
        <v>2025</v>
      </c>
      <c r="C512">
        <f t="shared" si="29"/>
        <v>2</v>
      </c>
      <c r="D512" t="str">
        <f t="shared" si="30"/>
        <v>fevereiro</v>
      </c>
      <c r="E512" t="str">
        <f t="shared" si="31"/>
        <v>2025-02</v>
      </c>
    </row>
    <row r="513" spans="1:5" x14ac:dyDescent="0.3">
      <c r="A513" s="1" t="d">
        <v>2025-02-23</v>
      </c>
      <c r="B513">
        <f t="shared" si="28"/>
        <v>2025</v>
      </c>
      <c r="C513">
        <f t="shared" si="29"/>
        <v>2</v>
      </c>
      <c r="D513" t="str">
        <f t="shared" si="30"/>
        <v>fevereiro</v>
      </c>
      <c r="E513" t="str">
        <f t="shared" si="31"/>
        <v>2025-02</v>
      </c>
    </row>
    <row r="514" spans="1:5" x14ac:dyDescent="0.3">
      <c r="A514" s="1" t="d">
        <v>2025-02-24</v>
      </c>
      <c r="B514">
        <f t="shared" si="28"/>
        <v>2025</v>
      </c>
      <c r="C514">
        <f t="shared" si="29"/>
        <v>2</v>
      </c>
      <c r="D514" t="str">
        <f t="shared" si="30"/>
        <v>fevereiro</v>
      </c>
      <c r="E514" t="str">
        <f t="shared" si="31"/>
        <v>2025-02</v>
      </c>
    </row>
    <row r="515" spans="1:5" x14ac:dyDescent="0.3">
      <c r="A515" s="1" t="d">
        <v>2025-02-25</v>
      </c>
      <c r="B515">
        <f t="shared" ref="B515:B578" si="32">YEAR(A515)</f>
        <v>2025</v>
      </c>
      <c r="C515">
        <f t="shared" ref="C515:C578" si="33">MONTH(A515)</f>
        <v>2</v>
      </c>
      <c r="D515" t="str">
        <f t="shared" ref="D515:D578" si="34">TEXT(A515, "mmmm")</f>
        <v>fevereiro</v>
      </c>
      <c r="E515" t="str">
        <f t="shared" ref="E515:E578" si="35">TEXT(A515, "aaaa-mm")</f>
        <v>2025-02</v>
      </c>
    </row>
    <row r="516" spans="1:5" x14ac:dyDescent="0.3">
      <c r="A516" s="1" t="d">
        <v>2025-02-26</v>
      </c>
      <c r="B516">
        <f t="shared" si="32"/>
        <v>2025</v>
      </c>
      <c r="C516">
        <f t="shared" si="33"/>
        <v>2</v>
      </c>
      <c r="D516" t="str">
        <f t="shared" si="34"/>
        <v>fevereiro</v>
      </c>
      <c r="E516" t="str">
        <f t="shared" si="35"/>
        <v>2025-02</v>
      </c>
    </row>
    <row r="517" spans="1:5" x14ac:dyDescent="0.3">
      <c r="A517" s="1" t="d">
        <v>2025-02-27</v>
      </c>
      <c r="B517">
        <f t="shared" si="32"/>
        <v>2025</v>
      </c>
      <c r="C517">
        <f t="shared" si="33"/>
        <v>2</v>
      </c>
      <c r="D517" t="str">
        <f t="shared" si="34"/>
        <v>fevereiro</v>
      </c>
      <c r="E517" t="str">
        <f t="shared" si="35"/>
        <v>2025-02</v>
      </c>
    </row>
    <row r="518" spans="1:5" x14ac:dyDescent="0.3">
      <c r="A518" s="1" t="d">
        <v>2025-02-28</v>
      </c>
      <c r="B518">
        <f t="shared" si="32"/>
        <v>2025</v>
      </c>
      <c r="C518">
        <f t="shared" si="33"/>
        <v>2</v>
      </c>
      <c r="D518" t="str">
        <f t="shared" si="34"/>
        <v>fevereiro</v>
      </c>
      <c r="E518" t="str">
        <f t="shared" si="35"/>
        <v>2025-02</v>
      </c>
    </row>
    <row r="519" spans="1:5" x14ac:dyDescent="0.3">
      <c r="A519" s="1" t="d">
        <v>2025-03-01</v>
      </c>
      <c r="B519">
        <f t="shared" si="32"/>
        <v>2025</v>
      </c>
      <c r="C519">
        <f t="shared" si="33"/>
        <v>3</v>
      </c>
      <c r="D519" t="str">
        <f t="shared" si="34"/>
        <v>março</v>
      </c>
      <c r="E519" t="str">
        <f t="shared" si="35"/>
        <v>2025-03</v>
      </c>
    </row>
    <row r="520" spans="1:5" x14ac:dyDescent="0.3">
      <c r="A520" s="1" t="d">
        <v>2025-03-02</v>
      </c>
      <c r="B520">
        <f t="shared" si="32"/>
        <v>2025</v>
      </c>
      <c r="C520">
        <f t="shared" si="33"/>
        <v>3</v>
      </c>
      <c r="D520" t="str">
        <f t="shared" si="34"/>
        <v>março</v>
      </c>
      <c r="E520" t="str">
        <f t="shared" si="35"/>
        <v>2025-03</v>
      </c>
    </row>
    <row r="521" spans="1:5" x14ac:dyDescent="0.3">
      <c r="A521" s="1" t="d">
        <v>2025-03-03</v>
      </c>
      <c r="B521">
        <f t="shared" si="32"/>
        <v>2025</v>
      </c>
      <c r="C521">
        <f t="shared" si="33"/>
        <v>3</v>
      </c>
      <c r="D521" t="str">
        <f t="shared" si="34"/>
        <v>março</v>
      </c>
      <c r="E521" t="str">
        <f t="shared" si="35"/>
        <v>2025-03</v>
      </c>
    </row>
    <row r="522" spans="1:5" x14ac:dyDescent="0.3">
      <c r="A522" s="1" t="d">
        <v>2025-03-04</v>
      </c>
      <c r="B522">
        <f t="shared" si="32"/>
        <v>2025</v>
      </c>
      <c r="C522">
        <f t="shared" si="33"/>
        <v>3</v>
      </c>
      <c r="D522" t="str">
        <f t="shared" si="34"/>
        <v>março</v>
      </c>
      <c r="E522" t="str">
        <f t="shared" si="35"/>
        <v>2025-03</v>
      </c>
    </row>
    <row r="523" spans="1:5" x14ac:dyDescent="0.3">
      <c r="A523" s="1" t="d">
        <v>2025-03-05</v>
      </c>
      <c r="B523">
        <f t="shared" si="32"/>
        <v>2025</v>
      </c>
      <c r="C523">
        <f t="shared" si="33"/>
        <v>3</v>
      </c>
      <c r="D523" t="str">
        <f t="shared" si="34"/>
        <v>março</v>
      </c>
      <c r="E523" t="str">
        <f t="shared" si="35"/>
        <v>2025-03</v>
      </c>
    </row>
    <row r="524" spans="1:5" x14ac:dyDescent="0.3">
      <c r="A524" s="1" t="d">
        <v>2025-03-06</v>
      </c>
      <c r="B524">
        <f t="shared" si="32"/>
        <v>2025</v>
      </c>
      <c r="C524">
        <f t="shared" si="33"/>
        <v>3</v>
      </c>
      <c r="D524" t="str">
        <f t="shared" si="34"/>
        <v>março</v>
      </c>
      <c r="E524" t="str">
        <f t="shared" si="35"/>
        <v>2025-03</v>
      </c>
    </row>
    <row r="525" spans="1:5" x14ac:dyDescent="0.3">
      <c r="A525" s="1" t="d">
        <v>2025-03-07</v>
      </c>
      <c r="B525">
        <f t="shared" si="32"/>
        <v>2025</v>
      </c>
      <c r="C525">
        <f t="shared" si="33"/>
        <v>3</v>
      </c>
      <c r="D525" t="str">
        <f t="shared" si="34"/>
        <v>março</v>
      </c>
      <c r="E525" t="str">
        <f t="shared" si="35"/>
        <v>2025-03</v>
      </c>
    </row>
    <row r="526" spans="1:5" x14ac:dyDescent="0.3">
      <c r="A526" s="1" t="d">
        <v>2025-03-08</v>
      </c>
      <c r="B526">
        <f t="shared" si="32"/>
        <v>2025</v>
      </c>
      <c r="C526">
        <f t="shared" si="33"/>
        <v>3</v>
      </c>
      <c r="D526" t="str">
        <f t="shared" si="34"/>
        <v>março</v>
      </c>
      <c r="E526" t="str">
        <f t="shared" si="35"/>
        <v>2025-03</v>
      </c>
    </row>
    <row r="527" spans="1:5" x14ac:dyDescent="0.3">
      <c r="A527" s="1" t="d">
        <v>2025-03-09</v>
      </c>
      <c r="B527">
        <f t="shared" si="32"/>
        <v>2025</v>
      </c>
      <c r="C527">
        <f t="shared" si="33"/>
        <v>3</v>
      </c>
      <c r="D527" t="str">
        <f t="shared" si="34"/>
        <v>março</v>
      </c>
      <c r="E527" t="str">
        <f t="shared" si="35"/>
        <v>2025-03</v>
      </c>
    </row>
    <row r="528" spans="1:5" x14ac:dyDescent="0.3">
      <c r="A528" s="1" t="d">
        <v>2025-03-10</v>
      </c>
      <c r="B528">
        <f t="shared" si="32"/>
        <v>2025</v>
      </c>
      <c r="C528">
        <f t="shared" si="33"/>
        <v>3</v>
      </c>
      <c r="D528" t="str">
        <f t="shared" si="34"/>
        <v>março</v>
      </c>
      <c r="E528" t="str">
        <f t="shared" si="35"/>
        <v>2025-03</v>
      </c>
    </row>
    <row r="529" spans="1:5" x14ac:dyDescent="0.3">
      <c r="A529" s="1" t="d">
        <v>2025-03-11</v>
      </c>
      <c r="B529">
        <f t="shared" si="32"/>
        <v>2025</v>
      </c>
      <c r="C529">
        <f t="shared" si="33"/>
        <v>3</v>
      </c>
      <c r="D529" t="str">
        <f t="shared" si="34"/>
        <v>março</v>
      </c>
      <c r="E529" t="str">
        <f t="shared" si="35"/>
        <v>2025-03</v>
      </c>
    </row>
    <row r="530" spans="1:5" x14ac:dyDescent="0.3">
      <c r="A530" s="1" t="d">
        <v>2025-03-12</v>
      </c>
      <c r="B530">
        <f t="shared" si="32"/>
        <v>2025</v>
      </c>
      <c r="C530">
        <f t="shared" si="33"/>
        <v>3</v>
      </c>
      <c r="D530" t="str">
        <f t="shared" si="34"/>
        <v>março</v>
      </c>
      <c r="E530" t="str">
        <f t="shared" si="35"/>
        <v>2025-03</v>
      </c>
    </row>
    <row r="531" spans="1:5" x14ac:dyDescent="0.3">
      <c r="A531" s="1" t="d">
        <v>2025-03-13</v>
      </c>
      <c r="B531">
        <f t="shared" si="32"/>
        <v>2025</v>
      </c>
      <c r="C531">
        <f t="shared" si="33"/>
        <v>3</v>
      </c>
      <c r="D531" t="str">
        <f t="shared" si="34"/>
        <v>março</v>
      </c>
      <c r="E531" t="str">
        <f t="shared" si="35"/>
        <v>2025-03</v>
      </c>
    </row>
    <row r="532" spans="1:5" x14ac:dyDescent="0.3">
      <c r="A532" s="1" t="d">
        <v>2025-03-14</v>
      </c>
      <c r="B532">
        <f t="shared" si="32"/>
        <v>2025</v>
      </c>
      <c r="C532">
        <f t="shared" si="33"/>
        <v>3</v>
      </c>
      <c r="D532" t="str">
        <f t="shared" si="34"/>
        <v>março</v>
      </c>
      <c r="E532" t="str">
        <f t="shared" si="35"/>
        <v>2025-03</v>
      </c>
    </row>
    <row r="533" spans="1:5" x14ac:dyDescent="0.3">
      <c r="A533" s="1" t="d">
        <v>2025-03-15</v>
      </c>
      <c r="B533">
        <f t="shared" si="32"/>
        <v>2025</v>
      </c>
      <c r="C533">
        <f t="shared" si="33"/>
        <v>3</v>
      </c>
      <c r="D533" t="str">
        <f t="shared" si="34"/>
        <v>março</v>
      </c>
      <c r="E533" t="str">
        <f t="shared" si="35"/>
        <v>2025-03</v>
      </c>
    </row>
    <row r="534" spans="1:5" x14ac:dyDescent="0.3">
      <c r="A534" s="1" t="d">
        <v>2025-03-16</v>
      </c>
      <c r="B534">
        <f t="shared" si="32"/>
        <v>2025</v>
      </c>
      <c r="C534">
        <f t="shared" si="33"/>
        <v>3</v>
      </c>
      <c r="D534" t="str">
        <f t="shared" si="34"/>
        <v>março</v>
      </c>
      <c r="E534" t="str">
        <f t="shared" si="35"/>
        <v>2025-03</v>
      </c>
    </row>
    <row r="535" spans="1:5" x14ac:dyDescent="0.3">
      <c r="A535" s="1" t="d">
        <v>2025-03-17</v>
      </c>
      <c r="B535">
        <f t="shared" si="32"/>
        <v>2025</v>
      </c>
      <c r="C535">
        <f t="shared" si="33"/>
        <v>3</v>
      </c>
      <c r="D535" t="str">
        <f t="shared" si="34"/>
        <v>março</v>
      </c>
      <c r="E535" t="str">
        <f t="shared" si="35"/>
        <v>2025-03</v>
      </c>
    </row>
    <row r="536" spans="1:5" x14ac:dyDescent="0.3">
      <c r="A536" s="1" t="d">
        <v>2025-03-18</v>
      </c>
      <c r="B536">
        <f t="shared" si="32"/>
        <v>2025</v>
      </c>
      <c r="C536">
        <f t="shared" si="33"/>
        <v>3</v>
      </c>
      <c r="D536" t="str">
        <f t="shared" si="34"/>
        <v>março</v>
      </c>
      <c r="E536" t="str">
        <f t="shared" si="35"/>
        <v>2025-03</v>
      </c>
    </row>
    <row r="537" spans="1:5" x14ac:dyDescent="0.3">
      <c r="A537" s="1" t="d">
        <v>2025-03-19</v>
      </c>
      <c r="B537">
        <f t="shared" si="32"/>
        <v>2025</v>
      </c>
      <c r="C537">
        <f t="shared" si="33"/>
        <v>3</v>
      </c>
      <c r="D537" t="str">
        <f t="shared" si="34"/>
        <v>março</v>
      </c>
      <c r="E537" t="str">
        <f t="shared" si="35"/>
        <v>2025-03</v>
      </c>
    </row>
    <row r="538" spans="1:5" x14ac:dyDescent="0.3">
      <c r="A538" s="1" t="d">
        <v>2025-03-20</v>
      </c>
      <c r="B538">
        <f t="shared" si="32"/>
        <v>2025</v>
      </c>
      <c r="C538">
        <f t="shared" si="33"/>
        <v>3</v>
      </c>
      <c r="D538" t="str">
        <f t="shared" si="34"/>
        <v>março</v>
      </c>
      <c r="E538" t="str">
        <f t="shared" si="35"/>
        <v>2025-03</v>
      </c>
    </row>
    <row r="539" spans="1:5" x14ac:dyDescent="0.3">
      <c r="A539" s="1" t="d">
        <v>2025-03-21</v>
      </c>
      <c r="B539">
        <f t="shared" si="32"/>
        <v>2025</v>
      </c>
      <c r="C539">
        <f t="shared" si="33"/>
        <v>3</v>
      </c>
      <c r="D539" t="str">
        <f t="shared" si="34"/>
        <v>março</v>
      </c>
      <c r="E539" t="str">
        <f t="shared" si="35"/>
        <v>2025-03</v>
      </c>
    </row>
    <row r="540" spans="1:5" x14ac:dyDescent="0.3">
      <c r="A540" s="1" t="d">
        <v>2025-03-22</v>
      </c>
      <c r="B540">
        <f t="shared" si="32"/>
        <v>2025</v>
      </c>
      <c r="C540">
        <f t="shared" si="33"/>
        <v>3</v>
      </c>
      <c r="D540" t="str">
        <f t="shared" si="34"/>
        <v>março</v>
      </c>
      <c r="E540" t="str">
        <f t="shared" si="35"/>
        <v>2025-03</v>
      </c>
    </row>
    <row r="541" spans="1:5" x14ac:dyDescent="0.3">
      <c r="A541" s="1" t="d">
        <v>2025-03-23</v>
      </c>
      <c r="B541">
        <f t="shared" si="32"/>
        <v>2025</v>
      </c>
      <c r="C541">
        <f t="shared" si="33"/>
        <v>3</v>
      </c>
      <c r="D541" t="str">
        <f t="shared" si="34"/>
        <v>março</v>
      </c>
      <c r="E541" t="str">
        <f t="shared" si="35"/>
        <v>2025-03</v>
      </c>
    </row>
    <row r="542" spans="1:5" x14ac:dyDescent="0.3">
      <c r="A542" s="1" t="d">
        <v>2025-03-24</v>
      </c>
      <c r="B542">
        <f t="shared" si="32"/>
        <v>2025</v>
      </c>
      <c r="C542">
        <f t="shared" si="33"/>
        <v>3</v>
      </c>
      <c r="D542" t="str">
        <f t="shared" si="34"/>
        <v>março</v>
      </c>
      <c r="E542" t="str">
        <f t="shared" si="35"/>
        <v>2025-03</v>
      </c>
    </row>
    <row r="543" spans="1:5" x14ac:dyDescent="0.3">
      <c r="A543" s="1" t="d">
        <v>2025-03-25</v>
      </c>
      <c r="B543">
        <f t="shared" si="32"/>
        <v>2025</v>
      </c>
      <c r="C543">
        <f t="shared" si="33"/>
        <v>3</v>
      </c>
      <c r="D543" t="str">
        <f t="shared" si="34"/>
        <v>março</v>
      </c>
      <c r="E543" t="str">
        <f t="shared" si="35"/>
        <v>2025-03</v>
      </c>
    </row>
    <row r="544" spans="1:5" x14ac:dyDescent="0.3">
      <c r="A544" s="1" t="d">
        <v>2025-03-26</v>
      </c>
      <c r="B544">
        <f t="shared" si="32"/>
        <v>2025</v>
      </c>
      <c r="C544">
        <f t="shared" si="33"/>
        <v>3</v>
      </c>
      <c r="D544" t="str">
        <f t="shared" si="34"/>
        <v>março</v>
      </c>
      <c r="E544" t="str">
        <f t="shared" si="35"/>
        <v>2025-03</v>
      </c>
    </row>
    <row r="545" spans="1:5" x14ac:dyDescent="0.3">
      <c r="A545" s="1" t="d">
        <v>2025-03-27</v>
      </c>
      <c r="B545">
        <f t="shared" si="32"/>
        <v>2025</v>
      </c>
      <c r="C545">
        <f t="shared" si="33"/>
        <v>3</v>
      </c>
      <c r="D545" t="str">
        <f t="shared" si="34"/>
        <v>março</v>
      </c>
      <c r="E545" t="str">
        <f t="shared" si="35"/>
        <v>2025-03</v>
      </c>
    </row>
    <row r="546" spans="1:5" x14ac:dyDescent="0.3">
      <c r="A546" s="1" t="d">
        <v>2025-03-28</v>
      </c>
      <c r="B546">
        <f t="shared" si="32"/>
        <v>2025</v>
      </c>
      <c r="C546">
        <f t="shared" si="33"/>
        <v>3</v>
      </c>
      <c r="D546" t="str">
        <f t="shared" si="34"/>
        <v>março</v>
      </c>
      <c r="E546" t="str">
        <f t="shared" si="35"/>
        <v>2025-03</v>
      </c>
    </row>
    <row r="547" spans="1:5" x14ac:dyDescent="0.3">
      <c r="A547" s="1" t="d">
        <v>2025-03-29</v>
      </c>
      <c r="B547">
        <f t="shared" si="32"/>
        <v>2025</v>
      </c>
      <c r="C547">
        <f t="shared" si="33"/>
        <v>3</v>
      </c>
      <c r="D547" t="str">
        <f t="shared" si="34"/>
        <v>março</v>
      </c>
      <c r="E547" t="str">
        <f t="shared" si="35"/>
        <v>2025-03</v>
      </c>
    </row>
    <row r="548" spans="1:5" x14ac:dyDescent="0.3">
      <c r="A548" s="1" t="d">
        <v>2025-03-30</v>
      </c>
      <c r="B548">
        <f t="shared" si="32"/>
        <v>2025</v>
      </c>
      <c r="C548">
        <f t="shared" si="33"/>
        <v>3</v>
      </c>
      <c r="D548" t="str">
        <f t="shared" si="34"/>
        <v>março</v>
      </c>
      <c r="E548" t="str">
        <f t="shared" si="35"/>
        <v>2025-03</v>
      </c>
    </row>
    <row r="549" spans="1:5" x14ac:dyDescent="0.3">
      <c r="A549" s="1" t="d">
        <v>2025-03-31</v>
      </c>
      <c r="B549">
        <f t="shared" si="32"/>
        <v>2025</v>
      </c>
      <c r="C549">
        <f t="shared" si="33"/>
        <v>3</v>
      </c>
      <c r="D549" t="str">
        <f t="shared" si="34"/>
        <v>março</v>
      </c>
      <c r="E549" t="str">
        <f t="shared" si="35"/>
        <v>2025-03</v>
      </c>
    </row>
    <row r="550" spans="1:5" x14ac:dyDescent="0.3">
      <c r="A550" s="1" t="d">
        <v>2025-04-01</v>
      </c>
      <c r="B550">
        <f t="shared" si="32"/>
        <v>2025</v>
      </c>
      <c r="C550">
        <f t="shared" si="33"/>
        <v>4</v>
      </c>
      <c r="D550" t="str">
        <f t="shared" si="34"/>
        <v>abril</v>
      </c>
      <c r="E550" t="str">
        <f t="shared" si="35"/>
        <v>2025-04</v>
      </c>
    </row>
    <row r="551" spans="1:5" x14ac:dyDescent="0.3">
      <c r="A551" s="1" t="d">
        <v>2025-04-02</v>
      </c>
      <c r="B551">
        <f t="shared" si="32"/>
        <v>2025</v>
      </c>
      <c r="C551">
        <f t="shared" si="33"/>
        <v>4</v>
      </c>
      <c r="D551" t="str">
        <f t="shared" si="34"/>
        <v>abril</v>
      </c>
      <c r="E551" t="str">
        <f t="shared" si="35"/>
        <v>2025-04</v>
      </c>
    </row>
    <row r="552" spans="1:5" x14ac:dyDescent="0.3">
      <c r="A552" s="1" t="d">
        <v>2025-04-03</v>
      </c>
      <c r="B552">
        <f t="shared" si="32"/>
        <v>2025</v>
      </c>
      <c r="C552">
        <f t="shared" si="33"/>
        <v>4</v>
      </c>
      <c r="D552" t="str">
        <f t="shared" si="34"/>
        <v>abril</v>
      </c>
      <c r="E552" t="str">
        <f t="shared" si="35"/>
        <v>2025-04</v>
      </c>
    </row>
    <row r="553" spans="1:5" x14ac:dyDescent="0.3">
      <c r="A553" s="1" t="d">
        <v>2025-04-04</v>
      </c>
      <c r="B553">
        <f t="shared" si="32"/>
        <v>2025</v>
      </c>
      <c r="C553">
        <f t="shared" si="33"/>
        <v>4</v>
      </c>
      <c r="D553" t="str">
        <f t="shared" si="34"/>
        <v>abril</v>
      </c>
      <c r="E553" t="str">
        <f t="shared" si="35"/>
        <v>2025-04</v>
      </c>
    </row>
    <row r="554" spans="1:5" x14ac:dyDescent="0.3">
      <c r="A554" s="1" t="d">
        <v>2025-04-05</v>
      </c>
      <c r="B554">
        <f t="shared" si="32"/>
        <v>2025</v>
      </c>
      <c r="C554">
        <f t="shared" si="33"/>
        <v>4</v>
      </c>
      <c r="D554" t="str">
        <f t="shared" si="34"/>
        <v>abril</v>
      </c>
      <c r="E554" t="str">
        <f t="shared" si="35"/>
        <v>2025-04</v>
      </c>
    </row>
    <row r="555" spans="1:5" x14ac:dyDescent="0.3">
      <c r="A555" s="1" t="d">
        <v>2025-04-06</v>
      </c>
      <c r="B555">
        <f t="shared" si="32"/>
        <v>2025</v>
      </c>
      <c r="C555">
        <f t="shared" si="33"/>
        <v>4</v>
      </c>
      <c r="D555" t="str">
        <f t="shared" si="34"/>
        <v>abril</v>
      </c>
      <c r="E555" t="str">
        <f t="shared" si="35"/>
        <v>2025-04</v>
      </c>
    </row>
    <row r="556" spans="1:5" x14ac:dyDescent="0.3">
      <c r="A556" s="1" t="d">
        <v>2025-04-07</v>
      </c>
      <c r="B556">
        <f t="shared" si="32"/>
        <v>2025</v>
      </c>
      <c r="C556">
        <f t="shared" si="33"/>
        <v>4</v>
      </c>
      <c r="D556" t="str">
        <f t="shared" si="34"/>
        <v>abril</v>
      </c>
      <c r="E556" t="str">
        <f t="shared" si="35"/>
        <v>2025-04</v>
      </c>
    </row>
    <row r="557" spans="1:5" x14ac:dyDescent="0.3">
      <c r="A557" s="1" t="d">
        <v>2025-04-08</v>
      </c>
      <c r="B557">
        <f t="shared" si="32"/>
        <v>2025</v>
      </c>
      <c r="C557">
        <f t="shared" si="33"/>
        <v>4</v>
      </c>
      <c r="D557" t="str">
        <f t="shared" si="34"/>
        <v>abril</v>
      </c>
      <c r="E557" t="str">
        <f t="shared" si="35"/>
        <v>2025-04</v>
      </c>
    </row>
    <row r="558" spans="1:5" x14ac:dyDescent="0.3">
      <c r="A558" s="1" t="d">
        <v>2025-04-09</v>
      </c>
      <c r="B558">
        <f t="shared" si="32"/>
        <v>2025</v>
      </c>
      <c r="C558">
        <f t="shared" si="33"/>
        <v>4</v>
      </c>
      <c r="D558" t="str">
        <f t="shared" si="34"/>
        <v>abril</v>
      </c>
      <c r="E558" t="str">
        <f t="shared" si="35"/>
        <v>2025-04</v>
      </c>
    </row>
    <row r="559" spans="1:5" x14ac:dyDescent="0.3">
      <c r="A559" s="1" t="d">
        <v>2025-04-10</v>
      </c>
      <c r="B559">
        <f t="shared" si="32"/>
        <v>2025</v>
      </c>
      <c r="C559">
        <f t="shared" si="33"/>
        <v>4</v>
      </c>
      <c r="D559" t="str">
        <f t="shared" si="34"/>
        <v>abril</v>
      </c>
      <c r="E559" t="str">
        <f t="shared" si="35"/>
        <v>2025-04</v>
      </c>
    </row>
    <row r="560" spans="1:5" x14ac:dyDescent="0.3">
      <c r="A560" s="1" t="d">
        <v>2025-04-11</v>
      </c>
      <c r="B560">
        <f t="shared" si="32"/>
        <v>2025</v>
      </c>
      <c r="C560">
        <f t="shared" si="33"/>
        <v>4</v>
      </c>
      <c r="D560" t="str">
        <f t="shared" si="34"/>
        <v>abril</v>
      </c>
      <c r="E560" t="str">
        <f t="shared" si="35"/>
        <v>2025-04</v>
      </c>
    </row>
    <row r="561" spans="1:5" x14ac:dyDescent="0.3">
      <c r="A561" s="1" t="d">
        <v>2025-04-12</v>
      </c>
      <c r="B561">
        <f t="shared" si="32"/>
        <v>2025</v>
      </c>
      <c r="C561">
        <f t="shared" si="33"/>
        <v>4</v>
      </c>
      <c r="D561" t="str">
        <f t="shared" si="34"/>
        <v>abril</v>
      </c>
      <c r="E561" t="str">
        <f t="shared" si="35"/>
        <v>2025-04</v>
      </c>
    </row>
    <row r="562" spans="1:5" x14ac:dyDescent="0.3">
      <c r="A562" s="1" t="d">
        <v>2025-04-13</v>
      </c>
      <c r="B562">
        <f t="shared" si="32"/>
        <v>2025</v>
      </c>
      <c r="C562">
        <f t="shared" si="33"/>
        <v>4</v>
      </c>
      <c r="D562" t="str">
        <f t="shared" si="34"/>
        <v>abril</v>
      </c>
      <c r="E562" t="str">
        <f t="shared" si="35"/>
        <v>2025-04</v>
      </c>
    </row>
    <row r="563" spans="1:5" x14ac:dyDescent="0.3">
      <c r="A563" s="1" t="d">
        <v>2025-04-14</v>
      </c>
      <c r="B563">
        <f t="shared" si="32"/>
        <v>2025</v>
      </c>
      <c r="C563">
        <f t="shared" si="33"/>
        <v>4</v>
      </c>
      <c r="D563" t="str">
        <f t="shared" si="34"/>
        <v>abril</v>
      </c>
      <c r="E563" t="str">
        <f t="shared" si="35"/>
        <v>2025-04</v>
      </c>
    </row>
    <row r="564" spans="1:5" x14ac:dyDescent="0.3">
      <c r="A564" s="1" t="d">
        <v>2025-04-15</v>
      </c>
      <c r="B564">
        <f t="shared" si="32"/>
        <v>2025</v>
      </c>
      <c r="C564">
        <f t="shared" si="33"/>
        <v>4</v>
      </c>
      <c r="D564" t="str">
        <f t="shared" si="34"/>
        <v>abril</v>
      </c>
      <c r="E564" t="str">
        <f t="shared" si="35"/>
        <v>2025-04</v>
      </c>
    </row>
    <row r="565" spans="1:5" x14ac:dyDescent="0.3">
      <c r="A565" s="1" t="d">
        <v>2025-04-16</v>
      </c>
      <c r="B565">
        <f t="shared" si="32"/>
        <v>2025</v>
      </c>
      <c r="C565">
        <f t="shared" si="33"/>
        <v>4</v>
      </c>
      <c r="D565" t="str">
        <f t="shared" si="34"/>
        <v>abril</v>
      </c>
      <c r="E565" t="str">
        <f t="shared" si="35"/>
        <v>2025-04</v>
      </c>
    </row>
    <row r="566" spans="1:5" x14ac:dyDescent="0.3">
      <c r="A566" s="1" t="d">
        <v>2025-04-17</v>
      </c>
      <c r="B566">
        <f t="shared" si="32"/>
        <v>2025</v>
      </c>
      <c r="C566">
        <f t="shared" si="33"/>
        <v>4</v>
      </c>
      <c r="D566" t="str">
        <f t="shared" si="34"/>
        <v>abril</v>
      </c>
      <c r="E566" t="str">
        <f t="shared" si="35"/>
        <v>2025-04</v>
      </c>
    </row>
    <row r="567" spans="1:5" x14ac:dyDescent="0.3">
      <c r="A567" s="1" t="d">
        <v>2025-04-18</v>
      </c>
      <c r="B567">
        <f t="shared" si="32"/>
        <v>2025</v>
      </c>
      <c r="C567">
        <f t="shared" si="33"/>
        <v>4</v>
      </c>
      <c r="D567" t="str">
        <f t="shared" si="34"/>
        <v>abril</v>
      </c>
      <c r="E567" t="str">
        <f t="shared" si="35"/>
        <v>2025-04</v>
      </c>
    </row>
    <row r="568" spans="1:5" x14ac:dyDescent="0.3">
      <c r="A568" s="1" t="d">
        <v>2025-04-19</v>
      </c>
      <c r="B568">
        <f t="shared" si="32"/>
        <v>2025</v>
      </c>
      <c r="C568">
        <f t="shared" si="33"/>
        <v>4</v>
      </c>
      <c r="D568" t="str">
        <f t="shared" si="34"/>
        <v>abril</v>
      </c>
      <c r="E568" t="str">
        <f t="shared" si="35"/>
        <v>2025-04</v>
      </c>
    </row>
    <row r="569" spans="1:5" x14ac:dyDescent="0.3">
      <c r="A569" s="1" t="d">
        <v>2025-04-20</v>
      </c>
      <c r="B569">
        <f t="shared" si="32"/>
        <v>2025</v>
      </c>
      <c r="C569">
        <f t="shared" si="33"/>
        <v>4</v>
      </c>
      <c r="D569" t="str">
        <f t="shared" si="34"/>
        <v>abril</v>
      </c>
      <c r="E569" t="str">
        <f t="shared" si="35"/>
        <v>2025-04</v>
      </c>
    </row>
    <row r="570" spans="1:5" x14ac:dyDescent="0.3">
      <c r="A570" s="1" t="d">
        <v>2025-04-21</v>
      </c>
      <c r="B570">
        <f t="shared" si="32"/>
        <v>2025</v>
      </c>
      <c r="C570">
        <f t="shared" si="33"/>
        <v>4</v>
      </c>
      <c r="D570" t="str">
        <f t="shared" si="34"/>
        <v>abril</v>
      </c>
      <c r="E570" t="str">
        <f t="shared" si="35"/>
        <v>2025-04</v>
      </c>
    </row>
    <row r="571" spans="1:5" x14ac:dyDescent="0.3">
      <c r="A571" s="1" t="d">
        <v>2025-04-22</v>
      </c>
      <c r="B571">
        <f t="shared" si="32"/>
        <v>2025</v>
      </c>
      <c r="C571">
        <f t="shared" si="33"/>
        <v>4</v>
      </c>
      <c r="D571" t="str">
        <f t="shared" si="34"/>
        <v>abril</v>
      </c>
      <c r="E571" t="str">
        <f t="shared" si="35"/>
        <v>2025-04</v>
      </c>
    </row>
    <row r="572" spans="1:5" x14ac:dyDescent="0.3">
      <c r="A572" s="1" t="d">
        <v>2025-04-23</v>
      </c>
      <c r="B572">
        <f t="shared" si="32"/>
        <v>2025</v>
      </c>
      <c r="C572">
        <f t="shared" si="33"/>
        <v>4</v>
      </c>
      <c r="D572" t="str">
        <f t="shared" si="34"/>
        <v>abril</v>
      </c>
      <c r="E572" t="str">
        <f t="shared" si="35"/>
        <v>2025-04</v>
      </c>
    </row>
    <row r="573" spans="1:5" x14ac:dyDescent="0.3">
      <c r="A573" s="1" t="d">
        <v>2025-04-24</v>
      </c>
      <c r="B573">
        <f t="shared" si="32"/>
        <v>2025</v>
      </c>
      <c r="C573">
        <f t="shared" si="33"/>
        <v>4</v>
      </c>
      <c r="D573" t="str">
        <f t="shared" si="34"/>
        <v>abril</v>
      </c>
      <c r="E573" t="str">
        <f t="shared" si="35"/>
        <v>2025-04</v>
      </c>
    </row>
    <row r="574" spans="1:5" x14ac:dyDescent="0.3">
      <c r="A574" s="1" t="d">
        <v>2025-04-25</v>
      </c>
      <c r="B574">
        <f t="shared" si="32"/>
        <v>2025</v>
      </c>
      <c r="C574">
        <f t="shared" si="33"/>
        <v>4</v>
      </c>
      <c r="D574" t="str">
        <f t="shared" si="34"/>
        <v>abril</v>
      </c>
      <c r="E574" t="str">
        <f t="shared" si="35"/>
        <v>2025-04</v>
      </c>
    </row>
    <row r="575" spans="1:5" x14ac:dyDescent="0.3">
      <c r="A575" s="1" t="d">
        <v>2025-04-26</v>
      </c>
      <c r="B575">
        <f t="shared" si="32"/>
        <v>2025</v>
      </c>
      <c r="C575">
        <f t="shared" si="33"/>
        <v>4</v>
      </c>
      <c r="D575" t="str">
        <f t="shared" si="34"/>
        <v>abril</v>
      </c>
      <c r="E575" t="str">
        <f t="shared" si="35"/>
        <v>2025-04</v>
      </c>
    </row>
    <row r="576" spans="1:5" x14ac:dyDescent="0.3">
      <c r="A576" s="1" t="d">
        <v>2025-04-27</v>
      </c>
      <c r="B576">
        <f t="shared" si="32"/>
        <v>2025</v>
      </c>
      <c r="C576">
        <f t="shared" si="33"/>
        <v>4</v>
      </c>
      <c r="D576" t="str">
        <f t="shared" si="34"/>
        <v>abril</v>
      </c>
      <c r="E576" t="str">
        <f t="shared" si="35"/>
        <v>2025-04</v>
      </c>
    </row>
    <row r="577" spans="1:5" x14ac:dyDescent="0.3">
      <c r="A577" s="1" t="d">
        <v>2025-04-28</v>
      </c>
      <c r="B577">
        <f t="shared" si="32"/>
        <v>2025</v>
      </c>
      <c r="C577">
        <f t="shared" si="33"/>
        <v>4</v>
      </c>
      <c r="D577" t="str">
        <f t="shared" si="34"/>
        <v>abril</v>
      </c>
      <c r="E577" t="str">
        <f t="shared" si="35"/>
        <v>2025-04</v>
      </c>
    </row>
    <row r="578" spans="1:5" x14ac:dyDescent="0.3">
      <c r="A578" s="1" t="d">
        <v>2025-04-29</v>
      </c>
      <c r="B578">
        <f t="shared" si="32"/>
        <v>2025</v>
      </c>
      <c r="C578">
        <f t="shared" si="33"/>
        <v>4</v>
      </c>
      <c r="D578" t="str">
        <f t="shared" si="34"/>
        <v>abril</v>
      </c>
      <c r="E578" t="str">
        <f t="shared" si="35"/>
        <v>2025-04</v>
      </c>
    </row>
    <row r="579" spans="1:5" x14ac:dyDescent="0.3">
      <c r="A579" s="1" t="d">
        <v>2025-04-30</v>
      </c>
      <c r="B579">
        <f t="shared" ref="B579:B642" si="36">YEAR(A579)</f>
        <v>2025</v>
      </c>
      <c r="C579">
        <f t="shared" ref="C579:C642" si="37">MONTH(A579)</f>
        <v>4</v>
      </c>
      <c r="D579" t="str">
        <f t="shared" ref="D579:D642" si="38">TEXT(A579, "mmmm")</f>
        <v>abril</v>
      </c>
      <c r="E579" t="str">
        <f t="shared" ref="E579:E642" si="39">TEXT(A579, "aaaa-mm")</f>
        <v>2025-04</v>
      </c>
    </row>
    <row r="580" spans="1:5" x14ac:dyDescent="0.3">
      <c r="A580" s="1" t="d">
        <v>2025-05-01</v>
      </c>
      <c r="B580">
        <f t="shared" si="36"/>
        <v>2025</v>
      </c>
      <c r="C580">
        <f t="shared" si="37"/>
        <v>5</v>
      </c>
      <c r="D580" t="str">
        <f t="shared" si="38"/>
        <v>maio</v>
      </c>
      <c r="E580" t="str">
        <f t="shared" si="39"/>
        <v>2025-05</v>
      </c>
    </row>
    <row r="581" spans="1:5" x14ac:dyDescent="0.3">
      <c r="A581" s="1" t="d">
        <v>2025-05-02</v>
      </c>
      <c r="B581">
        <f t="shared" si="36"/>
        <v>2025</v>
      </c>
      <c r="C581">
        <f t="shared" si="37"/>
        <v>5</v>
      </c>
      <c r="D581" t="str">
        <f t="shared" si="38"/>
        <v>maio</v>
      </c>
      <c r="E581" t="str">
        <f t="shared" si="39"/>
        <v>2025-05</v>
      </c>
    </row>
    <row r="582" spans="1:5" x14ac:dyDescent="0.3">
      <c r="A582" s="1" t="d">
        <v>2025-05-03</v>
      </c>
      <c r="B582">
        <f t="shared" si="36"/>
        <v>2025</v>
      </c>
      <c r="C582">
        <f t="shared" si="37"/>
        <v>5</v>
      </c>
      <c r="D582" t="str">
        <f t="shared" si="38"/>
        <v>maio</v>
      </c>
      <c r="E582" t="str">
        <f t="shared" si="39"/>
        <v>2025-05</v>
      </c>
    </row>
    <row r="583" spans="1:5" x14ac:dyDescent="0.3">
      <c r="A583" s="1" t="d">
        <v>2025-05-04</v>
      </c>
      <c r="B583">
        <f t="shared" si="36"/>
        <v>2025</v>
      </c>
      <c r="C583">
        <f t="shared" si="37"/>
        <v>5</v>
      </c>
      <c r="D583" t="str">
        <f t="shared" si="38"/>
        <v>maio</v>
      </c>
      <c r="E583" t="str">
        <f t="shared" si="39"/>
        <v>2025-05</v>
      </c>
    </row>
    <row r="584" spans="1:5" x14ac:dyDescent="0.3">
      <c r="A584" s="1" t="d">
        <v>2025-05-05</v>
      </c>
      <c r="B584">
        <f t="shared" si="36"/>
        <v>2025</v>
      </c>
      <c r="C584">
        <f t="shared" si="37"/>
        <v>5</v>
      </c>
      <c r="D584" t="str">
        <f t="shared" si="38"/>
        <v>maio</v>
      </c>
      <c r="E584" t="str">
        <f t="shared" si="39"/>
        <v>2025-05</v>
      </c>
    </row>
    <row r="585" spans="1:5" x14ac:dyDescent="0.3">
      <c r="A585" s="1" t="d">
        <v>2025-05-06</v>
      </c>
      <c r="B585">
        <f t="shared" si="36"/>
        <v>2025</v>
      </c>
      <c r="C585">
        <f t="shared" si="37"/>
        <v>5</v>
      </c>
      <c r="D585" t="str">
        <f t="shared" si="38"/>
        <v>maio</v>
      </c>
      <c r="E585" t="str">
        <f t="shared" si="39"/>
        <v>2025-05</v>
      </c>
    </row>
    <row r="586" spans="1:5" x14ac:dyDescent="0.3">
      <c r="A586" s="1" t="d">
        <v>2025-05-07</v>
      </c>
      <c r="B586">
        <f t="shared" si="36"/>
        <v>2025</v>
      </c>
      <c r="C586">
        <f t="shared" si="37"/>
        <v>5</v>
      </c>
      <c r="D586" t="str">
        <f t="shared" si="38"/>
        <v>maio</v>
      </c>
      <c r="E586" t="str">
        <f t="shared" si="39"/>
        <v>2025-05</v>
      </c>
    </row>
    <row r="587" spans="1:5" x14ac:dyDescent="0.3">
      <c r="A587" s="1" t="d">
        <v>2025-05-08</v>
      </c>
      <c r="B587">
        <f t="shared" si="36"/>
        <v>2025</v>
      </c>
      <c r="C587">
        <f t="shared" si="37"/>
        <v>5</v>
      </c>
      <c r="D587" t="str">
        <f t="shared" si="38"/>
        <v>maio</v>
      </c>
      <c r="E587" t="str">
        <f t="shared" si="39"/>
        <v>2025-05</v>
      </c>
    </row>
    <row r="588" spans="1:5" x14ac:dyDescent="0.3">
      <c r="A588" s="1" t="d">
        <v>2025-05-09</v>
      </c>
      <c r="B588">
        <f t="shared" si="36"/>
        <v>2025</v>
      </c>
      <c r="C588">
        <f t="shared" si="37"/>
        <v>5</v>
      </c>
      <c r="D588" t="str">
        <f t="shared" si="38"/>
        <v>maio</v>
      </c>
      <c r="E588" t="str">
        <f t="shared" si="39"/>
        <v>2025-05</v>
      </c>
    </row>
    <row r="589" spans="1:5" x14ac:dyDescent="0.3">
      <c r="A589" s="1" t="d">
        <v>2025-05-10</v>
      </c>
      <c r="B589">
        <f t="shared" si="36"/>
        <v>2025</v>
      </c>
      <c r="C589">
        <f t="shared" si="37"/>
        <v>5</v>
      </c>
      <c r="D589" t="str">
        <f t="shared" si="38"/>
        <v>maio</v>
      </c>
      <c r="E589" t="str">
        <f t="shared" si="39"/>
        <v>2025-05</v>
      </c>
    </row>
    <row r="590" spans="1:5" x14ac:dyDescent="0.3">
      <c r="A590" s="1" t="d">
        <v>2025-05-11</v>
      </c>
      <c r="B590">
        <f t="shared" si="36"/>
        <v>2025</v>
      </c>
      <c r="C590">
        <f t="shared" si="37"/>
        <v>5</v>
      </c>
      <c r="D590" t="str">
        <f t="shared" si="38"/>
        <v>maio</v>
      </c>
      <c r="E590" t="str">
        <f t="shared" si="39"/>
        <v>2025-05</v>
      </c>
    </row>
    <row r="591" spans="1:5" x14ac:dyDescent="0.3">
      <c r="A591" s="1" t="d">
        <v>2025-05-12</v>
      </c>
      <c r="B591">
        <f t="shared" si="36"/>
        <v>2025</v>
      </c>
      <c r="C591">
        <f t="shared" si="37"/>
        <v>5</v>
      </c>
      <c r="D591" t="str">
        <f t="shared" si="38"/>
        <v>maio</v>
      </c>
      <c r="E591" t="str">
        <f t="shared" si="39"/>
        <v>2025-05</v>
      </c>
    </row>
    <row r="592" spans="1:5" x14ac:dyDescent="0.3">
      <c r="A592" s="1" t="d">
        <v>2025-05-13</v>
      </c>
      <c r="B592">
        <f t="shared" si="36"/>
        <v>2025</v>
      </c>
      <c r="C592">
        <f t="shared" si="37"/>
        <v>5</v>
      </c>
      <c r="D592" t="str">
        <f t="shared" si="38"/>
        <v>maio</v>
      </c>
      <c r="E592" t="str">
        <f t="shared" si="39"/>
        <v>2025-05</v>
      </c>
    </row>
    <row r="593" spans="1:5" x14ac:dyDescent="0.3">
      <c r="A593" s="1" t="d">
        <v>2025-05-14</v>
      </c>
      <c r="B593">
        <f t="shared" si="36"/>
        <v>2025</v>
      </c>
      <c r="C593">
        <f t="shared" si="37"/>
        <v>5</v>
      </c>
      <c r="D593" t="str">
        <f t="shared" si="38"/>
        <v>maio</v>
      </c>
      <c r="E593" t="str">
        <f t="shared" si="39"/>
        <v>2025-05</v>
      </c>
    </row>
    <row r="594" spans="1:5" x14ac:dyDescent="0.3">
      <c r="A594" s="1" t="d">
        <v>2025-05-15</v>
      </c>
      <c r="B594">
        <f t="shared" si="36"/>
        <v>2025</v>
      </c>
      <c r="C594">
        <f t="shared" si="37"/>
        <v>5</v>
      </c>
      <c r="D594" t="str">
        <f t="shared" si="38"/>
        <v>maio</v>
      </c>
      <c r="E594" t="str">
        <f t="shared" si="39"/>
        <v>2025-05</v>
      </c>
    </row>
    <row r="595" spans="1:5" x14ac:dyDescent="0.3">
      <c r="A595" s="1" t="d">
        <v>2025-05-16</v>
      </c>
      <c r="B595">
        <f t="shared" si="36"/>
        <v>2025</v>
      </c>
      <c r="C595">
        <f t="shared" si="37"/>
        <v>5</v>
      </c>
      <c r="D595" t="str">
        <f t="shared" si="38"/>
        <v>maio</v>
      </c>
      <c r="E595" t="str">
        <f t="shared" si="39"/>
        <v>2025-05</v>
      </c>
    </row>
    <row r="596" spans="1:5" x14ac:dyDescent="0.3">
      <c r="A596" s="1" t="d">
        <v>2025-05-17</v>
      </c>
      <c r="B596">
        <f t="shared" si="36"/>
        <v>2025</v>
      </c>
      <c r="C596">
        <f t="shared" si="37"/>
        <v>5</v>
      </c>
      <c r="D596" t="str">
        <f t="shared" si="38"/>
        <v>maio</v>
      </c>
      <c r="E596" t="str">
        <f t="shared" si="39"/>
        <v>2025-05</v>
      </c>
    </row>
    <row r="597" spans="1:5" x14ac:dyDescent="0.3">
      <c r="A597" s="1" t="d">
        <v>2025-05-18</v>
      </c>
      <c r="B597">
        <f t="shared" si="36"/>
        <v>2025</v>
      </c>
      <c r="C597">
        <f t="shared" si="37"/>
        <v>5</v>
      </c>
      <c r="D597" t="str">
        <f t="shared" si="38"/>
        <v>maio</v>
      </c>
      <c r="E597" t="str">
        <f t="shared" si="39"/>
        <v>2025-05</v>
      </c>
    </row>
    <row r="598" spans="1:5" x14ac:dyDescent="0.3">
      <c r="A598" s="1" t="d">
        <v>2025-05-19</v>
      </c>
      <c r="B598">
        <f t="shared" si="36"/>
        <v>2025</v>
      </c>
      <c r="C598">
        <f t="shared" si="37"/>
        <v>5</v>
      </c>
      <c r="D598" t="str">
        <f t="shared" si="38"/>
        <v>maio</v>
      </c>
      <c r="E598" t="str">
        <f t="shared" si="39"/>
        <v>2025-05</v>
      </c>
    </row>
    <row r="599" spans="1:5" x14ac:dyDescent="0.3">
      <c r="A599" s="1" t="d">
        <v>2025-05-20</v>
      </c>
      <c r="B599">
        <f t="shared" si="36"/>
        <v>2025</v>
      </c>
      <c r="C599">
        <f t="shared" si="37"/>
        <v>5</v>
      </c>
      <c r="D599" t="str">
        <f t="shared" si="38"/>
        <v>maio</v>
      </c>
      <c r="E599" t="str">
        <f t="shared" si="39"/>
        <v>2025-05</v>
      </c>
    </row>
    <row r="600" spans="1:5" x14ac:dyDescent="0.3">
      <c r="A600" s="1" t="d">
        <v>2025-05-21</v>
      </c>
      <c r="B600">
        <f t="shared" si="36"/>
        <v>2025</v>
      </c>
      <c r="C600">
        <f t="shared" si="37"/>
        <v>5</v>
      </c>
      <c r="D600" t="str">
        <f t="shared" si="38"/>
        <v>maio</v>
      </c>
      <c r="E600" t="str">
        <f t="shared" si="39"/>
        <v>2025-05</v>
      </c>
    </row>
    <row r="601" spans="1:5" x14ac:dyDescent="0.3">
      <c r="A601" s="1" t="d">
        <v>2025-05-22</v>
      </c>
      <c r="B601">
        <f t="shared" si="36"/>
        <v>2025</v>
      </c>
      <c r="C601">
        <f t="shared" si="37"/>
        <v>5</v>
      </c>
      <c r="D601" t="str">
        <f t="shared" si="38"/>
        <v>maio</v>
      </c>
      <c r="E601" t="str">
        <f t="shared" si="39"/>
        <v>2025-05</v>
      </c>
    </row>
    <row r="602" spans="1:5" x14ac:dyDescent="0.3">
      <c r="A602" s="1" t="d">
        <v>2025-05-23</v>
      </c>
      <c r="B602">
        <f t="shared" si="36"/>
        <v>2025</v>
      </c>
      <c r="C602">
        <f t="shared" si="37"/>
        <v>5</v>
      </c>
      <c r="D602" t="str">
        <f t="shared" si="38"/>
        <v>maio</v>
      </c>
      <c r="E602" t="str">
        <f t="shared" si="39"/>
        <v>2025-05</v>
      </c>
    </row>
    <row r="603" spans="1:5" x14ac:dyDescent="0.3">
      <c r="A603" s="1" t="d">
        <v>2025-05-24</v>
      </c>
      <c r="B603">
        <f t="shared" si="36"/>
        <v>2025</v>
      </c>
      <c r="C603">
        <f t="shared" si="37"/>
        <v>5</v>
      </c>
      <c r="D603" t="str">
        <f t="shared" si="38"/>
        <v>maio</v>
      </c>
      <c r="E603" t="str">
        <f t="shared" si="39"/>
        <v>2025-05</v>
      </c>
    </row>
    <row r="604" spans="1:5" x14ac:dyDescent="0.3">
      <c r="A604" s="1" t="d">
        <v>2025-05-25</v>
      </c>
      <c r="B604">
        <f t="shared" si="36"/>
        <v>2025</v>
      </c>
      <c r="C604">
        <f t="shared" si="37"/>
        <v>5</v>
      </c>
      <c r="D604" t="str">
        <f t="shared" si="38"/>
        <v>maio</v>
      </c>
      <c r="E604" t="str">
        <f t="shared" si="39"/>
        <v>2025-05</v>
      </c>
    </row>
    <row r="605" spans="1:5" x14ac:dyDescent="0.3">
      <c r="A605" s="1" t="d">
        <v>2025-05-26</v>
      </c>
      <c r="B605">
        <f t="shared" si="36"/>
        <v>2025</v>
      </c>
      <c r="C605">
        <f t="shared" si="37"/>
        <v>5</v>
      </c>
      <c r="D605" t="str">
        <f t="shared" si="38"/>
        <v>maio</v>
      </c>
      <c r="E605" t="str">
        <f t="shared" si="39"/>
        <v>2025-05</v>
      </c>
    </row>
    <row r="606" spans="1:5" x14ac:dyDescent="0.3">
      <c r="A606" s="1" t="d">
        <v>2025-05-27</v>
      </c>
      <c r="B606">
        <f t="shared" si="36"/>
        <v>2025</v>
      </c>
      <c r="C606">
        <f t="shared" si="37"/>
        <v>5</v>
      </c>
      <c r="D606" t="str">
        <f t="shared" si="38"/>
        <v>maio</v>
      </c>
      <c r="E606" t="str">
        <f t="shared" si="39"/>
        <v>2025-05</v>
      </c>
    </row>
    <row r="607" spans="1:5" x14ac:dyDescent="0.3">
      <c r="A607" s="1" t="d">
        <v>2025-05-28</v>
      </c>
      <c r="B607">
        <f t="shared" si="36"/>
        <v>2025</v>
      </c>
      <c r="C607">
        <f t="shared" si="37"/>
        <v>5</v>
      </c>
      <c r="D607" t="str">
        <f t="shared" si="38"/>
        <v>maio</v>
      </c>
      <c r="E607" t="str">
        <f t="shared" si="39"/>
        <v>2025-05</v>
      </c>
    </row>
    <row r="608" spans="1:5" x14ac:dyDescent="0.3">
      <c r="A608" s="1" t="d">
        <v>2025-05-29</v>
      </c>
      <c r="B608">
        <f t="shared" si="36"/>
        <v>2025</v>
      </c>
      <c r="C608">
        <f t="shared" si="37"/>
        <v>5</v>
      </c>
      <c r="D608" t="str">
        <f t="shared" si="38"/>
        <v>maio</v>
      </c>
      <c r="E608" t="str">
        <f t="shared" si="39"/>
        <v>2025-05</v>
      </c>
    </row>
    <row r="609" spans="1:5" x14ac:dyDescent="0.3">
      <c r="A609" s="1" t="d">
        <v>2025-05-30</v>
      </c>
      <c r="B609">
        <f t="shared" si="36"/>
        <v>2025</v>
      </c>
      <c r="C609">
        <f t="shared" si="37"/>
        <v>5</v>
      </c>
      <c r="D609" t="str">
        <f t="shared" si="38"/>
        <v>maio</v>
      </c>
      <c r="E609" t="str">
        <f t="shared" si="39"/>
        <v>2025-05</v>
      </c>
    </row>
    <row r="610" spans="1:5" x14ac:dyDescent="0.3">
      <c r="A610" s="1" t="d">
        <v>2025-05-31</v>
      </c>
      <c r="B610">
        <f t="shared" si="36"/>
        <v>2025</v>
      </c>
      <c r="C610">
        <f t="shared" si="37"/>
        <v>5</v>
      </c>
      <c r="D610" t="str">
        <f t="shared" si="38"/>
        <v>maio</v>
      </c>
      <c r="E610" t="str">
        <f t="shared" si="39"/>
        <v>2025-05</v>
      </c>
    </row>
    <row r="611" spans="1:5" x14ac:dyDescent="0.3">
      <c r="A611" s="1" t="d">
        <v>2025-06-01</v>
      </c>
      <c r="B611">
        <f t="shared" si="36"/>
        <v>2025</v>
      </c>
      <c r="C611">
        <f t="shared" si="37"/>
        <v>6</v>
      </c>
      <c r="D611" t="str">
        <f t="shared" si="38"/>
        <v>junho</v>
      </c>
      <c r="E611" t="str">
        <f t="shared" si="39"/>
        <v>2025-06</v>
      </c>
    </row>
    <row r="612" spans="1:5" x14ac:dyDescent="0.3">
      <c r="A612" s="1" t="d">
        <v>2025-06-02</v>
      </c>
      <c r="B612">
        <f t="shared" si="36"/>
        <v>2025</v>
      </c>
      <c r="C612">
        <f t="shared" si="37"/>
        <v>6</v>
      </c>
      <c r="D612" t="str">
        <f t="shared" si="38"/>
        <v>junho</v>
      </c>
      <c r="E612" t="str">
        <f t="shared" si="39"/>
        <v>2025-06</v>
      </c>
    </row>
    <row r="613" spans="1:5" x14ac:dyDescent="0.3">
      <c r="A613" s="1" t="d">
        <v>2025-06-03</v>
      </c>
      <c r="B613">
        <f t="shared" si="36"/>
        <v>2025</v>
      </c>
      <c r="C613">
        <f t="shared" si="37"/>
        <v>6</v>
      </c>
      <c r="D613" t="str">
        <f t="shared" si="38"/>
        <v>junho</v>
      </c>
      <c r="E613" t="str">
        <f t="shared" si="39"/>
        <v>2025-06</v>
      </c>
    </row>
    <row r="614" spans="1:5" x14ac:dyDescent="0.3">
      <c r="A614" s="1" t="d">
        <v>2025-06-04</v>
      </c>
      <c r="B614">
        <f t="shared" si="36"/>
        <v>2025</v>
      </c>
      <c r="C614">
        <f t="shared" si="37"/>
        <v>6</v>
      </c>
      <c r="D614" t="str">
        <f t="shared" si="38"/>
        <v>junho</v>
      </c>
      <c r="E614" t="str">
        <f t="shared" si="39"/>
        <v>2025-06</v>
      </c>
    </row>
    <row r="615" spans="1:5" x14ac:dyDescent="0.3">
      <c r="A615" s="1" t="d">
        <v>2025-06-05</v>
      </c>
      <c r="B615">
        <f t="shared" si="36"/>
        <v>2025</v>
      </c>
      <c r="C615">
        <f t="shared" si="37"/>
        <v>6</v>
      </c>
      <c r="D615" t="str">
        <f t="shared" si="38"/>
        <v>junho</v>
      </c>
      <c r="E615" t="str">
        <f t="shared" si="39"/>
        <v>2025-06</v>
      </c>
    </row>
    <row r="616" spans="1:5" x14ac:dyDescent="0.3">
      <c r="A616" s="1" t="d">
        <v>2025-06-06</v>
      </c>
      <c r="B616">
        <f t="shared" si="36"/>
        <v>2025</v>
      </c>
      <c r="C616">
        <f t="shared" si="37"/>
        <v>6</v>
      </c>
      <c r="D616" t="str">
        <f t="shared" si="38"/>
        <v>junho</v>
      </c>
      <c r="E616" t="str">
        <f t="shared" si="39"/>
        <v>2025-06</v>
      </c>
    </row>
    <row r="617" spans="1:5" x14ac:dyDescent="0.3">
      <c r="A617" s="1" t="d">
        <v>2025-06-07</v>
      </c>
      <c r="B617">
        <f t="shared" si="36"/>
        <v>2025</v>
      </c>
      <c r="C617">
        <f t="shared" si="37"/>
        <v>6</v>
      </c>
      <c r="D617" t="str">
        <f t="shared" si="38"/>
        <v>junho</v>
      </c>
      <c r="E617" t="str">
        <f t="shared" si="39"/>
        <v>2025-06</v>
      </c>
    </row>
    <row r="618" spans="1:5" x14ac:dyDescent="0.3">
      <c r="A618" s="1" t="d">
        <v>2025-06-08</v>
      </c>
      <c r="B618">
        <f t="shared" si="36"/>
        <v>2025</v>
      </c>
      <c r="C618">
        <f t="shared" si="37"/>
        <v>6</v>
      </c>
      <c r="D618" t="str">
        <f t="shared" si="38"/>
        <v>junho</v>
      </c>
      <c r="E618" t="str">
        <f t="shared" si="39"/>
        <v>2025-06</v>
      </c>
    </row>
    <row r="619" spans="1:5" x14ac:dyDescent="0.3">
      <c r="A619" s="1" t="d">
        <v>2025-06-09</v>
      </c>
      <c r="B619">
        <f t="shared" si="36"/>
        <v>2025</v>
      </c>
      <c r="C619">
        <f t="shared" si="37"/>
        <v>6</v>
      </c>
      <c r="D619" t="str">
        <f t="shared" si="38"/>
        <v>junho</v>
      </c>
      <c r="E619" t="str">
        <f t="shared" si="39"/>
        <v>2025-06</v>
      </c>
    </row>
    <row r="620" spans="1:5" x14ac:dyDescent="0.3">
      <c r="A620" s="1" t="d">
        <v>2025-06-10</v>
      </c>
      <c r="B620">
        <f t="shared" si="36"/>
        <v>2025</v>
      </c>
      <c r="C620">
        <f t="shared" si="37"/>
        <v>6</v>
      </c>
      <c r="D620" t="str">
        <f t="shared" si="38"/>
        <v>junho</v>
      </c>
      <c r="E620" t="str">
        <f t="shared" si="39"/>
        <v>2025-06</v>
      </c>
    </row>
    <row r="621" spans="1:5" x14ac:dyDescent="0.3">
      <c r="A621" s="1" t="d">
        <v>2025-06-11</v>
      </c>
      <c r="B621">
        <f t="shared" si="36"/>
        <v>2025</v>
      </c>
      <c r="C621">
        <f t="shared" si="37"/>
        <v>6</v>
      </c>
      <c r="D621" t="str">
        <f t="shared" si="38"/>
        <v>junho</v>
      </c>
      <c r="E621" t="str">
        <f t="shared" si="39"/>
        <v>2025-06</v>
      </c>
    </row>
    <row r="622" spans="1:5" x14ac:dyDescent="0.3">
      <c r="A622" s="1" t="d">
        <v>2025-06-12</v>
      </c>
      <c r="B622">
        <f t="shared" si="36"/>
        <v>2025</v>
      </c>
      <c r="C622">
        <f t="shared" si="37"/>
        <v>6</v>
      </c>
      <c r="D622" t="str">
        <f t="shared" si="38"/>
        <v>junho</v>
      </c>
      <c r="E622" t="str">
        <f t="shared" si="39"/>
        <v>2025-06</v>
      </c>
    </row>
    <row r="623" spans="1:5" x14ac:dyDescent="0.3">
      <c r="A623" s="1" t="d">
        <v>2025-06-13</v>
      </c>
      <c r="B623">
        <f t="shared" si="36"/>
        <v>2025</v>
      </c>
      <c r="C623">
        <f t="shared" si="37"/>
        <v>6</v>
      </c>
      <c r="D623" t="str">
        <f t="shared" si="38"/>
        <v>junho</v>
      </c>
      <c r="E623" t="str">
        <f t="shared" si="39"/>
        <v>2025-06</v>
      </c>
    </row>
    <row r="624" spans="1:5" x14ac:dyDescent="0.3">
      <c r="A624" s="1" t="d">
        <v>2025-06-14</v>
      </c>
      <c r="B624">
        <f t="shared" si="36"/>
        <v>2025</v>
      </c>
      <c r="C624">
        <f t="shared" si="37"/>
        <v>6</v>
      </c>
      <c r="D624" t="str">
        <f t="shared" si="38"/>
        <v>junho</v>
      </c>
      <c r="E624" t="str">
        <f t="shared" si="39"/>
        <v>2025-06</v>
      </c>
    </row>
    <row r="625" spans="1:5" x14ac:dyDescent="0.3">
      <c r="A625" s="1" t="d">
        <v>2025-06-15</v>
      </c>
      <c r="B625">
        <f t="shared" si="36"/>
        <v>2025</v>
      </c>
      <c r="C625">
        <f t="shared" si="37"/>
        <v>6</v>
      </c>
      <c r="D625" t="str">
        <f t="shared" si="38"/>
        <v>junho</v>
      </c>
      <c r="E625" t="str">
        <f t="shared" si="39"/>
        <v>2025-06</v>
      </c>
    </row>
    <row r="626" spans="1:5" x14ac:dyDescent="0.3">
      <c r="A626" s="1" t="d">
        <v>2025-06-16</v>
      </c>
      <c r="B626">
        <f t="shared" si="36"/>
        <v>2025</v>
      </c>
      <c r="C626">
        <f t="shared" si="37"/>
        <v>6</v>
      </c>
      <c r="D626" t="str">
        <f t="shared" si="38"/>
        <v>junho</v>
      </c>
      <c r="E626" t="str">
        <f t="shared" si="39"/>
        <v>2025-06</v>
      </c>
    </row>
    <row r="627" spans="1:5" x14ac:dyDescent="0.3">
      <c r="A627" s="1" t="d">
        <v>2025-06-17</v>
      </c>
      <c r="B627">
        <f t="shared" si="36"/>
        <v>2025</v>
      </c>
      <c r="C627">
        <f t="shared" si="37"/>
        <v>6</v>
      </c>
      <c r="D627" t="str">
        <f t="shared" si="38"/>
        <v>junho</v>
      </c>
      <c r="E627" t="str">
        <f t="shared" si="39"/>
        <v>2025-06</v>
      </c>
    </row>
    <row r="628" spans="1:5" x14ac:dyDescent="0.3">
      <c r="A628" s="1" t="d">
        <v>2025-06-18</v>
      </c>
      <c r="B628">
        <f t="shared" si="36"/>
        <v>2025</v>
      </c>
      <c r="C628">
        <f t="shared" si="37"/>
        <v>6</v>
      </c>
      <c r="D628" t="str">
        <f t="shared" si="38"/>
        <v>junho</v>
      </c>
      <c r="E628" t="str">
        <f t="shared" si="39"/>
        <v>2025-06</v>
      </c>
    </row>
    <row r="629" spans="1:5" x14ac:dyDescent="0.3">
      <c r="A629" s="1" t="d">
        <v>2025-06-19</v>
      </c>
      <c r="B629">
        <f t="shared" si="36"/>
        <v>2025</v>
      </c>
      <c r="C629">
        <f t="shared" si="37"/>
        <v>6</v>
      </c>
      <c r="D629" t="str">
        <f t="shared" si="38"/>
        <v>junho</v>
      </c>
      <c r="E629" t="str">
        <f t="shared" si="39"/>
        <v>2025-06</v>
      </c>
    </row>
    <row r="630" spans="1:5" x14ac:dyDescent="0.3">
      <c r="A630" s="1" t="d">
        <v>2025-06-20</v>
      </c>
      <c r="B630">
        <f t="shared" si="36"/>
        <v>2025</v>
      </c>
      <c r="C630">
        <f t="shared" si="37"/>
        <v>6</v>
      </c>
      <c r="D630" t="str">
        <f t="shared" si="38"/>
        <v>junho</v>
      </c>
      <c r="E630" t="str">
        <f t="shared" si="39"/>
        <v>2025-06</v>
      </c>
    </row>
    <row r="631" spans="1:5" x14ac:dyDescent="0.3">
      <c r="A631" s="1" t="d">
        <v>2025-06-21</v>
      </c>
      <c r="B631">
        <f t="shared" si="36"/>
        <v>2025</v>
      </c>
      <c r="C631">
        <f t="shared" si="37"/>
        <v>6</v>
      </c>
      <c r="D631" t="str">
        <f t="shared" si="38"/>
        <v>junho</v>
      </c>
      <c r="E631" t="str">
        <f t="shared" si="39"/>
        <v>2025-06</v>
      </c>
    </row>
    <row r="632" spans="1:5" x14ac:dyDescent="0.3">
      <c r="A632" s="1" t="d">
        <v>2025-06-22</v>
      </c>
      <c r="B632">
        <f t="shared" si="36"/>
        <v>2025</v>
      </c>
      <c r="C632">
        <f t="shared" si="37"/>
        <v>6</v>
      </c>
      <c r="D632" t="str">
        <f t="shared" si="38"/>
        <v>junho</v>
      </c>
      <c r="E632" t="str">
        <f t="shared" si="39"/>
        <v>2025-06</v>
      </c>
    </row>
    <row r="633" spans="1:5" x14ac:dyDescent="0.3">
      <c r="A633" s="1" t="d">
        <v>2025-06-23</v>
      </c>
      <c r="B633">
        <f t="shared" si="36"/>
        <v>2025</v>
      </c>
      <c r="C633">
        <f t="shared" si="37"/>
        <v>6</v>
      </c>
      <c r="D633" t="str">
        <f t="shared" si="38"/>
        <v>junho</v>
      </c>
      <c r="E633" t="str">
        <f t="shared" si="39"/>
        <v>2025-06</v>
      </c>
    </row>
    <row r="634" spans="1:5" x14ac:dyDescent="0.3">
      <c r="A634" s="1" t="d">
        <v>2025-06-24</v>
      </c>
      <c r="B634">
        <f t="shared" si="36"/>
        <v>2025</v>
      </c>
      <c r="C634">
        <f t="shared" si="37"/>
        <v>6</v>
      </c>
      <c r="D634" t="str">
        <f t="shared" si="38"/>
        <v>junho</v>
      </c>
      <c r="E634" t="str">
        <f t="shared" si="39"/>
        <v>2025-06</v>
      </c>
    </row>
    <row r="635" spans="1:5" x14ac:dyDescent="0.3">
      <c r="A635" s="1" t="d">
        <v>2025-06-25</v>
      </c>
      <c r="B635">
        <f t="shared" si="36"/>
        <v>2025</v>
      </c>
      <c r="C635">
        <f t="shared" si="37"/>
        <v>6</v>
      </c>
      <c r="D635" t="str">
        <f t="shared" si="38"/>
        <v>junho</v>
      </c>
      <c r="E635" t="str">
        <f t="shared" si="39"/>
        <v>2025-06</v>
      </c>
    </row>
    <row r="636" spans="1:5" x14ac:dyDescent="0.3">
      <c r="A636" s="1" t="d">
        <v>2025-06-26</v>
      </c>
      <c r="B636">
        <f t="shared" si="36"/>
        <v>2025</v>
      </c>
      <c r="C636">
        <f t="shared" si="37"/>
        <v>6</v>
      </c>
      <c r="D636" t="str">
        <f t="shared" si="38"/>
        <v>junho</v>
      </c>
      <c r="E636" t="str">
        <f t="shared" si="39"/>
        <v>2025-06</v>
      </c>
    </row>
    <row r="637" spans="1:5" x14ac:dyDescent="0.3">
      <c r="A637" s="1" t="d">
        <v>2025-06-27</v>
      </c>
      <c r="B637">
        <f t="shared" si="36"/>
        <v>2025</v>
      </c>
      <c r="C637">
        <f t="shared" si="37"/>
        <v>6</v>
      </c>
      <c r="D637" t="str">
        <f t="shared" si="38"/>
        <v>junho</v>
      </c>
      <c r="E637" t="str">
        <f t="shared" si="39"/>
        <v>2025-06</v>
      </c>
    </row>
    <row r="638" spans="1:5" x14ac:dyDescent="0.3">
      <c r="A638" s="1" t="d">
        <v>2025-06-28</v>
      </c>
      <c r="B638">
        <f t="shared" si="36"/>
        <v>2025</v>
      </c>
      <c r="C638">
        <f t="shared" si="37"/>
        <v>6</v>
      </c>
      <c r="D638" t="str">
        <f t="shared" si="38"/>
        <v>junho</v>
      </c>
      <c r="E638" t="str">
        <f t="shared" si="39"/>
        <v>2025-06</v>
      </c>
    </row>
    <row r="639" spans="1:5" x14ac:dyDescent="0.3">
      <c r="A639" s="1" t="d">
        <v>2025-06-29</v>
      </c>
      <c r="B639">
        <f t="shared" si="36"/>
        <v>2025</v>
      </c>
      <c r="C639">
        <f t="shared" si="37"/>
        <v>6</v>
      </c>
      <c r="D639" t="str">
        <f t="shared" si="38"/>
        <v>junho</v>
      </c>
      <c r="E639" t="str">
        <f t="shared" si="39"/>
        <v>2025-06</v>
      </c>
    </row>
    <row r="640" spans="1:5" x14ac:dyDescent="0.3">
      <c r="A640" s="1" t="d">
        <v>2025-06-30</v>
      </c>
      <c r="B640">
        <f t="shared" si="36"/>
        <v>2025</v>
      </c>
      <c r="C640">
        <f t="shared" si="37"/>
        <v>6</v>
      </c>
      <c r="D640" t="str">
        <f t="shared" si="38"/>
        <v>junho</v>
      </c>
      <c r="E640" t="str">
        <f t="shared" si="39"/>
        <v>2025-06</v>
      </c>
    </row>
    <row r="641" spans="1:5" x14ac:dyDescent="0.3">
      <c r="A641" s="1" t="d">
        <v>2025-07-01</v>
      </c>
      <c r="B641">
        <f t="shared" si="36"/>
        <v>2025</v>
      </c>
      <c r="C641">
        <f t="shared" si="37"/>
        <v>7</v>
      </c>
      <c r="D641" t="str">
        <f t="shared" si="38"/>
        <v>julho</v>
      </c>
      <c r="E641" t="str">
        <f t="shared" si="39"/>
        <v>2025-07</v>
      </c>
    </row>
    <row r="642" spans="1:5" x14ac:dyDescent="0.3">
      <c r="A642" s="1" t="d">
        <v>2025-07-02</v>
      </c>
      <c r="B642">
        <f t="shared" si="36"/>
        <v>2025</v>
      </c>
      <c r="C642">
        <f t="shared" si="37"/>
        <v>7</v>
      </c>
      <c r="D642" t="str">
        <f t="shared" si="38"/>
        <v>julho</v>
      </c>
      <c r="E642" t="str">
        <f t="shared" si="39"/>
        <v>2025-07</v>
      </c>
    </row>
    <row r="643" spans="1:5" x14ac:dyDescent="0.3">
      <c r="A643" s="1" t="d">
        <v>2025-07-03</v>
      </c>
      <c r="B643">
        <f t="shared" ref="B643:B706" si="40">YEAR(A643)</f>
        <v>2025</v>
      </c>
      <c r="C643">
        <f t="shared" ref="C643:C706" si="41">MONTH(A643)</f>
        <v>7</v>
      </c>
      <c r="D643" t="str">
        <f t="shared" ref="D643:D706" si="42">TEXT(A643, "mmmm")</f>
        <v>julho</v>
      </c>
      <c r="E643" t="str">
        <f t="shared" ref="E643:E706" si="43">TEXT(A643, "aaaa-mm")</f>
        <v>2025-07</v>
      </c>
    </row>
    <row r="644" spans="1:5" x14ac:dyDescent="0.3">
      <c r="A644" s="1" t="d">
        <v>2025-07-04</v>
      </c>
      <c r="B644">
        <f t="shared" si="40"/>
        <v>2025</v>
      </c>
      <c r="C644">
        <f t="shared" si="41"/>
        <v>7</v>
      </c>
      <c r="D644" t="str">
        <f t="shared" si="42"/>
        <v>julho</v>
      </c>
      <c r="E644" t="str">
        <f t="shared" si="43"/>
        <v>2025-07</v>
      </c>
    </row>
    <row r="645" spans="1:5" x14ac:dyDescent="0.3">
      <c r="A645" s="1" t="d">
        <v>2025-07-05</v>
      </c>
      <c r="B645">
        <f t="shared" si="40"/>
        <v>2025</v>
      </c>
      <c r="C645">
        <f t="shared" si="41"/>
        <v>7</v>
      </c>
      <c r="D645" t="str">
        <f t="shared" si="42"/>
        <v>julho</v>
      </c>
      <c r="E645" t="str">
        <f t="shared" si="43"/>
        <v>2025-07</v>
      </c>
    </row>
    <row r="646" spans="1:5" x14ac:dyDescent="0.3">
      <c r="A646" s="1" t="d">
        <v>2025-07-06</v>
      </c>
      <c r="B646">
        <f t="shared" si="40"/>
        <v>2025</v>
      </c>
      <c r="C646">
        <f t="shared" si="41"/>
        <v>7</v>
      </c>
      <c r="D646" t="str">
        <f t="shared" si="42"/>
        <v>julho</v>
      </c>
      <c r="E646" t="str">
        <f t="shared" si="43"/>
        <v>2025-07</v>
      </c>
    </row>
    <row r="647" spans="1:5" x14ac:dyDescent="0.3">
      <c r="A647" s="1" t="d">
        <v>2025-07-07</v>
      </c>
      <c r="B647">
        <f t="shared" si="40"/>
        <v>2025</v>
      </c>
      <c r="C647">
        <f t="shared" si="41"/>
        <v>7</v>
      </c>
      <c r="D647" t="str">
        <f t="shared" si="42"/>
        <v>julho</v>
      </c>
      <c r="E647" t="str">
        <f t="shared" si="43"/>
        <v>2025-07</v>
      </c>
    </row>
    <row r="648" spans="1:5" x14ac:dyDescent="0.3">
      <c r="A648" s="1" t="d">
        <v>2025-07-08</v>
      </c>
      <c r="B648">
        <f t="shared" si="40"/>
        <v>2025</v>
      </c>
      <c r="C648">
        <f t="shared" si="41"/>
        <v>7</v>
      </c>
      <c r="D648" t="str">
        <f t="shared" si="42"/>
        <v>julho</v>
      </c>
      <c r="E648" t="str">
        <f t="shared" si="43"/>
        <v>2025-07</v>
      </c>
    </row>
    <row r="649" spans="1:5" x14ac:dyDescent="0.3">
      <c r="A649" s="1" t="d">
        <v>2025-07-09</v>
      </c>
      <c r="B649">
        <f t="shared" si="40"/>
        <v>2025</v>
      </c>
      <c r="C649">
        <f t="shared" si="41"/>
        <v>7</v>
      </c>
      <c r="D649" t="str">
        <f t="shared" si="42"/>
        <v>julho</v>
      </c>
      <c r="E649" t="str">
        <f t="shared" si="43"/>
        <v>2025-07</v>
      </c>
    </row>
    <row r="650" spans="1:5" x14ac:dyDescent="0.3">
      <c r="A650" s="1" t="d">
        <v>2025-07-10</v>
      </c>
      <c r="B650">
        <f t="shared" si="40"/>
        <v>2025</v>
      </c>
      <c r="C650">
        <f t="shared" si="41"/>
        <v>7</v>
      </c>
      <c r="D650" t="str">
        <f t="shared" si="42"/>
        <v>julho</v>
      </c>
      <c r="E650" t="str">
        <f t="shared" si="43"/>
        <v>2025-07</v>
      </c>
    </row>
    <row r="651" spans="1:5" x14ac:dyDescent="0.3">
      <c r="A651" s="1" t="d">
        <v>2025-07-11</v>
      </c>
      <c r="B651">
        <f t="shared" si="40"/>
        <v>2025</v>
      </c>
      <c r="C651">
        <f t="shared" si="41"/>
        <v>7</v>
      </c>
      <c r="D651" t="str">
        <f t="shared" si="42"/>
        <v>julho</v>
      </c>
      <c r="E651" t="str">
        <f t="shared" si="43"/>
        <v>2025-07</v>
      </c>
    </row>
    <row r="652" spans="1:5" x14ac:dyDescent="0.3">
      <c r="A652" s="1" t="d">
        <v>2025-07-12</v>
      </c>
      <c r="B652">
        <f t="shared" si="40"/>
        <v>2025</v>
      </c>
      <c r="C652">
        <f t="shared" si="41"/>
        <v>7</v>
      </c>
      <c r="D652" t="str">
        <f t="shared" si="42"/>
        <v>julho</v>
      </c>
      <c r="E652" t="str">
        <f t="shared" si="43"/>
        <v>2025-07</v>
      </c>
    </row>
    <row r="653" spans="1:5" x14ac:dyDescent="0.3">
      <c r="A653" s="1" t="d">
        <v>2025-07-13</v>
      </c>
      <c r="B653">
        <f t="shared" si="40"/>
        <v>2025</v>
      </c>
      <c r="C653">
        <f t="shared" si="41"/>
        <v>7</v>
      </c>
      <c r="D653" t="str">
        <f t="shared" si="42"/>
        <v>julho</v>
      </c>
      <c r="E653" t="str">
        <f t="shared" si="43"/>
        <v>2025-07</v>
      </c>
    </row>
    <row r="654" spans="1:5" x14ac:dyDescent="0.3">
      <c r="A654" s="1" t="d">
        <v>2025-07-14</v>
      </c>
      <c r="B654">
        <f t="shared" si="40"/>
        <v>2025</v>
      </c>
      <c r="C654">
        <f t="shared" si="41"/>
        <v>7</v>
      </c>
      <c r="D654" t="str">
        <f t="shared" si="42"/>
        <v>julho</v>
      </c>
      <c r="E654" t="str">
        <f t="shared" si="43"/>
        <v>2025-07</v>
      </c>
    </row>
    <row r="655" spans="1:5" x14ac:dyDescent="0.3">
      <c r="A655" s="1" t="d">
        <v>2025-07-15</v>
      </c>
      <c r="B655">
        <f t="shared" si="40"/>
        <v>2025</v>
      </c>
      <c r="C655">
        <f t="shared" si="41"/>
        <v>7</v>
      </c>
      <c r="D655" t="str">
        <f t="shared" si="42"/>
        <v>julho</v>
      </c>
      <c r="E655" t="str">
        <f t="shared" si="43"/>
        <v>2025-07</v>
      </c>
    </row>
    <row r="656" spans="1:5" x14ac:dyDescent="0.3">
      <c r="A656" s="1" t="d">
        <v>2025-07-16</v>
      </c>
      <c r="B656">
        <f t="shared" si="40"/>
        <v>2025</v>
      </c>
      <c r="C656">
        <f t="shared" si="41"/>
        <v>7</v>
      </c>
      <c r="D656" t="str">
        <f t="shared" si="42"/>
        <v>julho</v>
      </c>
      <c r="E656" t="str">
        <f t="shared" si="43"/>
        <v>2025-07</v>
      </c>
    </row>
    <row r="657" spans="1:5" x14ac:dyDescent="0.3">
      <c r="A657" s="1" t="d">
        <v>2025-07-17</v>
      </c>
      <c r="B657">
        <f t="shared" si="40"/>
        <v>2025</v>
      </c>
      <c r="C657">
        <f t="shared" si="41"/>
        <v>7</v>
      </c>
      <c r="D657" t="str">
        <f t="shared" si="42"/>
        <v>julho</v>
      </c>
      <c r="E657" t="str">
        <f t="shared" si="43"/>
        <v>2025-07</v>
      </c>
    </row>
    <row r="658" spans="1:5" x14ac:dyDescent="0.3">
      <c r="A658" s="1" t="d">
        <v>2025-07-18</v>
      </c>
      <c r="B658">
        <f t="shared" si="40"/>
        <v>2025</v>
      </c>
      <c r="C658">
        <f t="shared" si="41"/>
        <v>7</v>
      </c>
      <c r="D658" t="str">
        <f t="shared" si="42"/>
        <v>julho</v>
      </c>
      <c r="E658" t="str">
        <f t="shared" si="43"/>
        <v>2025-07</v>
      </c>
    </row>
    <row r="659" spans="1:5" x14ac:dyDescent="0.3">
      <c r="A659" s="1" t="d">
        <v>2025-07-19</v>
      </c>
      <c r="B659">
        <f t="shared" si="40"/>
        <v>2025</v>
      </c>
      <c r="C659">
        <f t="shared" si="41"/>
        <v>7</v>
      </c>
      <c r="D659" t="str">
        <f t="shared" si="42"/>
        <v>julho</v>
      </c>
      <c r="E659" t="str">
        <f t="shared" si="43"/>
        <v>2025-07</v>
      </c>
    </row>
    <row r="660" spans="1:5" x14ac:dyDescent="0.3">
      <c r="A660" s="1" t="d">
        <v>2025-07-20</v>
      </c>
      <c r="B660">
        <f t="shared" si="40"/>
        <v>2025</v>
      </c>
      <c r="C660">
        <f t="shared" si="41"/>
        <v>7</v>
      </c>
      <c r="D660" t="str">
        <f t="shared" si="42"/>
        <v>julho</v>
      </c>
      <c r="E660" t="str">
        <f t="shared" si="43"/>
        <v>2025-07</v>
      </c>
    </row>
    <row r="661" spans="1:5" x14ac:dyDescent="0.3">
      <c r="A661" s="1" t="d">
        <v>2025-07-21</v>
      </c>
      <c r="B661">
        <f t="shared" si="40"/>
        <v>2025</v>
      </c>
      <c r="C661">
        <f t="shared" si="41"/>
        <v>7</v>
      </c>
      <c r="D661" t="str">
        <f t="shared" si="42"/>
        <v>julho</v>
      </c>
      <c r="E661" t="str">
        <f t="shared" si="43"/>
        <v>2025-07</v>
      </c>
    </row>
    <row r="662" spans="1:5" x14ac:dyDescent="0.3">
      <c r="A662" s="1" t="d">
        <v>2025-07-22</v>
      </c>
      <c r="B662">
        <f t="shared" si="40"/>
        <v>2025</v>
      </c>
      <c r="C662">
        <f t="shared" si="41"/>
        <v>7</v>
      </c>
      <c r="D662" t="str">
        <f t="shared" si="42"/>
        <v>julho</v>
      </c>
      <c r="E662" t="str">
        <f t="shared" si="43"/>
        <v>2025-07</v>
      </c>
    </row>
    <row r="663" spans="1:5" x14ac:dyDescent="0.3">
      <c r="A663" s="1" t="d">
        <v>2025-07-23</v>
      </c>
      <c r="B663">
        <f t="shared" si="40"/>
        <v>2025</v>
      </c>
      <c r="C663">
        <f t="shared" si="41"/>
        <v>7</v>
      </c>
      <c r="D663" t="str">
        <f t="shared" si="42"/>
        <v>julho</v>
      </c>
      <c r="E663" t="str">
        <f t="shared" si="43"/>
        <v>2025-07</v>
      </c>
    </row>
    <row r="664" spans="1:5" x14ac:dyDescent="0.3">
      <c r="A664" s="1" t="d">
        <v>2025-07-24</v>
      </c>
      <c r="B664">
        <f t="shared" si="40"/>
        <v>2025</v>
      </c>
      <c r="C664">
        <f t="shared" si="41"/>
        <v>7</v>
      </c>
      <c r="D664" t="str">
        <f t="shared" si="42"/>
        <v>julho</v>
      </c>
      <c r="E664" t="str">
        <f t="shared" si="43"/>
        <v>2025-07</v>
      </c>
    </row>
    <row r="665" spans="1:5" x14ac:dyDescent="0.3">
      <c r="A665" s="1" t="d">
        <v>2025-07-25</v>
      </c>
      <c r="B665">
        <f t="shared" si="40"/>
        <v>2025</v>
      </c>
      <c r="C665">
        <f t="shared" si="41"/>
        <v>7</v>
      </c>
      <c r="D665" t="str">
        <f t="shared" si="42"/>
        <v>julho</v>
      </c>
      <c r="E665" t="str">
        <f t="shared" si="43"/>
        <v>2025-07</v>
      </c>
    </row>
    <row r="666" spans="1:5" x14ac:dyDescent="0.3">
      <c r="A666" s="1" t="d">
        <v>2025-07-26</v>
      </c>
      <c r="B666">
        <f t="shared" si="40"/>
        <v>2025</v>
      </c>
      <c r="C666">
        <f t="shared" si="41"/>
        <v>7</v>
      </c>
      <c r="D666" t="str">
        <f t="shared" si="42"/>
        <v>julho</v>
      </c>
      <c r="E666" t="str">
        <f t="shared" si="43"/>
        <v>2025-07</v>
      </c>
    </row>
    <row r="667" spans="1:5" x14ac:dyDescent="0.3">
      <c r="A667" s="1" t="d">
        <v>2025-07-27</v>
      </c>
      <c r="B667">
        <f t="shared" si="40"/>
        <v>2025</v>
      </c>
      <c r="C667">
        <f t="shared" si="41"/>
        <v>7</v>
      </c>
      <c r="D667" t="str">
        <f t="shared" si="42"/>
        <v>julho</v>
      </c>
      <c r="E667" t="str">
        <f t="shared" si="43"/>
        <v>2025-07</v>
      </c>
    </row>
    <row r="668" spans="1:5" x14ac:dyDescent="0.3">
      <c r="A668" s="1" t="d">
        <v>2025-07-28</v>
      </c>
      <c r="B668">
        <f t="shared" si="40"/>
        <v>2025</v>
      </c>
      <c r="C668">
        <f t="shared" si="41"/>
        <v>7</v>
      </c>
      <c r="D668" t="str">
        <f t="shared" si="42"/>
        <v>julho</v>
      </c>
      <c r="E668" t="str">
        <f t="shared" si="43"/>
        <v>2025-07</v>
      </c>
    </row>
    <row r="669" spans="1:5" x14ac:dyDescent="0.3">
      <c r="A669" s="1" t="d">
        <v>2025-07-29</v>
      </c>
      <c r="B669">
        <f t="shared" si="40"/>
        <v>2025</v>
      </c>
      <c r="C669">
        <f t="shared" si="41"/>
        <v>7</v>
      </c>
      <c r="D669" t="str">
        <f t="shared" si="42"/>
        <v>julho</v>
      </c>
      <c r="E669" t="str">
        <f t="shared" si="43"/>
        <v>2025-07</v>
      </c>
    </row>
    <row r="670" spans="1:5" x14ac:dyDescent="0.3">
      <c r="A670" s="1" t="d">
        <v>2025-07-30</v>
      </c>
      <c r="B670">
        <f t="shared" si="40"/>
        <v>2025</v>
      </c>
      <c r="C670">
        <f t="shared" si="41"/>
        <v>7</v>
      </c>
      <c r="D670" t="str">
        <f t="shared" si="42"/>
        <v>julho</v>
      </c>
      <c r="E670" t="str">
        <f t="shared" si="43"/>
        <v>2025-07</v>
      </c>
    </row>
    <row r="671" spans="1:5" x14ac:dyDescent="0.3">
      <c r="A671" s="1" t="d">
        <v>2025-07-31</v>
      </c>
      <c r="B671">
        <f t="shared" si="40"/>
        <v>2025</v>
      </c>
      <c r="C671">
        <f t="shared" si="41"/>
        <v>7</v>
      </c>
      <c r="D671" t="str">
        <f t="shared" si="42"/>
        <v>julho</v>
      </c>
      <c r="E671" t="str">
        <f t="shared" si="43"/>
        <v>2025-07</v>
      </c>
    </row>
    <row r="672" spans="1:5" x14ac:dyDescent="0.3">
      <c r="A672" s="1" t="d">
        <v>2025-08-01</v>
      </c>
      <c r="B672">
        <f t="shared" si="40"/>
        <v>2025</v>
      </c>
      <c r="C672">
        <f t="shared" si="41"/>
        <v>8</v>
      </c>
      <c r="D672" t="str">
        <f t="shared" si="42"/>
        <v>agosto</v>
      </c>
      <c r="E672" t="str">
        <f t="shared" si="43"/>
        <v>2025-08</v>
      </c>
    </row>
    <row r="673" spans="1:5" x14ac:dyDescent="0.3">
      <c r="A673" s="1" t="d">
        <v>2025-08-02</v>
      </c>
      <c r="B673">
        <f t="shared" si="40"/>
        <v>2025</v>
      </c>
      <c r="C673">
        <f t="shared" si="41"/>
        <v>8</v>
      </c>
      <c r="D673" t="str">
        <f t="shared" si="42"/>
        <v>agosto</v>
      </c>
      <c r="E673" t="str">
        <f t="shared" si="43"/>
        <v>2025-08</v>
      </c>
    </row>
    <row r="674" spans="1:5" x14ac:dyDescent="0.3">
      <c r="A674" s="1" t="d">
        <v>2025-08-03</v>
      </c>
      <c r="B674">
        <f t="shared" si="40"/>
        <v>2025</v>
      </c>
      <c r="C674">
        <f t="shared" si="41"/>
        <v>8</v>
      </c>
      <c r="D674" t="str">
        <f t="shared" si="42"/>
        <v>agosto</v>
      </c>
      <c r="E674" t="str">
        <f t="shared" si="43"/>
        <v>2025-08</v>
      </c>
    </row>
    <row r="675" spans="1:5" x14ac:dyDescent="0.3">
      <c r="A675" s="1" t="d">
        <v>2025-08-04</v>
      </c>
      <c r="B675">
        <f t="shared" si="40"/>
        <v>2025</v>
      </c>
      <c r="C675">
        <f t="shared" si="41"/>
        <v>8</v>
      </c>
      <c r="D675" t="str">
        <f t="shared" si="42"/>
        <v>agosto</v>
      </c>
      <c r="E675" t="str">
        <f t="shared" si="43"/>
        <v>2025-08</v>
      </c>
    </row>
    <row r="676" spans="1:5" x14ac:dyDescent="0.3">
      <c r="A676" s="1" t="d">
        <v>2025-08-05</v>
      </c>
      <c r="B676">
        <f t="shared" si="40"/>
        <v>2025</v>
      </c>
      <c r="C676">
        <f t="shared" si="41"/>
        <v>8</v>
      </c>
      <c r="D676" t="str">
        <f t="shared" si="42"/>
        <v>agosto</v>
      </c>
      <c r="E676" t="str">
        <f t="shared" si="43"/>
        <v>2025-08</v>
      </c>
    </row>
    <row r="677" spans="1:5" x14ac:dyDescent="0.3">
      <c r="A677" s="1" t="d">
        <v>2025-08-06</v>
      </c>
      <c r="B677">
        <f t="shared" si="40"/>
        <v>2025</v>
      </c>
      <c r="C677">
        <f t="shared" si="41"/>
        <v>8</v>
      </c>
      <c r="D677" t="str">
        <f t="shared" si="42"/>
        <v>agosto</v>
      </c>
      <c r="E677" t="str">
        <f t="shared" si="43"/>
        <v>2025-08</v>
      </c>
    </row>
    <row r="678" spans="1:5" x14ac:dyDescent="0.3">
      <c r="A678" s="1" t="d">
        <v>2025-08-07</v>
      </c>
      <c r="B678">
        <f t="shared" si="40"/>
        <v>2025</v>
      </c>
      <c r="C678">
        <f t="shared" si="41"/>
        <v>8</v>
      </c>
      <c r="D678" t="str">
        <f t="shared" si="42"/>
        <v>agosto</v>
      </c>
      <c r="E678" t="str">
        <f t="shared" si="43"/>
        <v>2025-08</v>
      </c>
    </row>
    <row r="679" spans="1:5" x14ac:dyDescent="0.3">
      <c r="A679" s="1" t="d">
        <v>2025-08-08</v>
      </c>
      <c r="B679">
        <f t="shared" si="40"/>
        <v>2025</v>
      </c>
      <c r="C679">
        <f t="shared" si="41"/>
        <v>8</v>
      </c>
      <c r="D679" t="str">
        <f t="shared" si="42"/>
        <v>agosto</v>
      </c>
      <c r="E679" t="str">
        <f t="shared" si="43"/>
        <v>2025-08</v>
      </c>
    </row>
    <row r="680" spans="1:5" x14ac:dyDescent="0.3">
      <c r="A680" s="1" t="d">
        <v>2025-08-09</v>
      </c>
      <c r="B680">
        <f t="shared" si="40"/>
        <v>2025</v>
      </c>
      <c r="C680">
        <f t="shared" si="41"/>
        <v>8</v>
      </c>
      <c r="D680" t="str">
        <f t="shared" si="42"/>
        <v>agosto</v>
      </c>
      <c r="E680" t="str">
        <f t="shared" si="43"/>
        <v>2025-08</v>
      </c>
    </row>
    <row r="681" spans="1:5" x14ac:dyDescent="0.3">
      <c r="A681" s="1" t="d">
        <v>2025-08-10</v>
      </c>
      <c r="B681">
        <f t="shared" si="40"/>
        <v>2025</v>
      </c>
      <c r="C681">
        <f t="shared" si="41"/>
        <v>8</v>
      </c>
      <c r="D681" t="str">
        <f t="shared" si="42"/>
        <v>agosto</v>
      </c>
      <c r="E681" t="str">
        <f t="shared" si="43"/>
        <v>2025-08</v>
      </c>
    </row>
    <row r="682" spans="1:5" x14ac:dyDescent="0.3">
      <c r="A682" s="1" t="d">
        <v>2025-08-11</v>
      </c>
      <c r="B682">
        <f t="shared" si="40"/>
        <v>2025</v>
      </c>
      <c r="C682">
        <f t="shared" si="41"/>
        <v>8</v>
      </c>
      <c r="D682" t="str">
        <f t="shared" si="42"/>
        <v>agosto</v>
      </c>
      <c r="E682" t="str">
        <f t="shared" si="43"/>
        <v>2025-08</v>
      </c>
    </row>
    <row r="683" spans="1:5" x14ac:dyDescent="0.3">
      <c r="A683" s="1" t="d">
        <v>2025-08-12</v>
      </c>
      <c r="B683">
        <f t="shared" si="40"/>
        <v>2025</v>
      </c>
      <c r="C683">
        <f t="shared" si="41"/>
        <v>8</v>
      </c>
      <c r="D683" t="str">
        <f t="shared" si="42"/>
        <v>agosto</v>
      </c>
      <c r="E683" t="str">
        <f t="shared" si="43"/>
        <v>2025-08</v>
      </c>
    </row>
    <row r="684" spans="1:5" x14ac:dyDescent="0.3">
      <c r="A684" s="1" t="d">
        <v>2025-08-13</v>
      </c>
      <c r="B684">
        <f t="shared" si="40"/>
        <v>2025</v>
      </c>
      <c r="C684">
        <f t="shared" si="41"/>
        <v>8</v>
      </c>
      <c r="D684" t="str">
        <f t="shared" si="42"/>
        <v>agosto</v>
      </c>
      <c r="E684" t="str">
        <f t="shared" si="43"/>
        <v>2025-08</v>
      </c>
    </row>
    <row r="685" spans="1:5" x14ac:dyDescent="0.3">
      <c r="A685" s="1" t="d">
        <v>2025-08-14</v>
      </c>
      <c r="B685">
        <f t="shared" si="40"/>
        <v>2025</v>
      </c>
      <c r="C685">
        <f t="shared" si="41"/>
        <v>8</v>
      </c>
      <c r="D685" t="str">
        <f t="shared" si="42"/>
        <v>agosto</v>
      </c>
      <c r="E685" t="str">
        <f t="shared" si="43"/>
        <v>2025-08</v>
      </c>
    </row>
    <row r="686" spans="1:5" x14ac:dyDescent="0.3">
      <c r="A686" s="1" t="d">
        <v>2025-08-15</v>
      </c>
      <c r="B686">
        <f t="shared" si="40"/>
        <v>2025</v>
      </c>
      <c r="C686">
        <f t="shared" si="41"/>
        <v>8</v>
      </c>
      <c r="D686" t="str">
        <f t="shared" si="42"/>
        <v>agosto</v>
      </c>
      <c r="E686" t="str">
        <f t="shared" si="43"/>
        <v>2025-08</v>
      </c>
    </row>
    <row r="687" spans="1:5" x14ac:dyDescent="0.3">
      <c r="A687" s="1" t="d">
        <v>2025-08-16</v>
      </c>
      <c r="B687">
        <f t="shared" si="40"/>
        <v>2025</v>
      </c>
      <c r="C687">
        <f t="shared" si="41"/>
        <v>8</v>
      </c>
      <c r="D687" t="str">
        <f t="shared" si="42"/>
        <v>agosto</v>
      </c>
      <c r="E687" t="str">
        <f t="shared" si="43"/>
        <v>2025-08</v>
      </c>
    </row>
    <row r="688" spans="1:5" x14ac:dyDescent="0.3">
      <c r="A688" s="1" t="d">
        <v>2025-08-17</v>
      </c>
      <c r="B688">
        <f t="shared" si="40"/>
        <v>2025</v>
      </c>
      <c r="C688">
        <f t="shared" si="41"/>
        <v>8</v>
      </c>
      <c r="D688" t="str">
        <f t="shared" si="42"/>
        <v>agosto</v>
      </c>
      <c r="E688" t="str">
        <f t="shared" si="43"/>
        <v>2025-08</v>
      </c>
    </row>
    <row r="689" spans="1:5" x14ac:dyDescent="0.3">
      <c r="A689" s="1" t="d">
        <v>2025-08-18</v>
      </c>
      <c r="B689">
        <f t="shared" si="40"/>
        <v>2025</v>
      </c>
      <c r="C689">
        <f t="shared" si="41"/>
        <v>8</v>
      </c>
      <c r="D689" t="str">
        <f t="shared" si="42"/>
        <v>agosto</v>
      </c>
      <c r="E689" t="str">
        <f t="shared" si="43"/>
        <v>2025-08</v>
      </c>
    </row>
    <row r="690" spans="1:5" x14ac:dyDescent="0.3">
      <c r="A690" s="1" t="d">
        <v>2025-08-19</v>
      </c>
      <c r="B690">
        <f t="shared" si="40"/>
        <v>2025</v>
      </c>
      <c r="C690">
        <f t="shared" si="41"/>
        <v>8</v>
      </c>
      <c r="D690" t="str">
        <f t="shared" si="42"/>
        <v>agosto</v>
      </c>
      <c r="E690" t="str">
        <f t="shared" si="43"/>
        <v>2025-08</v>
      </c>
    </row>
    <row r="691" spans="1:5" x14ac:dyDescent="0.3">
      <c r="A691" s="1" t="d">
        <v>2025-08-20</v>
      </c>
      <c r="B691">
        <f t="shared" si="40"/>
        <v>2025</v>
      </c>
      <c r="C691">
        <f t="shared" si="41"/>
        <v>8</v>
      </c>
      <c r="D691" t="str">
        <f t="shared" si="42"/>
        <v>agosto</v>
      </c>
      <c r="E691" t="str">
        <f t="shared" si="43"/>
        <v>2025-08</v>
      </c>
    </row>
    <row r="692" spans="1:5" x14ac:dyDescent="0.3">
      <c r="A692" s="1" t="d">
        <v>2025-08-21</v>
      </c>
      <c r="B692">
        <f t="shared" si="40"/>
        <v>2025</v>
      </c>
      <c r="C692">
        <f t="shared" si="41"/>
        <v>8</v>
      </c>
      <c r="D692" t="str">
        <f t="shared" si="42"/>
        <v>agosto</v>
      </c>
      <c r="E692" t="str">
        <f t="shared" si="43"/>
        <v>2025-08</v>
      </c>
    </row>
    <row r="693" spans="1:5" x14ac:dyDescent="0.3">
      <c r="A693" s="1" t="d">
        <v>2025-08-22</v>
      </c>
      <c r="B693">
        <f t="shared" si="40"/>
        <v>2025</v>
      </c>
      <c r="C693">
        <f t="shared" si="41"/>
        <v>8</v>
      </c>
      <c r="D693" t="str">
        <f t="shared" si="42"/>
        <v>agosto</v>
      </c>
      <c r="E693" t="str">
        <f t="shared" si="43"/>
        <v>2025-08</v>
      </c>
    </row>
    <row r="694" spans="1:5" x14ac:dyDescent="0.3">
      <c r="A694" s="1" t="d">
        <v>2025-08-23</v>
      </c>
      <c r="B694">
        <f t="shared" si="40"/>
        <v>2025</v>
      </c>
      <c r="C694">
        <f t="shared" si="41"/>
        <v>8</v>
      </c>
      <c r="D694" t="str">
        <f t="shared" si="42"/>
        <v>agosto</v>
      </c>
      <c r="E694" t="str">
        <f t="shared" si="43"/>
        <v>2025-08</v>
      </c>
    </row>
    <row r="695" spans="1:5" x14ac:dyDescent="0.3">
      <c r="A695" s="1" t="d">
        <v>2025-08-24</v>
      </c>
      <c r="B695">
        <f t="shared" si="40"/>
        <v>2025</v>
      </c>
      <c r="C695">
        <f t="shared" si="41"/>
        <v>8</v>
      </c>
      <c r="D695" t="str">
        <f t="shared" si="42"/>
        <v>agosto</v>
      </c>
      <c r="E695" t="str">
        <f t="shared" si="43"/>
        <v>2025-08</v>
      </c>
    </row>
    <row r="696" spans="1:5" x14ac:dyDescent="0.3">
      <c r="A696" s="1" t="d">
        <v>2025-08-25</v>
      </c>
      <c r="B696">
        <f t="shared" si="40"/>
        <v>2025</v>
      </c>
      <c r="C696">
        <f t="shared" si="41"/>
        <v>8</v>
      </c>
      <c r="D696" t="str">
        <f t="shared" si="42"/>
        <v>agosto</v>
      </c>
      <c r="E696" t="str">
        <f t="shared" si="43"/>
        <v>2025-08</v>
      </c>
    </row>
    <row r="697" spans="1:5" x14ac:dyDescent="0.3">
      <c r="A697" s="1" t="d">
        <v>2025-08-26</v>
      </c>
      <c r="B697">
        <f t="shared" si="40"/>
        <v>2025</v>
      </c>
      <c r="C697">
        <f t="shared" si="41"/>
        <v>8</v>
      </c>
      <c r="D697" t="str">
        <f t="shared" si="42"/>
        <v>agosto</v>
      </c>
      <c r="E697" t="str">
        <f t="shared" si="43"/>
        <v>2025-08</v>
      </c>
    </row>
    <row r="698" spans="1:5" x14ac:dyDescent="0.3">
      <c r="A698" s="1" t="d">
        <v>2025-08-27</v>
      </c>
      <c r="B698">
        <f t="shared" si="40"/>
        <v>2025</v>
      </c>
      <c r="C698">
        <f t="shared" si="41"/>
        <v>8</v>
      </c>
      <c r="D698" t="str">
        <f t="shared" si="42"/>
        <v>agosto</v>
      </c>
      <c r="E698" t="str">
        <f t="shared" si="43"/>
        <v>2025-08</v>
      </c>
    </row>
    <row r="699" spans="1:5" x14ac:dyDescent="0.3">
      <c r="A699" s="1" t="d">
        <v>2025-08-28</v>
      </c>
      <c r="B699">
        <f t="shared" si="40"/>
        <v>2025</v>
      </c>
      <c r="C699">
        <f t="shared" si="41"/>
        <v>8</v>
      </c>
      <c r="D699" t="str">
        <f t="shared" si="42"/>
        <v>agosto</v>
      </c>
      <c r="E699" t="str">
        <f t="shared" si="43"/>
        <v>2025-08</v>
      </c>
    </row>
    <row r="700" spans="1:5" x14ac:dyDescent="0.3">
      <c r="A700" s="1" t="d">
        <v>2025-08-29</v>
      </c>
      <c r="B700">
        <f t="shared" si="40"/>
        <v>2025</v>
      </c>
      <c r="C700">
        <f t="shared" si="41"/>
        <v>8</v>
      </c>
      <c r="D700" t="str">
        <f t="shared" si="42"/>
        <v>agosto</v>
      </c>
      <c r="E700" t="str">
        <f t="shared" si="43"/>
        <v>2025-08</v>
      </c>
    </row>
    <row r="701" spans="1:5" x14ac:dyDescent="0.3">
      <c r="A701" s="1" t="d">
        <v>2025-08-30</v>
      </c>
      <c r="B701">
        <f t="shared" si="40"/>
        <v>2025</v>
      </c>
      <c r="C701">
        <f t="shared" si="41"/>
        <v>8</v>
      </c>
      <c r="D701" t="str">
        <f t="shared" si="42"/>
        <v>agosto</v>
      </c>
      <c r="E701" t="str">
        <f t="shared" si="43"/>
        <v>2025-08</v>
      </c>
    </row>
    <row r="702" spans="1:5" x14ac:dyDescent="0.3">
      <c r="A702" s="1" t="d">
        <v>2025-08-31</v>
      </c>
      <c r="B702">
        <f t="shared" si="40"/>
        <v>2025</v>
      </c>
      <c r="C702">
        <f t="shared" si="41"/>
        <v>8</v>
      </c>
      <c r="D702" t="str">
        <f t="shared" si="42"/>
        <v>agosto</v>
      </c>
      <c r="E702" t="str">
        <f t="shared" si="43"/>
        <v>2025-08</v>
      </c>
    </row>
    <row r="703" spans="1:5" x14ac:dyDescent="0.3">
      <c r="A703" s="1" t="d">
        <v>2025-09-01</v>
      </c>
      <c r="B703">
        <f t="shared" si="40"/>
        <v>2025</v>
      </c>
      <c r="C703">
        <f t="shared" si="41"/>
        <v>9</v>
      </c>
      <c r="D703" t="str">
        <f t="shared" si="42"/>
        <v>setembro</v>
      </c>
      <c r="E703" t="str">
        <f t="shared" si="43"/>
        <v>2025-09</v>
      </c>
    </row>
    <row r="704" spans="1:5" x14ac:dyDescent="0.3">
      <c r="A704" s="1" t="d">
        <v>2025-09-02</v>
      </c>
      <c r="B704">
        <f t="shared" si="40"/>
        <v>2025</v>
      </c>
      <c r="C704">
        <f t="shared" si="41"/>
        <v>9</v>
      </c>
      <c r="D704" t="str">
        <f t="shared" si="42"/>
        <v>setembro</v>
      </c>
      <c r="E704" t="str">
        <f t="shared" si="43"/>
        <v>2025-09</v>
      </c>
    </row>
    <row r="705" spans="1:5" x14ac:dyDescent="0.3">
      <c r="A705" s="1" t="d">
        <v>2025-09-03</v>
      </c>
      <c r="B705">
        <f t="shared" si="40"/>
        <v>2025</v>
      </c>
      <c r="C705">
        <f t="shared" si="41"/>
        <v>9</v>
      </c>
      <c r="D705" t="str">
        <f t="shared" si="42"/>
        <v>setembro</v>
      </c>
      <c r="E705" t="str">
        <f t="shared" si="43"/>
        <v>2025-09</v>
      </c>
    </row>
    <row r="706" spans="1:5" x14ac:dyDescent="0.3">
      <c r="A706" s="1" t="d">
        <v>2025-09-04</v>
      </c>
      <c r="B706">
        <f t="shared" si="40"/>
        <v>2025</v>
      </c>
      <c r="C706">
        <f t="shared" si="41"/>
        <v>9</v>
      </c>
      <c r="D706" t="str">
        <f t="shared" si="42"/>
        <v>setembro</v>
      </c>
      <c r="E706" t="str">
        <f t="shared" si="43"/>
        <v>2025-09</v>
      </c>
    </row>
    <row r="707" spans="1:5" x14ac:dyDescent="0.3">
      <c r="A707" s="1" t="d">
        <v>2025-09-05</v>
      </c>
      <c r="B707">
        <f t="shared" ref="B707:B770" si="44">YEAR(A707)</f>
        <v>2025</v>
      </c>
      <c r="C707">
        <f t="shared" ref="C707:C770" si="45">MONTH(A707)</f>
        <v>9</v>
      </c>
      <c r="D707" t="str">
        <f t="shared" ref="D707:D770" si="46">TEXT(A707, "mmmm")</f>
        <v>setembro</v>
      </c>
      <c r="E707" t="str">
        <f t="shared" ref="E707:E770" si="47">TEXT(A707, "aaaa-mm")</f>
        <v>2025-09</v>
      </c>
    </row>
    <row r="708" spans="1:5" x14ac:dyDescent="0.3">
      <c r="A708" s="1" t="d">
        <v>2025-09-06</v>
      </c>
      <c r="B708">
        <f t="shared" si="44"/>
        <v>2025</v>
      </c>
      <c r="C708">
        <f t="shared" si="45"/>
        <v>9</v>
      </c>
      <c r="D708" t="str">
        <f t="shared" si="46"/>
        <v>setembro</v>
      </c>
      <c r="E708" t="str">
        <f t="shared" si="47"/>
        <v>2025-09</v>
      </c>
    </row>
    <row r="709" spans="1:5" x14ac:dyDescent="0.3">
      <c r="A709" s="1" t="d">
        <v>2025-09-07</v>
      </c>
      <c r="B709">
        <f t="shared" si="44"/>
        <v>2025</v>
      </c>
      <c r="C709">
        <f t="shared" si="45"/>
        <v>9</v>
      </c>
      <c r="D709" t="str">
        <f t="shared" si="46"/>
        <v>setembro</v>
      </c>
      <c r="E709" t="str">
        <f t="shared" si="47"/>
        <v>2025-09</v>
      </c>
    </row>
    <row r="710" spans="1:5" x14ac:dyDescent="0.3">
      <c r="A710" s="1" t="d">
        <v>2025-09-08</v>
      </c>
      <c r="B710">
        <f t="shared" si="44"/>
        <v>2025</v>
      </c>
      <c r="C710">
        <f t="shared" si="45"/>
        <v>9</v>
      </c>
      <c r="D710" t="str">
        <f t="shared" si="46"/>
        <v>setembro</v>
      </c>
      <c r="E710" t="str">
        <f t="shared" si="47"/>
        <v>2025-09</v>
      </c>
    </row>
    <row r="711" spans="1:5" x14ac:dyDescent="0.3">
      <c r="A711" s="1" t="d">
        <v>2025-09-09</v>
      </c>
      <c r="B711">
        <f t="shared" si="44"/>
        <v>2025</v>
      </c>
      <c r="C711">
        <f t="shared" si="45"/>
        <v>9</v>
      </c>
      <c r="D711" t="str">
        <f t="shared" si="46"/>
        <v>setembro</v>
      </c>
      <c r="E711" t="str">
        <f t="shared" si="47"/>
        <v>2025-09</v>
      </c>
    </row>
    <row r="712" spans="1:5" x14ac:dyDescent="0.3">
      <c r="A712" s="1" t="d">
        <v>2025-09-10</v>
      </c>
      <c r="B712">
        <f t="shared" si="44"/>
        <v>2025</v>
      </c>
      <c r="C712">
        <f t="shared" si="45"/>
        <v>9</v>
      </c>
      <c r="D712" t="str">
        <f t="shared" si="46"/>
        <v>setembro</v>
      </c>
      <c r="E712" t="str">
        <f t="shared" si="47"/>
        <v>2025-09</v>
      </c>
    </row>
    <row r="713" spans="1:5" x14ac:dyDescent="0.3">
      <c r="A713" s="1" t="d">
        <v>2025-09-11</v>
      </c>
      <c r="B713">
        <f t="shared" si="44"/>
        <v>2025</v>
      </c>
      <c r="C713">
        <f t="shared" si="45"/>
        <v>9</v>
      </c>
      <c r="D713" t="str">
        <f t="shared" si="46"/>
        <v>setembro</v>
      </c>
      <c r="E713" t="str">
        <f t="shared" si="47"/>
        <v>2025-09</v>
      </c>
    </row>
    <row r="714" spans="1:5" x14ac:dyDescent="0.3">
      <c r="A714" s="1" t="d">
        <v>2025-09-12</v>
      </c>
      <c r="B714">
        <f t="shared" si="44"/>
        <v>2025</v>
      </c>
      <c r="C714">
        <f t="shared" si="45"/>
        <v>9</v>
      </c>
      <c r="D714" t="str">
        <f t="shared" si="46"/>
        <v>setembro</v>
      </c>
      <c r="E714" t="str">
        <f t="shared" si="47"/>
        <v>2025-09</v>
      </c>
    </row>
    <row r="715" spans="1:5" x14ac:dyDescent="0.3">
      <c r="A715" s="1" t="d">
        <v>2025-09-13</v>
      </c>
      <c r="B715">
        <f t="shared" si="44"/>
        <v>2025</v>
      </c>
      <c r="C715">
        <f t="shared" si="45"/>
        <v>9</v>
      </c>
      <c r="D715" t="str">
        <f t="shared" si="46"/>
        <v>setembro</v>
      </c>
      <c r="E715" t="str">
        <f t="shared" si="47"/>
        <v>2025-09</v>
      </c>
    </row>
    <row r="716" spans="1:5" x14ac:dyDescent="0.3">
      <c r="A716" s="1" t="d">
        <v>2025-09-14</v>
      </c>
      <c r="B716">
        <f t="shared" si="44"/>
        <v>2025</v>
      </c>
      <c r="C716">
        <f t="shared" si="45"/>
        <v>9</v>
      </c>
      <c r="D716" t="str">
        <f t="shared" si="46"/>
        <v>setembro</v>
      </c>
      <c r="E716" t="str">
        <f t="shared" si="47"/>
        <v>2025-09</v>
      </c>
    </row>
    <row r="717" spans="1:5" x14ac:dyDescent="0.3">
      <c r="A717" s="1" t="d">
        <v>2025-09-15</v>
      </c>
      <c r="B717">
        <f t="shared" si="44"/>
        <v>2025</v>
      </c>
      <c r="C717">
        <f t="shared" si="45"/>
        <v>9</v>
      </c>
      <c r="D717" t="str">
        <f t="shared" si="46"/>
        <v>setembro</v>
      </c>
      <c r="E717" t="str">
        <f t="shared" si="47"/>
        <v>2025-09</v>
      </c>
    </row>
    <row r="718" spans="1:5" x14ac:dyDescent="0.3">
      <c r="A718" s="1" t="d">
        <v>2025-09-16</v>
      </c>
      <c r="B718">
        <f t="shared" si="44"/>
        <v>2025</v>
      </c>
      <c r="C718">
        <f t="shared" si="45"/>
        <v>9</v>
      </c>
      <c r="D718" t="str">
        <f t="shared" si="46"/>
        <v>setembro</v>
      </c>
      <c r="E718" t="str">
        <f t="shared" si="47"/>
        <v>2025-09</v>
      </c>
    </row>
    <row r="719" spans="1:5" x14ac:dyDescent="0.3">
      <c r="A719" s="1" t="d">
        <v>2025-09-17</v>
      </c>
      <c r="B719">
        <f t="shared" si="44"/>
        <v>2025</v>
      </c>
      <c r="C719">
        <f t="shared" si="45"/>
        <v>9</v>
      </c>
      <c r="D719" t="str">
        <f t="shared" si="46"/>
        <v>setembro</v>
      </c>
      <c r="E719" t="str">
        <f t="shared" si="47"/>
        <v>2025-09</v>
      </c>
    </row>
    <row r="720" spans="1:5" x14ac:dyDescent="0.3">
      <c r="A720" s="1" t="d">
        <v>2025-09-18</v>
      </c>
      <c r="B720">
        <f t="shared" si="44"/>
        <v>2025</v>
      </c>
      <c r="C720">
        <f t="shared" si="45"/>
        <v>9</v>
      </c>
      <c r="D720" t="str">
        <f t="shared" si="46"/>
        <v>setembro</v>
      </c>
      <c r="E720" t="str">
        <f t="shared" si="47"/>
        <v>2025-09</v>
      </c>
    </row>
    <row r="721" spans="1:5" x14ac:dyDescent="0.3">
      <c r="A721" s="1" t="d">
        <v>2025-09-19</v>
      </c>
      <c r="B721">
        <f t="shared" si="44"/>
        <v>2025</v>
      </c>
      <c r="C721">
        <f t="shared" si="45"/>
        <v>9</v>
      </c>
      <c r="D721" t="str">
        <f t="shared" si="46"/>
        <v>setembro</v>
      </c>
      <c r="E721" t="str">
        <f t="shared" si="47"/>
        <v>2025-09</v>
      </c>
    </row>
    <row r="722" spans="1:5" x14ac:dyDescent="0.3">
      <c r="A722" s="1" t="d">
        <v>2025-09-20</v>
      </c>
      <c r="B722">
        <f t="shared" si="44"/>
        <v>2025</v>
      </c>
      <c r="C722">
        <f t="shared" si="45"/>
        <v>9</v>
      </c>
      <c r="D722" t="str">
        <f t="shared" si="46"/>
        <v>setembro</v>
      </c>
      <c r="E722" t="str">
        <f t="shared" si="47"/>
        <v>2025-09</v>
      </c>
    </row>
    <row r="723" spans="1:5" x14ac:dyDescent="0.3">
      <c r="A723" s="1" t="d">
        <v>2025-09-21</v>
      </c>
      <c r="B723">
        <f t="shared" si="44"/>
        <v>2025</v>
      </c>
      <c r="C723">
        <f t="shared" si="45"/>
        <v>9</v>
      </c>
      <c r="D723" t="str">
        <f t="shared" si="46"/>
        <v>setembro</v>
      </c>
      <c r="E723" t="str">
        <f t="shared" si="47"/>
        <v>2025-09</v>
      </c>
    </row>
    <row r="724" spans="1:5" x14ac:dyDescent="0.3">
      <c r="A724" s="1" t="d">
        <v>2025-09-22</v>
      </c>
      <c r="B724">
        <f t="shared" si="44"/>
        <v>2025</v>
      </c>
      <c r="C724">
        <f t="shared" si="45"/>
        <v>9</v>
      </c>
      <c r="D724" t="str">
        <f t="shared" si="46"/>
        <v>setembro</v>
      </c>
      <c r="E724" t="str">
        <f t="shared" si="47"/>
        <v>2025-09</v>
      </c>
    </row>
    <row r="725" spans="1:5" x14ac:dyDescent="0.3">
      <c r="A725" s="1" t="d">
        <v>2025-09-23</v>
      </c>
      <c r="B725">
        <f t="shared" si="44"/>
        <v>2025</v>
      </c>
      <c r="C725">
        <f t="shared" si="45"/>
        <v>9</v>
      </c>
      <c r="D725" t="str">
        <f t="shared" si="46"/>
        <v>setembro</v>
      </c>
      <c r="E725" t="str">
        <f t="shared" si="47"/>
        <v>2025-09</v>
      </c>
    </row>
    <row r="726" spans="1:5" x14ac:dyDescent="0.3">
      <c r="A726" s="1" t="d">
        <v>2025-09-24</v>
      </c>
      <c r="B726">
        <f t="shared" si="44"/>
        <v>2025</v>
      </c>
      <c r="C726">
        <f t="shared" si="45"/>
        <v>9</v>
      </c>
      <c r="D726" t="str">
        <f t="shared" si="46"/>
        <v>setembro</v>
      </c>
      <c r="E726" t="str">
        <f t="shared" si="47"/>
        <v>2025-09</v>
      </c>
    </row>
    <row r="727" spans="1:5" x14ac:dyDescent="0.3">
      <c r="A727" s="1" t="d">
        <v>2025-09-25</v>
      </c>
      <c r="B727">
        <f t="shared" si="44"/>
        <v>2025</v>
      </c>
      <c r="C727">
        <f t="shared" si="45"/>
        <v>9</v>
      </c>
      <c r="D727" t="str">
        <f t="shared" si="46"/>
        <v>setembro</v>
      </c>
      <c r="E727" t="str">
        <f t="shared" si="47"/>
        <v>2025-09</v>
      </c>
    </row>
    <row r="728" spans="1:5" x14ac:dyDescent="0.3">
      <c r="A728" s="1" t="d">
        <v>2025-09-26</v>
      </c>
      <c r="B728">
        <f t="shared" si="44"/>
        <v>2025</v>
      </c>
      <c r="C728">
        <f t="shared" si="45"/>
        <v>9</v>
      </c>
      <c r="D728" t="str">
        <f t="shared" si="46"/>
        <v>setembro</v>
      </c>
      <c r="E728" t="str">
        <f t="shared" si="47"/>
        <v>2025-09</v>
      </c>
    </row>
    <row r="729" spans="1:5" x14ac:dyDescent="0.3">
      <c r="A729" s="1" t="d">
        <v>2025-09-27</v>
      </c>
      <c r="B729">
        <f t="shared" si="44"/>
        <v>2025</v>
      </c>
      <c r="C729">
        <f t="shared" si="45"/>
        <v>9</v>
      </c>
      <c r="D729" t="str">
        <f t="shared" si="46"/>
        <v>setembro</v>
      </c>
      <c r="E729" t="str">
        <f t="shared" si="47"/>
        <v>2025-09</v>
      </c>
    </row>
    <row r="730" spans="1:5" x14ac:dyDescent="0.3">
      <c r="A730" s="1" t="d">
        <v>2025-09-28</v>
      </c>
      <c r="B730">
        <f t="shared" si="44"/>
        <v>2025</v>
      </c>
      <c r="C730">
        <f t="shared" si="45"/>
        <v>9</v>
      </c>
      <c r="D730" t="str">
        <f t="shared" si="46"/>
        <v>setembro</v>
      </c>
      <c r="E730" t="str">
        <f t="shared" si="47"/>
        <v>2025-09</v>
      </c>
    </row>
    <row r="731" spans="1:5" x14ac:dyDescent="0.3">
      <c r="A731" s="1" t="d">
        <v>2025-09-29</v>
      </c>
      <c r="B731">
        <f t="shared" si="44"/>
        <v>2025</v>
      </c>
      <c r="C731">
        <f t="shared" si="45"/>
        <v>9</v>
      </c>
      <c r="D731" t="str">
        <f t="shared" si="46"/>
        <v>setembro</v>
      </c>
      <c r="E731" t="str">
        <f t="shared" si="47"/>
        <v>2025-09</v>
      </c>
    </row>
    <row r="732" spans="1:5" x14ac:dyDescent="0.3">
      <c r="A732" s="1" t="d">
        <v>2025-09-30</v>
      </c>
      <c r="B732">
        <f t="shared" si="44"/>
        <v>2025</v>
      </c>
      <c r="C732">
        <f t="shared" si="45"/>
        <v>9</v>
      </c>
      <c r="D732" t="str">
        <f t="shared" si="46"/>
        <v>setembro</v>
      </c>
      <c r="E732" t="str">
        <f t="shared" si="47"/>
        <v>2025-09</v>
      </c>
    </row>
    <row r="733" spans="1:5" x14ac:dyDescent="0.3">
      <c r="A733" s="1" t="d">
        <v>2025-10-01</v>
      </c>
      <c r="B733">
        <f t="shared" si="44"/>
        <v>2025</v>
      </c>
      <c r="C733">
        <f t="shared" si="45"/>
        <v>10</v>
      </c>
      <c r="D733" t="str">
        <f t="shared" si="46"/>
        <v>outubro</v>
      </c>
      <c r="E733" t="str">
        <f t="shared" si="47"/>
        <v>2025-10</v>
      </c>
    </row>
    <row r="734" spans="1:5" x14ac:dyDescent="0.3">
      <c r="A734" s="1" t="d">
        <v>2025-10-02</v>
      </c>
      <c r="B734">
        <f t="shared" si="44"/>
        <v>2025</v>
      </c>
      <c r="C734">
        <f t="shared" si="45"/>
        <v>10</v>
      </c>
      <c r="D734" t="str">
        <f t="shared" si="46"/>
        <v>outubro</v>
      </c>
      <c r="E734" t="str">
        <f t="shared" si="47"/>
        <v>2025-10</v>
      </c>
    </row>
    <row r="735" spans="1:5" x14ac:dyDescent="0.3">
      <c r="A735" s="1" t="d">
        <v>2025-10-03</v>
      </c>
      <c r="B735">
        <f t="shared" si="44"/>
        <v>2025</v>
      </c>
      <c r="C735">
        <f t="shared" si="45"/>
        <v>10</v>
      </c>
      <c r="D735" t="str">
        <f t="shared" si="46"/>
        <v>outubro</v>
      </c>
      <c r="E735" t="str">
        <f t="shared" si="47"/>
        <v>2025-10</v>
      </c>
    </row>
    <row r="736" spans="1:5" x14ac:dyDescent="0.3">
      <c r="A736" s="1" t="d">
        <v>2025-10-04</v>
      </c>
      <c r="B736">
        <f t="shared" si="44"/>
        <v>2025</v>
      </c>
      <c r="C736">
        <f t="shared" si="45"/>
        <v>10</v>
      </c>
      <c r="D736" t="str">
        <f t="shared" si="46"/>
        <v>outubro</v>
      </c>
      <c r="E736" t="str">
        <f t="shared" si="47"/>
        <v>2025-10</v>
      </c>
    </row>
    <row r="737" spans="1:5" x14ac:dyDescent="0.3">
      <c r="A737" s="1" t="d">
        <v>2025-10-05</v>
      </c>
      <c r="B737">
        <f t="shared" si="44"/>
        <v>2025</v>
      </c>
      <c r="C737">
        <f t="shared" si="45"/>
        <v>10</v>
      </c>
      <c r="D737" t="str">
        <f t="shared" si="46"/>
        <v>outubro</v>
      </c>
      <c r="E737" t="str">
        <f t="shared" si="47"/>
        <v>2025-10</v>
      </c>
    </row>
    <row r="738" spans="1:5" x14ac:dyDescent="0.3">
      <c r="A738" s="1" t="d">
        <v>2025-10-06</v>
      </c>
      <c r="B738">
        <f t="shared" si="44"/>
        <v>2025</v>
      </c>
      <c r="C738">
        <f t="shared" si="45"/>
        <v>10</v>
      </c>
      <c r="D738" t="str">
        <f t="shared" si="46"/>
        <v>outubro</v>
      </c>
      <c r="E738" t="str">
        <f t="shared" si="47"/>
        <v>2025-10</v>
      </c>
    </row>
    <row r="739" spans="1:5" x14ac:dyDescent="0.3">
      <c r="A739" s="1" t="d">
        <v>2025-10-07</v>
      </c>
      <c r="B739">
        <f t="shared" si="44"/>
        <v>2025</v>
      </c>
      <c r="C739">
        <f t="shared" si="45"/>
        <v>10</v>
      </c>
      <c r="D739" t="str">
        <f t="shared" si="46"/>
        <v>outubro</v>
      </c>
      <c r="E739" t="str">
        <f t="shared" si="47"/>
        <v>2025-10</v>
      </c>
    </row>
    <row r="740" spans="1:5" x14ac:dyDescent="0.3">
      <c r="A740" s="1" t="d">
        <v>2025-10-08</v>
      </c>
      <c r="B740">
        <f t="shared" si="44"/>
        <v>2025</v>
      </c>
      <c r="C740">
        <f t="shared" si="45"/>
        <v>10</v>
      </c>
      <c r="D740" t="str">
        <f t="shared" si="46"/>
        <v>outubro</v>
      </c>
      <c r="E740" t="str">
        <f t="shared" si="47"/>
        <v>2025-10</v>
      </c>
    </row>
    <row r="741" spans="1:5" x14ac:dyDescent="0.3">
      <c r="A741" s="1" t="d">
        <v>2025-10-09</v>
      </c>
      <c r="B741">
        <f t="shared" si="44"/>
        <v>2025</v>
      </c>
      <c r="C741">
        <f t="shared" si="45"/>
        <v>10</v>
      </c>
      <c r="D741" t="str">
        <f t="shared" si="46"/>
        <v>outubro</v>
      </c>
      <c r="E741" t="str">
        <f t="shared" si="47"/>
        <v>2025-10</v>
      </c>
    </row>
    <row r="742" spans="1:5" x14ac:dyDescent="0.3">
      <c r="A742" s="1" t="d">
        <v>2025-10-10</v>
      </c>
      <c r="B742">
        <f t="shared" si="44"/>
        <v>2025</v>
      </c>
      <c r="C742">
        <f t="shared" si="45"/>
        <v>10</v>
      </c>
      <c r="D742" t="str">
        <f t="shared" si="46"/>
        <v>outubro</v>
      </c>
      <c r="E742" t="str">
        <f t="shared" si="47"/>
        <v>2025-10</v>
      </c>
    </row>
    <row r="743" spans="1:5" x14ac:dyDescent="0.3">
      <c r="A743" s="1" t="d">
        <v>2025-10-11</v>
      </c>
      <c r="B743">
        <f t="shared" si="44"/>
        <v>2025</v>
      </c>
      <c r="C743">
        <f t="shared" si="45"/>
        <v>10</v>
      </c>
      <c r="D743" t="str">
        <f t="shared" si="46"/>
        <v>outubro</v>
      </c>
      <c r="E743" t="str">
        <f t="shared" si="47"/>
        <v>2025-10</v>
      </c>
    </row>
    <row r="744" spans="1:5" x14ac:dyDescent="0.3">
      <c r="A744" s="1" t="d">
        <v>2025-10-12</v>
      </c>
      <c r="B744">
        <f t="shared" si="44"/>
        <v>2025</v>
      </c>
      <c r="C744">
        <f t="shared" si="45"/>
        <v>10</v>
      </c>
      <c r="D744" t="str">
        <f t="shared" si="46"/>
        <v>outubro</v>
      </c>
      <c r="E744" t="str">
        <f t="shared" si="47"/>
        <v>2025-10</v>
      </c>
    </row>
    <row r="745" spans="1:5" x14ac:dyDescent="0.3">
      <c r="A745" s="1" t="d">
        <v>2025-10-13</v>
      </c>
      <c r="B745">
        <f t="shared" si="44"/>
        <v>2025</v>
      </c>
      <c r="C745">
        <f t="shared" si="45"/>
        <v>10</v>
      </c>
      <c r="D745" t="str">
        <f t="shared" si="46"/>
        <v>outubro</v>
      </c>
      <c r="E745" t="str">
        <f t="shared" si="47"/>
        <v>2025-10</v>
      </c>
    </row>
    <row r="746" spans="1:5" x14ac:dyDescent="0.3">
      <c r="A746" s="1" t="d">
        <v>2025-10-14</v>
      </c>
      <c r="B746">
        <f t="shared" si="44"/>
        <v>2025</v>
      </c>
      <c r="C746">
        <f t="shared" si="45"/>
        <v>10</v>
      </c>
      <c r="D746" t="str">
        <f t="shared" si="46"/>
        <v>outubro</v>
      </c>
      <c r="E746" t="str">
        <f t="shared" si="47"/>
        <v>2025-10</v>
      </c>
    </row>
    <row r="747" spans="1:5" x14ac:dyDescent="0.3">
      <c r="A747" s="1" t="d">
        <v>2025-10-15</v>
      </c>
      <c r="B747">
        <f t="shared" si="44"/>
        <v>2025</v>
      </c>
      <c r="C747">
        <f t="shared" si="45"/>
        <v>10</v>
      </c>
      <c r="D747" t="str">
        <f t="shared" si="46"/>
        <v>outubro</v>
      </c>
      <c r="E747" t="str">
        <f t="shared" si="47"/>
        <v>2025-10</v>
      </c>
    </row>
    <row r="748" spans="1:5" x14ac:dyDescent="0.3">
      <c r="A748" s="1" t="d">
        <v>2025-10-16</v>
      </c>
      <c r="B748">
        <f t="shared" si="44"/>
        <v>2025</v>
      </c>
      <c r="C748">
        <f t="shared" si="45"/>
        <v>10</v>
      </c>
      <c r="D748" t="str">
        <f t="shared" si="46"/>
        <v>outubro</v>
      </c>
      <c r="E748" t="str">
        <f t="shared" si="47"/>
        <v>2025-10</v>
      </c>
    </row>
    <row r="749" spans="1:5" x14ac:dyDescent="0.3">
      <c r="A749" s="1" t="d">
        <v>2025-10-17</v>
      </c>
      <c r="B749">
        <f t="shared" si="44"/>
        <v>2025</v>
      </c>
      <c r="C749">
        <f t="shared" si="45"/>
        <v>10</v>
      </c>
      <c r="D749" t="str">
        <f t="shared" si="46"/>
        <v>outubro</v>
      </c>
      <c r="E749" t="str">
        <f t="shared" si="47"/>
        <v>2025-10</v>
      </c>
    </row>
    <row r="750" spans="1:5" x14ac:dyDescent="0.3">
      <c r="A750" s="1" t="d">
        <v>2025-10-18</v>
      </c>
      <c r="B750">
        <f t="shared" si="44"/>
        <v>2025</v>
      </c>
      <c r="C750">
        <f t="shared" si="45"/>
        <v>10</v>
      </c>
      <c r="D750" t="str">
        <f t="shared" si="46"/>
        <v>outubro</v>
      </c>
      <c r="E750" t="str">
        <f t="shared" si="47"/>
        <v>2025-10</v>
      </c>
    </row>
    <row r="751" spans="1:5" x14ac:dyDescent="0.3">
      <c r="A751" s="1" t="d">
        <v>2025-10-19</v>
      </c>
      <c r="B751">
        <f t="shared" si="44"/>
        <v>2025</v>
      </c>
      <c r="C751">
        <f t="shared" si="45"/>
        <v>10</v>
      </c>
      <c r="D751" t="str">
        <f t="shared" si="46"/>
        <v>outubro</v>
      </c>
      <c r="E751" t="str">
        <f t="shared" si="47"/>
        <v>2025-10</v>
      </c>
    </row>
    <row r="752" spans="1:5" x14ac:dyDescent="0.3">
      <c r="A752" s="1" t="d">
        <v>2025-10-20</v>
      </c>
      <c r="B752">
        <f t="shared" si="44"/>
        <v>2025</v>
      </c>
      <c r="C752">
        <f t="shared" si="45"/>
        <v>10</v>
      </c>
      <c r="D752" t="str">
        <f t="shared" si="46"/>
        <v>outubro</v>
      </c>
      <c r="E752" t="str">
        <f t="shared" si="47"/>
        <v>2025-10</v>
      </c>
    </row>
    <row r="753" spans="1:5" x14ac:dyDescent="0.3">
      <c r="A753" s="1" t="d">
        <v>2025-10-21</v>
      </c>
      <c r="B753">
        <f t="shared" si="44"/>
        <v>2025</v>
      </c>
      <c r="C753">
        <f t="shared" si="45"/>
        <v>10</v>
      </c>
      <c r="D753" t="str">
        <f t="shared" si="46"/>
        <v>outubro</v>
      </c>
      <c r="E753" t="str">
        <f t="shared" si="47"/>
        <v>2025-10</v>
      </c>
    </row>
    <row r="754" spans="1:5" x14ac:dyDescent="0.3">
      <c r="A754" s="1" t="d">
        <v>2025-10-22</v>
      </c>
      <c r="B754">
        <f t="shared" si="44"/>
        <v>2025</v>
      </c>
      <c r="C754">
        <f t="shared" si="45"/>
        <v>10</v>
      </c>
      <c r="D754" t="str">
        <f t="shared" si="46"/>
        <v>outubro</v>
      </c>
      <c r="E754" t="str">
        <f t="shared" si="47"/>
        <v>2025-10</v>
      </c>
    </row>
    <row r="755" spans="1:5" x14ac:dyDescent="0.3">
      <c r="A755" s="1" t="d">
        <v>2025-10-23</v>
      </c>
      <c r="B755">
        <f t="shared" si="44"/>
        <v>2025</v>
      </c>
      <c r="C755">
        <f t="shared" si="45"/>
        <v>10</v>
      </c>
      <c r="D755" t="str">
        <f t="shared" si="46"/>
        <v>outubro</v>
      </c>
      <c r="E755" t="str">
        <f t="shared" si="47"/>
        <v>2025-10</v>
      </c>
    </row>
    <row r="756" spans="1:5" x14ac:dyDescent="0.3">
      <c r="A756" s="1" t="d">
        <v>2025-10-24</v>
      </c>
      <c r="B756">
        <f t="shared" si="44"/>
        <v>2025</v>
      </c>
      <c r="C756">
        <f t="shared" si="45"/>
        <v>10</v>
      </c>
      <c r="D756" t="str">
        <f t="shared" si="46"/>
        <v>outubro</v>
      </c>
      <c r="E756" t="str">
        <f t="shared" si="47"/>
        <v>2025-10</v>
      </c>
    </row>
    <row r="757" spans="1:5" x14ac:dyDescent="0.3">
      <c r="A757" s="1" t="d">
        <v>2025-10-25</v>
      </c>
      <c r="B757">
        <f t="shared" si="44"/>
        <v>2025</v>
      </c>
      <c r="C757">
        <f t="shared" si="45"/>
        <v>10</v>
      </c>
      <c r="D757" t="str">
        <f t="shared" si="46"/>
        <v>outubro</v>
      </c>
      <c r="E757" t="str">
        <f t="shared" si="47"/>
        <v>2025-10</v>
      </c>
    </row>
    <row r="758" spans="1:5" x14ac:dyDescent="0.3">
      <c r="A758" s="1" t="d">
        <v>2025-10-26</v>
      </c>
      <c r="B758">
        <f t="shared" si="44"/>
        <v>2025</v>
      </c>
      <c r="C758">
        <f t="shared" si="45"/>
        <v>10</v>
      </c>
      <c r="D758" t="str">
        <f t="shared" si="46"/>
        <v>outubro</v>
      </c>
      <c r="E758" t="str">
        <f t="shared" si="47"/>
        <v>2025-10</v>
      </c>
    </row>
    <row r="759" spans="1:5" x14ac:dyDescent="0.3">
      <c r="A759" s="1" t="d">
        <v>2025-10-27</v>
      </c>
      <c r="B759">
        <f t="shared" si="44"/>
        <v>2025</v>
      </c>
      <c r="C759">
        <f t="shared" si="45"/>
        <v>10</v>
      </c>
      <c r="D759" t="str">
        <f t="shared" si="46"/>
        <v>outubro</v>
      </c>
      <c r="E759" t="str">
        <f t="shared" si="47"/>
        <v>2025-10</v>
      </c>
    </row>
    <row r="760" spans="1:5" x14ac:dyDescent="0.3">
      <c r="A760" s="1" t="d">
        <v>2025-10-28</v>
      </c>
      <c r="B760">
        <f t="shared" si="44"/>
        <v>2025</v>
      </c>
      <c r="C760">
        <f t="shared" si="45"/>
        <v>10</v>
      </c>
      <c r="D760" t="str">
        <f t="shared" si="46"/>
        <v>outubro</v>
      </c>
      <c r="E760" t="str">
        <f t="shared" si="47"/>
        <v>2025-10</v>
      </c>
    </row>
    <row r="761" spans="1:5" x14ac:dyDescent="0.3">
      <c r="A761" s="1" t="d">
        <v>2025-10-29</v>
      </c>
      <c r="B761">
        <f t="shared" si="44"/>
        <v>2025</v>
      </c>
      <c r="C761">
        <f t="shared" si="45"/>
        <v>10</v>
      </c>
      <c r="D761" t="str">
        <f t="shared" si="46"/>
        <v>outubro</v>
      </c>
      <c r="E761" t="str">
        <f t="shared" si="47"/>
        <v>2025-10</v>
      </c>
    </row>
    <row r="762" spans="1:5" x14ac:dyDescent="0.3">
      <c r="A762" s="1" t="d">
        <v>2025-10-30</v>
      </c>
      <c r="B762">
        <f t="shared" si="44"/>
        <v>2025</v>
      </c>
      <c r="C762">
        <f t="shared" si="45"/>
        <v>10</v>
      </c>
      <c r="D762" t="str">
        <f t="shared" si="46"/>
        <v>outubro</v>
      </c>
      <c r="E762" t="str">
        <f t="shared" si="47"/>
        <v>2025-10</v>
      </c>
    </row>
    <row r="763" spans="1:5" x14ac:dyDescent="0.3">
      <c r="A763" s="1" t="d">
        <v>2025-10-31</v>
      </c>
      <c r="B763">
        <f t="shared" si="44"/>
        <v>2025</v>
      </c>
      <c r="C763">
        <f t="shared" si="45"/>
        <v>10</v>
      </c>
      <c r="D763" t="str">
        <f t="shared" si="46"/>
        <v>outubro</v>
      </c>
      <c r="E763" t="str">
        <f t="shared" si="47"/>
        <v>2025-10</v>
      </c>
    </row>
    <row r="764" spans="1:5" x14ac:dyDescent="0.3">
      <c r="A764" s="1" t="d">
        <v>2025-11-01</v>
      </c>
      <c r="B764">
        <f t="shared" si="44"/>
        <v>2025</v>
      </c>
      <c r="C764">
        <f t="shared" si="45"/>
        <v>11</v>
      </c>
      <c r="D764" t="str">
        <f t="shared" si="46"/>
        <v>novembro</v>
      </c>
      <c r="E764" t="str">
        <f t="shared" si="47"/>
        <v>2025-11</v>
      </c>
    </row>
    <row r="765" spans="1:5" x14ac:dyDescent="0.3">
      <c r="A765" s="1" t="d">
        <v>2025-11-02</v>
      </c>
      <c r="B765">
        <f t="shared" si="44"/>
        <v>2025</v>
      </c>
      <c r="C765">
        <f t="shared" si="45"/>
        <v>11</v>
      </c>
      <c r="D765" t="str">
        <f t="shared" si="46"/>
        <v>novembro</v>
      </c>
      <c r="E765" t="str">
        <f t="shared" si="47"/>
        <v>2025-11</v>
      </c>
    </row>
    <row r="766" spans="1:5" x14ac:dyDescent="0.3">
      <c r="A766" s="1" t="d">
        <v>2025-11-03</v>
      </c>
      <c r="B766">
        <f t="shared" si="44"/>
        <v>2025</v>
      </c>
      <c r="C766">
        <f t="shared" si="45"/>
        <v>11</v>
      </c>
      <c r="D766" t="str">
        <f t="shared" si="46"/>
        <v>novembro</v>
      </c>
      <c r="E766" t="str">
        <f t="shared" si="47"/>
        <v>2025-11</v>
      </c>
    </row>
    <row r="767" spans="1:5" x14ac:dyDescent="0.3">
      <c r="A767" s="1" t="d">
        <v>2025-11-04</v>
      </c>
      <c r="B767">
        <f t="shared" si="44"/>
        <v>2025</v>
      </c>
      <c r="C767">
        <f t="shared" si="45"/>
        <v>11</v>
      </c>
      <c r="D767" t="str">
        <f t="shared" si="46"/>
        <v>novembro</v>
      </c>
      <c r="E767" t="str">
        <f t="shared" si="47"/>
        <v>2025-11</v>
      </c>
    </row>
    <row r="768" spans="1:5" x14ac:dyDescent="0.3">
      <c r="A768" s="1" t="d">
        <v>2025-11-05</v>
      </c>
      <c r="B768">
        <f t="shared" si="44"/>
        <v>2025</v>
      </c>
      <c r="C768">
        <f t="shared" si="45"/>
        <v>11</v>
      </c>
      <c r="D768" t="str">
        <f t="shared" si="46"/>
        <v>novembro</v>
      </c>
      <c r="E768" t="str">
        <f t="shared" si="47"/>
        <v>2025-11</v>
      </c>
    </row>
    <row r="769" spans="1:5" x14ac:dyDescent="0.3">
      <c r="A769" s="1" t="d">
        <v>2025-11-06</v>
      </c>
      <c r="B769">
        <f t="shared" si="44"/>
        <v>2025</v>
      </c>
      <c r="C769">
        <f t="shared" si="45"/>
        <v>11</v>
      </c>
      <c r="D769" t="str">
        <f t="shared" si="46"/>
        <v>novembro</v>
      </c>
      <c r="E769" t="str">
        <f t="shared" si="47"/>
        <v>2025-11</v>
      </c>
    </row>
    <row r="770" spans="1:5" x14ac:dyDescent="0.3">
      <c r="A770" s="1" t="d">
        <v>2025-11-07</v>
      </c>
      <c r="B770">
        <f t="shared" si="44"/>
        <v>2025</v>
      </c>
      <c r="C770">
        <f t="shared" si="45"/>
        <v>11</v>
      </c>
      <c r="D770" t="str">
        <f t="shared" si="46"/>
        <v>novembro</v>
      </c>
      <c r="E770" t="str">
        <f t="shared" si="47"/>
        <v>2025-11</v>
      </c>
    </row>
    <row r="771" spans="1:5" x14ac:dyDescent="0.3">
      <c r="A771" s="1" t="d">
        <v>2025-11-08</v>
      </c>
      <c r="B771">
        <f t="shared" ref="B771:B834" si="48">YEAR(A771)</f>
        <v>2025</v>
      </c>
      <c r="C771">
        <f t="shared" ref="C771:C834" si="49">MONTH(A771)</f>
        <v>11</v>
      </c>
      <c r="D771" t="str">
        <f t="shared" ref="D771:D834" si="50">TEXT(A771, "mmmm")</f>
        <v>novembro</v>
      </c>
      <c r="E771" t="str">
        <f t="shared" ref="E771:E834" si="51">TEXT(A771, "aaaa-mm")</f>
        <v>2025-11</v>
      </c>
    </row>
    <row r="772" spans="1:5" x14ac:dyDescent="0.3">
      <c r="A772" s="1" t="d">
        <v>2025-11-09</v>
      </c>
      <c r="B772">
        <f t="shared" si="48"/>
        <v>2025</v>
      </c>
      <c r="C772">
        <f t="shared" si="49"/>
        <v>11</v>
      </c>
      <c r="D772" t="str">
        <f t="shared" si="50"/>
        <v>novembro</v>
      </c>
      <c r="E772" t="str">
        <f t="shared" si="51"/>
        <v>2025-11</v>
      </c>
    </row>
    <row r="773" spans="1:5" x14ac:dyDescent="0.3">
      <c r="A773" s="1" t="d">
        <v>2025-11-10</v>
      </c>
      <c r="B773">
        <f t="shared" si="48"/>
        <v>2025</v>
      </c>
      <c r="C773">
        <f t="shared" si="49"/>
        <v>11</v>
      </c>
      <c r="D773" t="str">
        <f t="shared" si="50"/>
        <v>novembro</v>
      </c>
      <c r="E773" t="str">
        <f t="shared" si="51"/>
        <v>2025-11</v>
      </c>
    </row>
    <row r="774" spans="1:5" x14ac:dyDescent="0.3">
      <c r="A774" s="1" t="d">
        <v>2025-11-11</v>
      </c>
      <c r="B774">
        <f t="shared" si="48"/>
        <v>2025</v>
      </c>
      <c r="C774">
        <f t="shared" si="49"/>
        <v>11</v>
      </c>
      <c r="D774" t="str">
        <f t="shared" si="50"/>
        <v>novembro</v>
      </c>
      <c r="E774" t="str">
        <f t="shared" si="51"/>
        <v>2025-11</v>
      </c>
    </row>
    <row r="775" spans="1:5" x14ac:dyDescent="0.3">
      <c r="A775" s="1" t="d">
        <v>2025-11-12</v>
      </c>
      <c r="B775">
        <f t="shared" si="48"/>
        <v>2025</v>
      </c>
      <c r="C775">
        <f t="shared" si="49"/>
        <v>11</v>
      </c>
      <c r="D775" t="str">
        <f t="shared" si="50"/>
        <v>novembro</v>
      </c>
      <c r="E775" t="str">
        <f t="shared" si="51"/>
        <v>2025-11</v>
      </c>
    </row>
    <row r="776" spans="1:5" x14ac:dyDescent="0.3">
      <c r="A776" s="1" t="d">
        <v>2025-11-13</v>
      </c>
      <c r="B776">
        <f t="shared" si="48"/>
        <v>2025</v>
      </c>
      <c r="C776">
        <f t="shared" si="49"/>
        <v>11</v>
      </c>
      <c r="D776" t="str">
        <f t="shared" si="50"/>
        <v>novembro</v>
      </c>
      <c r="E776" t="str">
        <f t="shared" si="51"/>
        <v>2025-11</v>
      </c>
    </row>
    <row r="777" spans="1:5" x14ac:dyDescent="0.3">
      <c r="A777" s="1" t="d">
        <v>2025-11-14</v>
      </c>
      <c r="B777">
        <f t="shared" si="48"/>
        <v>2025</v>
      </c>
      <c r="C777">
        <f t="shared" si="49"/>
        <v>11</v>
      </c>
      <c r="D777" t="str">
        <f t="shared" si="50"/>
        <v>novembro</v>
      </c>
      <c r="E777" t="str">
        <f t="shared" si="51"/>
        <v>2025-11</v>
      </c>
    </row>
    <row r="778" spans="1:5" x14ac:dyDescent="0.3">
      <c r="A778" s="1" t="d">
        <v>2025-11-15</v>
      </c>
      <c r="B778">
        <f t="shared" si="48"/>
        <v>2025</v>
      </c>
      <c r="C778">
        <f t="shared" si="49"/>
        <v>11</v>
      </c>
      <c r="D778" t="str">
        <f t="shared" si="50"/>
        <v>novembro</v>
      </c>
      <c r="E778" t="str">
        <f t="shared" si="51"/>
        <v>2025-11</v>
      </c>
    </row>
    <row r="779" spans="1:5" x14ac:dyDescent="0.3">
      <c r="A779" s="1" t="d">
        <v>2025-11-16</v>
      </c>
      <c r="B779">
        <f t="shared" si="48"/>
        <v>2025</v>
      </c>
      <c r="C779">
        <f t="shared" si="49"/>
        <v>11</v>
      </c>
      <c r="D779" t="str">
        <f t="shared" si="50"/>
        <v>novembro</v>
      </c>
      <c r="E779" t="str">
        <f t="shared" si="51"/>
        <v>2025-11</v>
      </c>
    </row>
    <row r="780" spans="1:5" x14ac:dyDescent="0.3">
      <c r="A780" s="1" t="d">
        <v>2025-11-17</v>
      </c>
      <c r="B780">
        <f t="shared" si="48"/>
        <v>2025</v>
      </c>
      <c r="C780">
        <f t="shared" si="49"/>
        <v>11</v>
      </c>
      <c r="D780" t="str">
        <f t="shared" si="50"/>
        <v>novembro</v>
      </c>
      <c r="E780" t="str">
        <f t="shared" si="51"/>
        <v>2025-11</v>
      </c>
    </row>
    <row r="781" spans="1:5" x14ac:dyDescent="0.3">
      <c r="A781" s="1" t="d">
        <v>2025-11-18</v>
      </c>
      <c r="B781">
        <f t="shared" si="48"/>
        <v>2025</v>
      </c>
      <c r="C781">
        <f t="shared" si="49"/>
        <v>11</v>
      </c>
      <c r="D781" t="str">
        <f t="shared" si="50"/>
        <v>novembro</v>
      </c>
      <c r="E781" t="str">
        <f t="shared" si="51"/>
        <v>2025-11</v>
      </c>
    </row>
    <row r="782" spans="1:5" x14ac:dyDescent="0.3">
      <c r="A782" s="1" t="d">
        <v>2025-11-19</v>
      </c>
      <c r="B782">
        <f t="shared" si="48"/>
        <v>2025</v>
      </c>
      <c r="C782">
        <f t="shared" si="49"/>
        <v>11</v>
      </c>
      <c r="D782" t="str">
        <f t="shared" si="50"/>
        <v>novembro</v>
      </c>
      <c r="E782" t="str">
        <f t="shared" si="51"/>
        <v>2025-11</v>
      </c>
    </row>
    <row r="783" spans="1:5" x14ac:dyDescent="0.3">
      <c r="A783" s="1" t="d">
        <v>2025-11-20</v>
      </c>
      <c r="B783">
        <f t="shared" si="48"/>
        <v>2025</v>
      </c>
      <c r="C783">
        <f t="shared" si="49"/>
        <v>11</v>
      </c>
      <c r="D783" t="str">
        <f t="shared" si="50"/>
        <v>novembro</v>
      </c>
      <c r="E783" t="str">
        <f t="shared" si="51"/>
        <v>2025-11</v>
      </c>
    </row>
    <row r="784" spans="1:5" x14ac:dyDescent="0.3">
      <c r="A784" s="1" t="d">
        <v>2025-11-21</v>
      </c>
      <c r="B784">
        <f t="shared" si="48"/>
        <v>2025</v>
      </c>
      <c r="C784">
        <f t="shared" si="49"/>
        <v>11</v>
      </c>
      <c r="D784" t="str">
        <f t="shared" si="50"/>
        <v>novembro</v>
      </c>
      <c r="E784" t="str">
        <f t="shared" si="51"/>
        <v>2025-11</v>
      </c>
    </row>
    <row r="785" spans="1:5" x14ac:dyDescent="0.3">
      <c r="A785" s="1" t="d">
        <v>2025-11-22</v>
      </c>
      <c r="B785">
        <f t="shared" si="48"/>
        <v>2025</v>
      </c>
      <c r="C785">
        <f t="shared" si="49"/>
        <v>11</v>
      </c>
      <c r="D785" t="str">
        <f t="shared" si="50"/>
        <v>novembro</v>
      </c>
      <c r="E785" t="str">
        <f t="shared" si="51"/>
        <v>2025-11</v>
      </c>
    </row>
    <row r="786" spans="1:5" x14ac:dyDescent="0.3">
      <c r="A786" s="1" t="d">
        <v>2025-11-23</v>
      </c>
      <c r="B786">
        <f t="shared" si="48"/>
        <v>2025</v>
      </c>
      <c r="C786">
        <f t="shared" si="49"/>
        <v>11</v>
      </c>
      <c r="D786" t="str">
        <f t="shared" si="50"/>
        <v>novembro</v>
      </c>
      <c r="E786" t="str">
        <f t="shared" si="51"/>
        <v>2025-11</v>
      </c>
    </row>
    <row r="787" spans="1:5" x14ac:dyDescent="0.3">
      <c r="A787" s="1" t="d">
        <v>2025-11-24</v>
      </c>
      <c r="B787">
        <f t="shared" si="48"/>
        <v>2025</v>
      </c>
      <c r="C787">
        <f t="shared" si="49"/>
        <v>11</v>
      </c>
      <c r="D787" t="str">
        <f t="shared" si="50"/>
        <v>novembro</v>
      </c>
      <c r="E787" t="str">
        <f t="shared" si="51"/>
        <v>2025-11</v>
      </c>
    </row>
    <row r="788" spans="1:5" x14ac:dyDescent="0.3">
      <c r="A788" s="1" t="d">
        <v>2025-11-25</v>
      </c>
      <c r="B788">
        <f t="shared" si="48"/>
        <v>2025</v>
      </c>
      <c r="C788">
        <f t="shared" si="49"/>
        <v>11</v>
      </c>
      <c r="D788" t="str">
        <f t="shared" si="50"/>
        <v>novembro</v>
      </c>
      <c r="E788" t="str">
        <f t="shared" si="51"/>
        <v>2025-11</v>
      </c>
    </row>
    <row r="789" spans="1:5" x14ac:dyDescent="0.3">
      <c r="A789" s="1" t="d">
        <v>2025-11-26</v>
      </c>
      <c r="B789">
        <f t="shared" si="48"/>
        <v>2025</v>
      </c>
      <c r="C789">
        <f t="shared" si="49"/>
        <v>11</v>
      </c>
      <c r="D789" t="str">
        <f t="shared" si="50"/>
        <v>novembro</v>
      </c>
      <c r="E789" t="str">
        <f t="shared" si="51"/>
        <v>2025-11</v>
      </c>
    </row>
    <row r="790" spans="1:5" x14ac:dyDescent="0.3">
      <c r="A790" s="1" t="d">
        <v>2025-11-27</v>
      </c>
      <c r="B790">
        <f t="shared" si="48"/>
        <v>2025</v>
      </c>
      <c r="C790">
        <f t="shared" si="49"/>
        <v>11</v>
      </c>
      <c r="D790" t="str">
        <f t="shared" si="50"/>
        <v>novembro</v>
      </c>
      <c r="E790" t="str">
        <f t="shared" si="51"/>
        <v>2025-11</v>
      </c>
    </row>
    <row r="791" spans="1:5" x14ac:dyDescent="0.3">
      <c r="A791" s="1" t="d">
        <v>2025-11-28</v>
      </c>
      <c r="B791">
        <f t="shared" si="48"/>
        <v>2025</v>
      </c>
      <c r="C791">
        <f t="shared" si="49"/>
        <v>11</v>
      </c>
      <c r="D791" t="str">
        <f t="shared" si="50"/>
        <v>novembro</v>
      </c>
      <c r="E791" t="str">
        <f t="shared" si="51"/>
        <v>2025-11</v>
      </c>
    </row>
    <row r="792" spans="1:5" x14ac:dyDescent="0.3">
      <c r="A792" s="1" t="d">
        <v>2025-11-29</v>
      </c>
      <c r="B792">
        <f t="shared" si="48"/>
        <v>2025</v>
      </c>
      <c r="C792">
        <f t="shared" si="49"/>
        <v>11</v>
      </c>
      <c r="D792" t="str">
        <f t="shared" si="50"/>
        <v>novembro</v>
      </c>
      <c r="E792" t="str">
        <f t="shared" si="51"/>
        <v>2025-11</v>
      </c>
    </row>
    <row r="793" spans="1:5" x14ac:dyDescent="0.3">
      <c r="A793" s="1" t="d">
        <v>2025-11-30</v>
      </c>
      <c r="B793">
        <f t="shared" si="48"/>
        <v>2025</v>
      </c>
      <c r="C793">
        <f t="shared" si="49"/>
        <v>11</v>
      </c>
      <c r="D793" t="str">
        <f t="shared" si="50"/>
        <v>novembro</v>
      </c>
      <c r="E793" t="str">
        <f t="shared" si="51"/>
        <v>2025-11</v>
      </c>
    </row>
    <row r="794" spans="1:5" x14ac:dyDescent="0.3">
      <c r="A794" s="1" t="d">
        <v>2025-12-01</v>
      </c>
      <c r="B794">
        <f t="shared" si="48"/>
        <v>2025</v>
      </c>
      <c r="C794">
        <f t="shared" si="49"/>
        <v>12</v>
      </c>
      <c r="D794" t="str">
        <f t="shared" si="50"/>
        <v>dezembro</v>
      </c>
      <c r="E794" t="str">
        <f t="shared" si="51"/>
        <v>2025-12</v>
      </c>
    </row>
    <row r="795" spans="1:5" x14ac:dyDescent="0.3">
      <c r="A795" s="1" t="d">
        <v>2025-12-02</v>
      </c>
      <c r="B795">
        <f t="shared" si="48"/>
        <v>2025</v>
      </c>
      <c r="C795">
        <f t="shared" si="49"/>
        <v>12</v>
      </c>
      <c r="D795" t="str">
        <f t="shared" si="50"/>
        <v>dezembro</v>
      </c>
      <c r="E795" t="str">
        <f t="shared" si="51"/>
        <v>2025-12</v>
      </c>
    </row>
    <row r="796" spans="1:5" x14ac:dyDescent="0.3">
      <c r="A796" s="1" t="d">
        <v>2025-12-03</v>
      </c>
      <c r="B796">
        <f t="shared" si="48"/>
        <v>2025</v>
      </c>
      <c r="C796">
        <f t="shared" si="49"/>
        <v>12</v>
      </c>
      <c r="D796" t="str">
        <f t="shared" si="50"/>
        <v>dezembro</v>
      </c>
      <c r="E796" t="str">
        <f t="shared" si="51"/>
        <v>2025-12</v>
      </c>
    </row>
    <row r="797" spans="1:5" x14ac:dyDescent="0.3">
      <c r="A797" s="1" t="d">
        <v>2025-12-04</v>
      </c>
      <c r="B797">
        <f t="shared" si="48"/>
        <v>2025</v>
      </c>
      <c r="C797">
        <f t="shared" si="49"/>
        <v>12</v>
      </c>
      <c r="D797" t="str">
        <f t="shared" si="50"/>
        <v>dezembro</v>
      </c>
      <c r="E797" t="str">
        <f t="shared" si="51"/>
        <v>2025-12</v>
      </c>
    </row>
    <row r="798" spans="1:5" x14ac:dyDescent="0.3">
      <c r="A798" s="1" t="d">
        <v>2025-12-05</v>
      </c>
      <c r="B798">
        <f t="shared" si="48"/>
        <v>2025</v>
      </c>
      <c r="C798">
        <f t="shared" si="49"/>
        <v>12</v>
      </c>
      <c r="D798" t="str">
        <f t="shared" si="50"/>
        <v>dezembro</v>
      </c>
      <c r="E798" t="str">
        <f t="shared" si="51"/>
        <v>2025-12</v>
      </c>
    </row>
    <row r="799" spans="1:5" x14ac:dyDescent="0.3">
      <c r="A799" s="1" t="d">
        <v>2025-12-06</v>
      </c>
      <c r="B799">
        <f t="shared" si="48"/>
        <v>2025</v>
      </c>
      <c r="C799">
        <f t="shared" si="49"/>
        <v>12</v>
      </c>
      <c r="D799" t="str">
        <f t="shared" si="50"/>
        <v>dezembro</v>
      </c>
      <c r="E799" t="str">
        <f t="shared" si="51"/>
        <v>2025-12</v>
      </c>
    </row>
    <row r="800" spans="1:5" x14ac:dyDescent="0.3">
      <c r="A800" s="1" t="d">
        <v>2025-12-07</v>
      </c>
      <c r="B800">
        <f t="shared" si="48"/>
        <v>2025</v>
      </c>
      <c r="C800">
        <f t="shared" si="49"/>
        <v>12</v>
      </c>
      <c r="D800" t="str">
        <f t="shared" si="50"/>
        <v>dezembro</v>
      </c>
      <c r="E800" t="str">
        <f t="shared" si="51"/>
        <v>2025-12</v>
      </c>
    </row>
    <row r="801" spans="1:5" x14ac:dyDescent="0.3">
      <c r="A801" s="1" t="d">
        <v>2025-12-08</v>
      </c>
      <c r="B801">
        <f t="shared" si="48"/>
        <v>2025</v>
      </c>
      <c r="C801">
        <f t="shared" si="49"/>
        <v>12</v>
      </c>
      <c r="D801" t="str">
        <f t="shared" si="50"/>
        <v>dezembro</v>
      </c>
      <c r="E801" t="str">
        <f t="shared" si="51"/>
        <v>2025-12</v>
      </c>
    </row>
    <row r="802" spans="1:5" x14ac:dyDescent="0.3">
      <c r="A802" s="1" t="d">
        <v>2025-12-09</v>
      </c>
      <c r="B802">
        <f t="shared" si="48"/>
        <v>2025</v>
      </c>
      <c r="C802">
        <f t="shared" si="49"/>
        <v>12</v>
      </c>
      <c r="D802" t="str">
        <f t="shared" si="50"/>
        <v>dezembro</v>
      </c>
      <c r="E802" t="str">
        <f t="shared" si="51"/>
        <v>2025-12</v>
      </c>
    </row>
    <row r="803" spans="1:5" x14ac:dyDescent="0.3">
      <c r="A803" s="1" t="d">
        <v>2025-12-10</v>
      </c>
      <c r="B803">
        <f t="shared" si="48"/>
        <v>2025</v>
      </c>
      <c r="C803">
        <f t="shared" si="49"/>
        <v>12</v>
      </c>
      <c r="D803" t="str">
        <f t="shared" si="50"/>
        <v>dezembro</v>
      </c>
      <c r="E803" t="str">
        <f t="shared" si="51"/>
        <v>2025-12</v>
      </c>
    </row>
    <row r="804" spans="1:5" x14ac:dyDescent="0.3">
      <c r="A804" s="1" t="d">
        <v>2025-12-11</v>
      </c>
      <c r="B804">
        <f t="shared" si="48"/>
        <v>2025</v>
      </c>
      <c r="C804">
        <f t="shared" si="49"/>
        <v>12</v>
      </c>
      <c r="D804" t="str">
        <f t="shared" si="50"/>
        <v>dezembro</v>
      </c>
      <c r="E804" t="str">
        <f t="shared" si="51"/>
        <v>2025-12</v>
      </c>
    </row>
    <row r="805" spans="1:5" x14ac:dyDescent="0.3">
      <c r="A805" s="1" t="d">
        <v>2025-12-12</v>
      </c>
      <c r="B805">
        <f t="shared" si="48"/>
        <v>2025</v>
      </c>
      <c r="C805">
        <f t="shared" si="49"/>
        <v>12</v>
      </c>
      <c r="D805" t="str">
        <f t="shared" si="50"/>
        <v>dezembro</v>
      </c>
      <c r="E805" t="str">
        <f t="shared" si="51"/>
        <v>2025-12</v>
      </c>
    </row>
    <row r="806" spans="1:5" x14ac:dyDescent="0.3">
      <c r="A806" s="1" t="d">
        <v>2025-12-13</v>
      </c>
      <c r="B806">
        <f t="shared" si="48"/>
        <v>2025</v>
      </c>
      <c r="C806">
        <f t="shared" si="49"/>
        <v>12</v>
      </c>
      <c r="D806" t="str">
        <f t="shared" si="50"/>
        <v>dezembro</v>
      </c>
      <c r="E806" t="str">
        <f t="shared" si="51"/>
        <v>2025-12</v>
      </c>
    </row>
    <row r="807" spans="1:5" x14ac:dyDescent="0.3">
      <c r="A807" s="1" t="d">
        <v>2025-12-14</v>
      </c>
      <c r="B807">
        <f t="shared" si="48"/>
        <v>2025</v>
      </c>
      <c r="C807">
        <f t="shared" si="49"/>
        <v>12</v>
      </c>
      <c r="D807" t="str">
        <f t="shared" si="50"/>
        <v>dezembro</v>
      </c>
      <c r="E807" t="str">
        <f t="shared" si="51"/>
        <v>2025-12</v>
      </c>
    </row>
    <row r="808" spans="1:5" x14ac:dyDescent="0.3">
      <c r="A808" s="1" t="d">
        <v>2025-12-15</v>
      </c>
      <c r="B808">
        <f t="shared" si="48"/>
        <v>2025</v>
      </c>
      <c r="C808">
        <f t="shared" si="49"/>
        <v>12</v>
      </c>
      <c r="D808" t="str">
        <f t="shared" si="50"/>
        <v>dezembro</v>
      </c>
      <c r="E808" t="str">
        <f t="shared" si="51"/>
        <v>2025-12</v>
      </c>
    </row>
    <row r="809" spans="1:5" x14ac:dyDescent="0.3">
      <c r="A809" s="1" t="d">
        <v>2025-12-16</v>
      </c>
      <c r="B809">
        <f t="shared" si="48"/>
        <v>2025</v>
      </c>
      <c r="C809">
        <f t="shared" si="49"/>
        <v>12</v>
      </c>
      <c r="D809" t="str">
        <f t="shared" si="50"/>
        <v>dezembro</v>
      </c>
      <c r="E809" t="str">
        <f t="shared" si="51"/>
        <v>2025-12</v>
      </c>
    </row>
    <row r="810" spans="1:5" x14ac:dyDescent="0.3">
      <c r="A810" s="1" t="d">
        <v>2025-12-17</v>
      </c>
      <c r="B810">
        <f t="shared" si="48"/>
        <v>2025</v>
      </c>
      <c r="C810">
        <f t="shared" si="49"/>
        <v>12</v>
      </c>
      <c r="D810" t="str">
        <f t="shared" si="50"/>
        <v>dezembro</v>
      </c>
      <c r="E810" t="str">
        <f t="shared" si="51"/>
        <v>2025-12</v>
      </c>
    </row>
    <row r="811" spans="1:5" x14ac:dyDescent="0.3">
      <c r="A811" s="1" t="d">
        <v>2025-12-18</v>
      </c>
      <c r="B811">
        <f t="shared" si="48"/>
        <v>2025</v>
      </c>
      <c r="C811">
        <f t="shared" si="49"/>
        <v>12</v>
      </c>
      <c r="D811" t="str">
        <f t="shared" si="50"/>
        <v>dezembro</v>
      </c>
      <c r="E811" t="str">
        <f t="shared" si="51"/>
        <v>2025-12</v>
      </c>
    </row>
    <row r="812" spans="1:5" x14ac:dyDescent="0.3">
      <c r="A812" s="1" t="d">
        <v>2025-12-19</v>
      </c>
      <c r="B812">
        <f t="shared" si="48"/>
        <v>2025</v>
      </c>
      <c r="C812">
        <f t="shared" si="49"/>
        <v>12</v>
      </c>
      <c r="D812" t="str">
        <f t="shared" si="50"/>
        <v>dezembro</v>
      </c>
      <c r="E812" t="str">
        <f t="shared" si="51"/>
        <v>2025-12</v>
      </c>
    </row>
    <row r="813" spans="1:5" x14ac:dyDescent="0.3">
      <c r="A813" s="1" t="d">
        <v>2025-12-20</v>
      </c>
      <c r="B813">
        <f t="shared" si="48"/>
        <v>2025</v>
      </c>
      <c r="C813">
        <f t="shared" si="49"/>
        <v>12</v>
      </c>
      <c r="D813" t="str">
        <f t="shared" si="50"/>
        <v>dezembro</v>
      </c>
      <c r="E813" t="str">
        <f t="shared" si="51"/>
        <v>2025-12</v>
      </c>
    </row>
    <row r="814" spans="1:5" x14ac:dyDescent="0.3">
      <c r="A814" s="1" t="d">
        <v>2025-12-21</v>
      </c>
      <c r="B814">
        <f t="shared" si="48"/>
        <v>2025</v>
      </c>
      <c r="C814">
        <f t="shared" si="49"/>
        <v>12</v>
      </c>
      <c r="D814" t="str">
        <f t="shared" si="50"/>
        <v>dezembro</v>
      </c>
      <c r="E814" t="str">
        <f t="shared" si="51"/>
        <v>2025-12</v>
      </c>
    </row>
    <row r="815" spans="1:5" x14ac:dyDescent="0.3">
      <c r="A815" s="1" t="d">
        <v>2025-12-22</v>
      </c>
      <c r="B815">
        <f t="shared" si="48"/>
        <v>2025</v>
      </c>
      <c r="C815">
        <f t="shared" si="49"/>
        <v>12</v>
      </c>
      <c r="D815" t="str">
        <f t="shared" si="50"/>
        <v>dezembro</v>
      </c>
      <c r="E815" t="str">
        <f t="shared" si="51"/>
        <v>2025-12</v>
      </c>
    </row>
    <row r="816" spans="1:5" x14ac:dyDescent="0.3">
      <c r="A816" s="1" t="d">
        <v>2025-12-23</v>
      </c>
      <c r="B816">
        <f t="shared" si="48"/>
        <v>2025</v>
      </c>
      <c r="C816">
        <f t="shared" si="49"/>
        <v>12</v>
      </c>
      <c r="D816" t="str">
        <f t="shared" si="50"/>
        <v>dezembro</v>
      </c>
      <c r="E816" t="str">
        <f t="shared" si="51"/>
        <v>2025-12</v>
      </c>
    </row>
    <row r="817" spans="1:5" x14ac:dyDescent="0.3">
      <c r="A817" s="1" t="d">
        <v>2025-12-24</v>
      </c>
      <c r="B817">
        <f t="shared" si="48"/>
        <v>2025</v>
      </c>
      <c r="C817">
        <f t="shared" si="49"/>
        <v>12</v>
      </c>
      <c r="D817" t="str">
        <f t="shared" si="50"/>
        <v>dezembro</v>
      </c>
      <c r="E817" t="str">
        <f t="shared" si="51"/>
        <v>2025-12</v>
      </c>
    </row>
    <row r="818" spans="1:5" x14ac:dyDescent="0.3">
      <c r="A818" s="1" t="d">
        <v>2025-12-25</v>
      </c>
      <c r="B818">
        <f t="shared" si="48"/>
        <v>2025</v>
      </c>
      <c r="C818">
        <f t="shared" si="49"/>
        <v>12</v>
      </c>
      <c r="D818" t="str">
        <f t="shared" si="50"/>
        <v>dezembro</v>
      </c>
      <c r="E818" t="str">
        <f t="shared" si="51"/>
        <v>2025-12</v>
      </c>
    </row>
    <row r="819" spans="1:5" x14ac:dyDescent="0.3">
      <c r="A819" s="1" t="d">
        <v>2025-12-26</v>
      </c>
      <c r="B819">
        <f t="shared" si="48"/>
        <v>2025</v>
      </c>
      <c r="C819">
        <f t="shared" si="49"/>
        <v>12</v>
      </c>
      <c r="D819" t="str">
        <f t="shared" si="50"/>
        <v>dezembro</v>
      </c>
      <c r="E819" t="str">
        <f t="shared" si="51"/>
        <v>2025-12</v>
      </c>
    </row>
    <row r="820" spans="1:5" x14ac:dyDescent="0.3">
      <c r="A820" s="1" t="d">
        <v>2025-12-27</v>
      </c>
      <c r="B820">
        <f t="shared" si="48"/>
        <v>2025</v>
      </c>
      <c r="C820">
        <f t="shared" si="49"/>
        <v>12</v>
      </c>
      <c r="D820" t="str">
        <f t="shared" si="50"/>
        <v>dezembro</v>
      </c>
      <c r="E820" t="str">
        <f t="shared" si="51"/>
        <v>2025-12</v>
      </c>
    </row>
    <row r="821" spans="1:5" x14ac:dyDescent="0.3">
      <c r="A821" s="1" t="d">
        <v>2025-12-28</v>
      </c>
      <c r="B821">
        <f t="shared" si="48"/>
        <v>2025</v>
      </c>
      <c r="C821">
        <f t="shared" si="49"/>
        <v>12</v>
      </c>
      <c r="D821" t="str">
        <f t="shared" si="50"/>
        <v>dezembro</v>
      </c>
      <c r="E821" t="str">
        <f t="shared" si="51"/>
        <v>2025-12</v>
      </c>
    </row>
    <row r="822" spans="1:5" x14ac:dyDescent="0.3">
      <c r="A822" s="1" t="d">
        <v>2025-12-29</v>
      </c>
      <c r="B822">
        <f t="shared" si="48"/>
        <v>2025</v>
      </c>
      <c r="C822">
        <f t="shared" si="49"/>
        <v>12</v>
      </c>
      <c r="D822" t="str">
        <f t="shared" si="50"/>
        <v>dezembro</v>
      </c>
      <c r="E822" t="str">
        <f t="shared" si="51"/>
        <v>2025-12</v>
      </c>
    </row>
    <row r="823" spans="1:5" x14ac:dyDescent="0.3">
      <c r="A823" s="1" t="d">
        <v>2025-12-30</v>
      </c>
      <c r="B823">
        <f t="shared" si="48"/>
        <v>2025</v>
      </c>
      <c r="C823">
        <f t="shared" si="49"/>
        <v>12</v>
      </c>
      <c r="D823" t="str">
        <f t="shared" si="50"/>
        <v>dezembro</v>
      </c>
      <c r="E823" t="str">
        <f t="shared" si="51"/>
        <v>2025-12</v>
      </c>
    </row>
    <row r="824" spans="1:5" x14ac:dyDescent="0.3">
      <c r="A824" s="1" t="d">
        <v>2025-12-31</v>
      </c>
      <c r="B824">
        <f t="shared" si="48"/>
        <v>2025</v>
      </c>
      <c r="C824">
        <f t="shared" si="49"/>
        <v>12</v>
      </c>
      <c r="D824" t="str">
        <f t="shared" si="50"/>
        <v>dezembro</v>
      </c>
      <c r="E824" t="str">
        <f t="shared" si="51"/>
        <v>2025-12</v>
      </c>
    </row>
    <row r="825" spans="1:5" x14ac:dyDescent="0.3">
      <c r="A825" s="1" t="d">
        <v>2026-01-01</v>
      </c>
      <c r="B825">
        <f t="shared" si="48"/>
        <v>2026</v>
      </c>
      <c r="C825">
        <f t="shared" si="49"/>
        <v>1</v>
      </c>
      <c r="D825" t="str">
        <f t="shared" si="50"/>
        <v>janeiro</v>
      </c>
      <c r="E825" t="str">
        <f t="shared" si="51"/>
        <v>2026-01</v>
      </c>
    </row>
    <row r="826" spans="1:5" x14ac:dyDescent="0.3">
      <c r="A826" s="1" t="d">
        <v>2026-01-02</v>
      </c>
      <c r="B826">
        <f t="shared" si="48"/>
        <v>2026</v>
      </c>
      <c r="C826">
        <f t="shared" si="49"/>
        <v>1</v>
      </c>
      <c r="D826" t="str">
        <f t="shared" si="50"/>
        <v>janeiro</v>
      </c>
      <c r="E826" t="str">
        <f t="shared" si="51"/>
        <v>2026-01</v>
      </c>
    </row>
    <row r="827" spans="1:5" x14ac:dyDescent="0.3">
      <c r="A827" s="1" t="d">
        <v>2026-01-03</v>
      </c>
      <c r="B827">
        <f t="shared" si="48"/>
        <v>2026</v>
      </c>
      <c r="C827">
        <f t="shared" si="49"/>
        <v>1</v>
      </c>
      <c r="D827" t="str">
        <f t="shared" si="50"/>
        <v>janeiro</v>
      </c>
      <c r="E827" t="str">
        <f t="shared" si="51"/>
        <v>2026-01</v>
      </c>
    </row>
    <row r="828" spans="1:5" x14ac:dyDescent="0.3">
      <c r="A828" s="1" t="d">
        <v>2026-01-04</v>
      </c>
      <c r="B828">
        <f t="shared" si="48"/>
        <v>2026</v>
      </c>
      <c r="C828">
        <f t="shared" si="49"/>
        <v>1</v>
      </c>
      <c r="D828" t="str">
        <f t="shared" si="50"/>
        <v>janeiro</v>
      </c>
      <c r="E828" t="str">
        <f t="shared" si="51"/>
        <v>2026-01</v>
      </c>
    </row>
    <row r="829" spans="1:5" x14ac:dyDescent="0.3">
      <c r="A829" s="1" t="d">
        <v>2026-01-05</v>
      </c>
      <c r="B829">
        <f t="shared" si="48"/>
        <v>2026</v>
      </c>
      <c r="C829">
        <f t="shared" si="49"/>
        <v>1</v>
      </c>
      <c r="D829" t="str">
        <f t="shared" si="50"/>
        <v>janeiro</v>
      </c>
      <c r="E829" t="str">
        <f t="shared" si="51"/>
        <v>2026-01</v>
      </c>
    </row>
    <row r="830" spans="1:5" x14ac:dyDescent="0.3">
      <c r="A830" s="1" t="d">
        <v>2026-01-06</v>
      </c>
      <c r="B830">
        <f t="shared" si="48"/>
        <v>2026</v>
      </c>
      <c r="C830">
        <f t="shared" si="49"/>
        <v>1</v>
      </c>
      <c r="D830" t="str">
        <f t="shared" si="50"/>
        <v>janeiro</v>
      </c>
      <c r="E830" t="str">
        <f t="shared" si="51"/>
        <v>2026-01</v>
      </c>
    </row>
    <row r="831" spans="1:5" x14ac:dyDescent="0.3">
      <c r="A831" s="1" t="d">
        <v>2026-01-07</v>
      </c>
      <c r="B831">
        <f t="shared" si="48"/>
        <v>2026</v>
      </c>
      <c r="C831">
        <f t="shared" si="49"/>
        <v>1</v>
      </c>
      <c r="D831" t="str">
        <f t="shared" si="50"/>
        <v>janeiro</v>
      </c>
      <c r="E831" t="str">
        <f t="shared" si="51"/>
        <v>2026-01</v>
      </c>
    </row>
    <row r="832" spans="1:5" x14ac:dyDescent="0.3">
      <c r="A832" s="1" t="d">
        <v>2026-01-08</v>
      </c>
      <c r="B832">
        <f t="shared" si="48"/>
        <v>2026</v>
      </c>
      <c r="C832">
        <f t="shared" si="49"/>
        <v>1</v>
      </c>
      <c r="D832" t="str">
        <f t="shared" si="50"/>
        <v>janeiro</v>
      </c>
      <c r="E832" t="str">
        <f t="shared" si="51"/>
        <v>2026-01</v>
      </c>
    </row>
    <row r="833" spans="1:5" x14ac:dyDescent="0.3">
      <c r="A833" s="1" t="d">
        <v>2026-01-09</v>
      </c>
      <c r="B833">
        <f t="shared" si="48"/>
        <v>2026</v>
      </c>
      <c r="C833">
        <f t="shared" si="49"/>
        <v>1</v>
      </c>
      <c r="D833" t="str">
        <f t="shared" si="50"/>
        <v>janeiro</v>
      </c>
      <c r="E833" t="str">
        <f t="shared" si="51"/>
        <v>2026-01</v>
      </c>
    </row>
    <row r="834" spans="1:5" x14ac:dyDescent="0.3">
      <c r="A834" s="1" t="d">
        <v>2026-01-10</v>
      </c>
      <c r="B834">
        <f t="shared" si="48"/>
        <v>2026</v>
      </c>
      <c r="C834">
        <f t="shared" si="49"/>
        <v>1</v>
      </c>
      <c r="D834" t="str">
        <f t="shared" si="50"/>
        <v>janeiro</v>
      </c>
      <c r="E834" t="str">
        <f t="shared" si="51"/>
        <v>2026-01</v>
      </c>
    </row>
    <row r="835" spans="1:5" x14ac:dyDescent="0.3">
      <c r="A835" s="1" t="d">
        <v>2026-01-11</v>
      </c>
      <c r="B835">
        <f t="shared" ref="B835:B898" si="52">YEAR(A835)</f>
        <v>2026</v>
      </c>
      <c r="C835">
        <f t="shared" ref="C835:C898" si="53">MONTH(A835)</f>
        <v>1</v>
      </c>
      <c r="D835" t="str">
        <f t="shared" ref="D835:D898" si="54">TEXT(A835, "mmmm")</f>
        <v>janeiro</v>
      </c>
      <c r="E835" t="str">
        <f t="shared" ref="E835:E898" si="55">TEXT(A835, "aaaa-mm")</f>
        <v>2026-01</v>
      </c>
    </row>
    <row r="836" spans="1:5" x14ac:dyDescent="0.3">
      <c r="A836" s="1" t="d">
        <v>2026-01-12</v>
      </c>
      <c r="B836">
        <f t="shared" si="52"/>
        <v>2026</v>
      </c>
      <c r="C836">
        <f t="shared" si="53"/>
        <v>1</v>
      </c>
      <c r="D836" t="str">
        <f t="shared" si="54"/>
        <v>janeiro</v>
      </c>
      <c r="E836" t="str">
        <f t="shared" si="55"/>
        <v>2026-01</v>
      </c>
    </row>
    <row r="837" spans="1:5" x14ac:dyDescent="0.3">
      <c r="A837" s="1" t="d">
        <v>2026-01-13</v>
      </c>
      <c r="B837">
        <f t="shared" si="52"/>
        <v>2026</v>
      </c>
      <c r="C837">
        <f t="shared" si="53"/>
        <v>1</v>
      </c>
      <c r="D837" t="str">
        <f t="shared" si="54"/>
        <v>janeiro</v>
      </c>
      <c r="E837" t="str">
        <f t="shared" si="55"/>
        <v>2026-01</v>
      </c>
    </row>
    <row r="838" spans="1:5" x14ac:dyDescent="0.3">
      <c r="A838" s="1" t="d">
        <v>2026-01-14</v>
      </c>
      <c r="B838">
        <f t="shared" si="52"/>
        <v>2026</v>
      </c>
      <c r="C838">
        <f t="shared" si="53"/>
        <v>1</v>
      </c>
      <c r="D838" t="str">
        <f t="shared" si="54"/>
        <v>janeiro</v>
      </c>
      <c r="E838" t="str">
        <f t="shared" si="55"/>
        <v>2026-01</v>
      </c>
    </row>
    <row r="839" spans="1:5" x14ac:dyDescent="0.3">
      <c r="A839" s="1" t="d">
        <v>2026-01-15</v>
      </c>
      <c r="B839">
        <f t="shared" si="52"/>
        <v>2026</v>
      </c>
      <c r="C839">
        <f t="shared" si="53"/>
        <v>1</v>
      </c>
      <c r="D839" t="str">
        <f t="shared" si="54"/>
        <v>janeiro</v>
      </c>
      <c r="E839" t="str">
        <f t="shared" si="55"/>
        <v>2026-01</v>
      </c>
    </row>
    <row r="840" spans="1:5" x14ac:dyDescent="0.3">
      <c r="A840" s="1" t="d">
        <v>2026-01-16</v>
      </c>
      <c r="B840">
        <f t="shared" si="52"/>
        <v>2026</v>
      </c>
      <c r="C840">
        <f t="shared" si="53"/>
        <v>1</v>
      </c>
      <c r="D840" t="str">
        <f t="shared" si="54"/>
        <v>janeiro</v>
      </c>
      <c r="E840" t="str">
        <f t="shared" si="55"/>
        <v>2026-01</v>
      </c>
    </row>
    <row r="841" spans="1:5" x14ac:dyDescent="0.3">
      <c r="A841" s="1" t="d">
        <v>2026-01-17</v>
      </c>
      <c r="B841">
        <f t="shared" si="52"/>
        <v>2026</v>
      </c>
      <c r="C841">
        <f t="shared" si="53"/>
        <v>1</v>
      </c>
      <c r="D841" t="str">
        <f t="shared" si="54"/>
        <v>janeiro</v>
      </c>
      <c r="E841" t="str">
        <f t="shared" si="55"/>
        <v>2026-01</v>
      </c>
    </row>
    <row r="842" spans="1:5" x14ac:dyDescent="0.3">
      <c r="A842" s="1" t="d">
        <v>2026-01-18</v>
      </c>
      <c r="B842">
        <f t="shared" si="52"/>
        <v>2026</v>
      </c>
      <c r="C842">
        <f t="shared" si="53"/>
        <v>1</v>
      </c>
      <c r="D842" t="str">
        <f t="shared" si="54"/>
        <v>janeiro</v>
      </c>
      <c r="E842" t="str">
        <f t="shared" si="55"/>
        <v>2026-01</v>
      </c>
    </row>
    <row r="843" spans="1:5" x14ac:dyDescent="0.3">
      <c r="A843" s="1" t="d">
        <v>2026-01-19</v>
      </c>
      <c r="B843">
        <f t="shared" si="52"/>
        <v>2026</v>
      </c>
      <c r="C843">
        <f t="shared" si="53"/>
        <v>1</v>
      </c>
      <c r="D843" t="str">
        <f t="shared" si="54"/>
        <v>janeiro</v>
      </c>
      <c r="E843" t="str">
        <f t="shared" si="55"/>
        <v>2026-01</v>
      </c>
    </row>
    <row r="844" spans="1:5" x14ac:dyDescent="0.3">
      <c r="A844" s="1" t="d">
        <v>2026-01-20</v>
      </c>
      <c r="B844">
        <f t="shared" si="52"/>
        <v>2026</v>
      </c>
      <c r="C844">
        <f t="shared" si="53"/>
        <v>1</v>
      </c>
      <c r="D844" t="str">
        <f t="shared" si="54"/>
        <v>janeiro</v>
      </c>
      <c r="E844" t="str">
        <f t="shared" si="55"/>
        <v>2026-01</v>
      </c>
    </row>
    <row r="845" spans="1:5" x14ac:dyDescent="0.3">
      <c r="A845" s="1" t="d">
        <v>2026-01-21</v>
      </c>
      <c r="B845">
        <f t="shared" si="52"/>
        <v>2026</v>
      </c>
      <c r="C845">
        <f t="shared" si="53"/>
        <v>1</v>
      </c>
      <c r="D845" t="str">
        <f t="shared" si="54"/>
        <v>janeiro</v>
      </c>
      <c r="E845" t="str">
        <f t="shared" si="55"/>
        <v>2026-01</v>
      </c>
    </row>
    <row r="846" spans="1:5" x14ac:dyDescent="0.3">
      <c r="A846" s="1" t="d">
        <v>2026-01-22</v>
      </c>
      <c r="B846">
        <f t="shared" si="52"/>
        <v>2026</v>
      </c>
      <c r="C846">
        <f t="shared" si="53"/>
        <v>1</v>
      </c>
      <c r="D846" t="str">
        <f t="shared" si="54"/>
        <v>janeiro</v>
      </c>
      <c r="E846" t="str">
        <f t="shared" si="55"/>
        <v>2026-01</v>
      </c>
    </row>
    <row r="847" spans="1:5" x14ac:dyDescent="0.3">
      <c r="A847" s="1" t="d">
        <v>2026-01-23</v>
      </c>
      <c r="B847">
        <f t="shared" si="52"/>
        <v>2026</v>
      </c>
      <c r="C847">
        <f t="shared" si="53"/>
        <v>1</v>
      </c>
      <c r="D847" t="str">
        <f t="shared" si="54"/>
        <v>janeiro</v>
      </c>
      <c r="E847" t="str">
        <f t="shared" si="55"/>
        <v>2026-01</v>
      </c>
    </row>
    <row r="848" spans="1:5" x14ac:dyDescent="0.3">
      <c r="A848" s="1" t="d">
        <v>2026-01-24</v>
      </c>
      <c r="B848">
        <f t="shared" si="52"/>
        <v>2026</v>
      </c>
      <c r="C848">
        <f t="shared" si="53"/>
        <v>1</v>
      </c>
      <c r="D848" t="str">
        <f t="shared" si="54"/>
        <v>janeiro</v>
      </c>
      <c r="E848" t="str">
        <f t="shared" si="55"/>
        <v>2026-01</v>
      </c>
    </row>
    <row r="849" spans="1:5" x14ac:dyDescent="0.3">
      <c r="A849" s="1" t="d">
        <v>2026-01-25</v>
      </c>
      <c r="B849">
        <f t="shared" si="52"/>
        <v>2026</v>
      </c>
      <c r="C849">
        <f t="shared" si="53"/>
        <v>1</v>
      </c>
      <c r="D849" t="str">
        <f t="shared" si="54"/>
        <v>janeiro</v>
      </c>
      <c r="E849" t="str">
        <f t="shared" si="55"/>
        <v>2026-01</v>
      </c>
    </row>
    <row r="850" spans="1:5" x14ac:dyDescent="0.3">
      <c r="A850" s="1" t="d">
        <v>2026-01-26</v>
      </c>
      <c r="B850">
        <f t="shared" si="52"/>
        <v>2026</v>
      </c>
      <c r="C850">
        <f t="shared" si="53"/>
        <v>1</v>
      </c>
      <c r="D850" t="str">
        <f t="shared" si="54"/>
        <v>janeiro</v>
      </c>
      <c r="E850" t="str">
        <f t="shared" si="55"/>
        <v>2026-01</v>
      </c>
    </row>
    <row r="851" spans="1:5" x14ac:dyDescent="0.3">
      <c r="A851" s="1" t="d">
        <v>2026-01-27</v>
      </c>
      <c r="B851">
        <f t="shared" si="52"/>
        <v>2026</v>
      </c>
      <c r="C851">
        <f t="shared" si="53"/>
        <v>1</v>
      </c>
      <c r="D851" t="str">
        <f t="shared" si="54"/>
        <v>janeiro</v>
      </c>
      <c r="E851" t="str">
        <f t="shared" si="55"/>
        <v>2026-01</v>
      </c>
    </row>
    <row r="852" spans="1:5" x14ac:dyDescent="0.3">
      <c r="A852" s="1" t="d">
        <v>2026-01-28</v>
      </c>
      <c r="B852">
        <f t="shared" si="52"/>
        <v>2026</v>
      </c>
      <c r="C852">
        <f t="shared" si="53"/>
        <v>1</v>
      </c>
      <c r="D852" t="str">
        <f t="shared" si="54"/>
        <v>janeiro</v>
      </c>
      <c r="E852" t="str">
        <f t="shared" si="55"/>
        <v>2026-01</v>
      </c>
    </row>
    <row r="853" spans="1:5" x14ac:dyDescent="0.3">
      <c r="A853" s="1" t="d">
        <v>2026-01-29</v>
      </c>
      <c r="B853">
        <f t="shared" si="52"/>
        <v>2026</v>
      </c>
      <c r="C853">
        <f t="shared" si="53"/>
        <v>1</v>
      </c>
      <c r="D853" t="str">
        <f t="shared" si="54"/>
        <v>janeiro</v>
      </c>
      <c r="E853" t="str">
        <f t="shared" si="55"/>
        <v>2026-01</v>
      </c>
    </row>
    <row r="854" spans="1:5" x14ac:dyDescent="0.3">
      <c r="A854" s="1" t="d">
        <v>2026-01-30</v>
      </c>
      <c r="B854">
        <f t="shared" si="52"/>
        <v>2026</v>
      </c>
      <c r="C854">
        <f t="shared" si="53"/>
        <v>1</v>
      </c>
      <c r="D854" t="str">
        <f t="shared" si="54"/>
        <v>janeiro</v>
      </c>
      <c r="E854" t="str">
        <f t="shared" si="55"/>
        <v>2026-01</v>
      </c>
    </row>
    <row r="855" spans="1:5" x14ac:dyDescent="0.3">
      <c r="A855" s="1" t="d">
        <v>2026-01-31</v>
      </c>
      <c r="B855">
        <f t="shared" si="52"/>
        <v>2026</v>
      </c>
      <c r="C855">
        <f t="shared" si="53"/>
        <v>1</v>
      </c>
      <c r="D855" t="str">
        <f t="shared" si="54"/>
        <v>janeiro</v>
      </c>
      <c r="E855" t="str">
        <f t="shared" si="55"/>
        <v>2026-01</v>
      </c>
    </row>
    <row r="856" spans="1:5" x14ac:dyDescent="0.3">
      <c r="A856" s="1" t="d">
        <v>2026-02-01</v>
      </c>
      <c r="B856">
        <f t="shared" si="52"/>
        <v>2026</v>
      </c>
      <c r="C856">
        <f t="shared" si="53"/>
        <v>2</v>
      </c>
      <c r="D856" t="str">
        <f t="shared" si="54"/>
        <v>fevereiro</v>
      </c>
      <c r="E856" t="str">
        <f t="shared" si="55"/>
        <v>2026-02</v>
      </c>
    </row>
    <row r="857" spans="1:5" x14ac:dyDescent="0.3">
      <c r="A857" s="1" t="d">
        <v>2026-02-02</v>
      </c>
      <c r="B857">
        <f t="shared" si="52"/>
        <v>2026</v>
      </c>
      <c r="C857">
        <f t="shared" si="53"/>
        <v>2</v>
      </c>
      <c r="D857" t="str">
        <f t="shared" si="54"/>
        <v>fevereiro</v>
      </c>
      <c r="E857" t="str">
        <f t="shared" si="55"/>
        <v>2026-02</v>
      </c>
    </row>
    <row r="858" spans="1:5" x14ac:dyDescent="0.3">
      <c r="A858" s="1" t="d">
        <v>2026-02-03</v>
      </c>
      <c r="B858">
        <f t="shared" si="52"/>
        <v>2026</v>
      </c>
      <c r="C858">
        <f t="shared" si="53"/>
        <v>2</v>
      </c>
      <c r="D858" t="str">
        <f t="shared" si="54"/>
        <v>fevereiro</v>
      </c>
      <c r="E858" t="str">
        <f t="shared" si="55"/>
        <v>2026-02</v>
      </c>
    </row>
    <row r="859" spans="1:5" x14ac:dyDescent="0.3">
      <c r="A859" s="1" t="d">
        <v>2026-02-04</v>
      </c>
      <c r="B859">
        <f t="shared" si="52"/>
        <v>2026</v>
      </c>
      <c r="C859">
        <f t="shared" si="53"/>
        <v>2</v>
      </c>
      <c r="D859" t="str">
        <f t="shared" si="54"/>
        <v>fevereiro</v>
      </c>
      <c r="E859" t="str">
        <f t="shared" si="55"/>
        <v>2026-02</v>
      </c>
    </row>
    <row r="860" spans="1:5" x14ac:dyDescent="0.3">
      <c r="A860" s="1" t="d">
        <v>2026-02-05</v>
      </c>
      <c r="B860">
        <f t="shared" si="52"/>
        <v>2026</v>
      </c>
      <c r="C860">
        <f t="shared" si="53"/>
        <v>2</v>
      </c>
      <c r="D860" t="str">
        <f t="shared" si="54"/>
        <v>fevereiro</v>
      </c>
      <c r="E860" t="str">
        <f t="shared" si="55"/>
        <v>2026-02</v>
      </c>
    </row>
    <row r="861" spans="1:5" x14ac:dyDescent="0.3">
      <c r="A861" s="1" t="d">
        <v>2026-02-06</v>
      </c>
      <c r="B861">
        <f t="shared" si="52"/>
        <v>2026</v>
      </c>
      <c r="C861">
        <f t="shared" si="53"/>
        <v>2</v>
      </c>
      <c r="D861" t="str">
        <f t="shared" si="54"/>
        <v>fevereiro</v>
      </c>
      <c r="E861" t="str">
        <f t="shared" si="55"/>
        <v>2026-02</v>
      </c>
    </row>
    <row r="862" spans="1:5" x14ac:dyDescent="0.3">
      <c r="A862" s="1" t="d">
        <v>2026-02-07</v>
      </c>
      <c r="B862">
        <f t="shared" si="52"/>
        <v>2026</v>
      </c>
      <c r="C862">
        <f t="shared" si="53"/>
        <v>2</v>
      </c>
      <c r="D862" t="str">
        <f t="shared" si="54"/>
        <v>fevereiro</v>
      </c>
      <c r="E862" t="str">
        <f t="shared" si="55"/>
        <v>2026-02</v>
      </c>
    </row>
    <row r="863" spans="1:5" x14ac:dyDescent="0.3">
      <c r="A863" s="1" t="d">
        <v>2026-02-08</v>
      </c>
      <c r="B863">
        <f t="shared" si="52"/>
        <v>2026</v>
      </c>
      <c r="C863">
        <f t="shared" si="53"/>
        <v>2</v>
      </c>
      <c r="D863" t="str">
        <f t="shared" si="54"/>
        <v>fevereiro</v>
      </c>
      <c r="E863" t="str">
        <f t="shared" si="55"/>
        <v>2026-02</v>
      </c>
    </row>
    <row r="864" spans="1:5" x14ac:dyDescent="0.3">
      <c r="A864" s="1" t="d">
        <v>2026-02-09</v>
      </c>
      <c r="B864">
        <f t="shared" si="52"/>
        <v>2026</v>
      </c>
      <c r="C864">
        <f t="shared" si="53"/>
        <v>2</v>
      </c>
      <c r="D864" t="str">
        <f t="shared" si="54"/>
        <v>fevereiro</v>
      </c>
      <c r="E864" t="str">
        <f t="shared" si="55"/>
        <v>2026-02</v>
      </c>
    </row>
    <row r="865" spans="1:5" x14ac:dyDescent="0.3">
      <c r="A865" s="1" t="d">
        <v>2026-02-10</v>
      </c>
      <c r="B865">
        <f t="shared" si="52"/>
        <v>2026</v>
      </c>
      <c r="C865">
        <f t="shared" si="53"/>
        <v>2</v>
      </c>
      <c r="D865" t="str">
        <f t="shared" si="54"/>
        <v>fevereiro</v>
      </c>
      <c r="E865" t="str">
        <f t="shared" si="55"/>
        <v>2026-02</v>
      </c>
    </row>
    <row r="866" spans="1:5" x14ac:dyDescent="0.3">
      <c r="A866" s="1" t="d">
        <v>2026-02-11</v>
      </c>
      <c r="B866">
        <f t="shared" si="52"/>
        <v>2026</v>
      </c>
      <c r="C866">
        <f t="shared" si="53"/>
        <v>2</v>
      </c>
      <c r="D866" t="str">
        <f t="shared" si="54"/>
        <v>fevereiro</v>
      </c>
      <c r="E866" t="str">
        <f t="shared" si="55"/>
        <v>2026-02</v>
      </c>
    </row>
    <row r="867" spans="1:5" x14ac:dyDescent="0.3">
      <c r="A867" s="1" t="d">
        <v>2026-02-12</v>
      </c>
      <c r="B867">
        <f t="shared" si="52"/>
        <v>2026</v>
      </c>
      <c r="C867">
        <f t="shared" si="53"/>
        <v>2</v>
      </c>
      <c r="D867" t="str">
        <f t="shared" si="54"/>
        <v>fevereiro</v>
      </c>
      <c r="E867" t="str">
        <f t="shared" si="55"/>
        <v>2026-02</v>
      </c>
    </row>
    <row r="868" spans="1:5" x14ac:dyDescent="0.3">
      <c r="A868" s="1" t="d">
        <v>2026-02-13</v>
      </c>
      <c r="B868">
        <f t="shared" si="52"/>
        <v>2026</v>
      </c>
      <c r="C868">
        <f t="shared" si="53"/>
        <v>2</v>
      </c>
      <c r="D868" t="str">
        <f t="shared" si="54"/>
        <v>fevereiro</v>
      </c>
      <c r="E868" t="str">
        <f t="shared" si="55"/>
        <v>2026-02</v>
      </c>
    </row>
    <row r="869" spans="1:5" x14ac:dyDescent="0.3">
      <c r="A869" s="1" t="d">
        <v>2026-02-14</v>
      </c>
      <c r="B869">
        <f t="shared" si="52"/>
        <v>2026</v>
      </c>
      <c r="C869">
        <f t="shared" si="53"/>
        <v>2</v>
      </c>
      <c r="D869" t="str">
        <f t="shared" si="54"/>
        <v>fevereiro</v>
      </c>
      <c r="E869" t="str">
        <f t="shared" si="55"/>
        <v>2026-02</v>
      </c>
    </row>
    <row r="870" spans="1:5" x14ac:dyDescent="0.3">
      <c r="A870" s="1" t="d">
        <v>2026-02-15</v>
      </c>
      <c r="B870">
        <f t="shared" si="52"/>
        <v>2026</v>
      </c>
      <c r="C870">
        <f t="shared" si="53"/>
        <v>2</v>
      </c>
      <c r="D870" t="str">
        <f t="shared" si="54"/>
        <v>fevereiro</v>
      </c>
      <c r="E870" t="str">
        <f t="shared" si="55"/>
        <v>2026-02</v>
      </c>
    </row>
    <row r="871" spans="1:5" x14ac:dyDescent="0.3">
      <c r="A871" s="1" t="d">
        <v>2026-02-16</v>
      </c>
      <c r="B871">
        <f t="shared" si="52"/>
        <v>2026</v>
      </c>
      <c r="C871">
        <f t="shared" si="53"/>
        <v>2</v>
      </c>
      <c r="D871" t="str">
        <f t="shared" si="54"/>
        <v>fevereiro</v>
      </c>
      <c r="E871" t="str">
        <f t="shared" si="55"/>
        <v>2026-02</v>
      </c>
    </row>
    <row r="872" spans="1:5" x14ac:dyDescent="0.3">
      <c r="A872" s="1" t="d">
        <v>2026-02-17</v>
      </c>
      <c r="B872">
        <f t="shared" si="52"/>
        <v>2026</v>
      </c>
      <c r="C872">
        <f t="shared" si="53"/>
        <v>2</v>
      </c>
      <c r="D872" t="str">
        <f t="shared" si="54"/>
        <v>fevereiro</v>
      </c>
      <c r="E872" t="str">
        <f t="shared" si="55"/>
        <v>2026-02</v>
      </c>
    </row>
    <row r="873" spans="1:5" x14ac:dyDescent="0.3">
      <c r="A873" s="1" t="d">
        <v>2026-02-18</v>
      </c>
      <c r="B873">
        <f t="shared" si="52"/>
        <v>2026</v>
      </c>
      <c r="C873">
        <f t="shared" si="53"/>
        <v>2</v>
      </c>
      <c r="D873" t="str">
        <f t="shared" si="54"/>
        <v>fevereiro</v>
      </c>
      <c r="E873" t="str">
        <f t="shared" si="55"/>
        <v>2026-02</v>
      </c>
    </row>
    <row r="874" spans="1:5" x14ac:dyDescent="0.3">
      <c r="A874" s="1" t="d">
        <v>2026-02-19</v>
      </c>
      <c r="B874">
        <f t="shared" si="52"/>
        <v>2026</v>
      </c>
      <c r="C874">
        <f t="shared" si="53"/>
        <v>2</v>
      </c>
      <c r="D874" t="str">
        <f t="shared" si="54"/>
        <v>fevereiro</v>
      </c>
      <c r="E874" t="str">
        <f t="shared" si="55"/>
        <v>2026-02</v>
      </c>
    </row>
    <row r="875" spans="1:5" x14ac:dyDescent="0.3">
      <c r="A875" s="1" t="d">
        <v>2026-02-20</v>
      </c>
      <c r="B875">
        <f t="shared" si="52"/>
        <v>2026</v>
      </c>
      <c r="C875">
        <f t="shared" si="53"/>
        <v>2</v>
      </c>
      <c r="D875" t="str">
        <f t="shared" si="54"/>
        <v>fevereiro</v>
      </c>
      <c r="E875" t="str">
        <f t="shared" si="55"/>
        <v>2026-02</v>
      </c>
    </row>
    <row r="876" spans="1:5" x14ac:dyDescent="0.3">
      <c r="A876" s="1" t="d">
        <v>2026-02-21</v>
      </c>
      <c r="B876">
        <f t="shared" si="52"/>
        <v>2026</v>
      </c>
      <c r="C876">
        <f t="shared" si="53"/>
        <v>2</v>
      </c>
      <c r="D876" t="str">
        <f t="shared" si="54"/>
        <v>fevereiro</v>
      </c>
      <c r="E876" t="str">
        <f t="shared" si="55"/>
        <v>2026-02</v>
      </c>
    </row>
    <row r="877" spans="1:5" x14ac:dyDescent="0.3">
      <c r="A877" s="1" t="d">
        <v>2026-02-22</v>
      </c>
      <c r="B877">
        <f t="shared" si="52"/>
        <v>2026</v>
      </c>
      <c r="C877">
        <f t="shared" si="53"/>
        <v>2</v>
      </c>
      <c r="D877" t="str">
        <f t="shared" si="54"/>
        <v>fevereiro</v>
      </c>
      <c r="E877" t="str">
        <f t="shared" si="55"/>
        <v>2026-02</v>
      </c>
    </row>
    <row r="878" spans="1:5" x14ac:dyDescent="0.3">
      <c r="A878" s="1" t="d">
        <v>2026-02-23</v>
      </c>
      <c r="B878">
        <f t="shared" si="52"/>
        <v>2026</v>
      </c>
      <c r="C878">
        <f t="shared" si="53"/>
        <v>2</v>
      </c>
      <c r="D878" t="str">
        <f t="shared" si="54"/>
        <v>fevereiro</v>
      </c>
      <c r="E878" t="str">
        <f t="shared" si="55"/>
        <v>2026-02</v>
      </c>
    </row>
    <row r="879" spans="1:5" x14ac:dyDescent="0.3">
      <c r="A879" s="1" t="d">
        <v>2026-02-24</v>
      </c>
      <c r="B879">
        <f t="shared" si="52"/>
        <v>2026</v>
      </c>
      <c r="C879">
        <f t="shared" si="53"/>
        <v>2</v>
      </c>
      <c r="D879" t="str">
        <f t="shared" si="54"/>
        <v>fevereiro</v>
      </c>
      <c r="E879" t="str">
        <f t="shared" si="55"/>
        <v>2026-02</v>
      </c>
    </row>
    <row r="880" spans="1:5" x14ac:dyDescent="0.3">
      <c r="A880" s="1" t="d">
        <v>2026-02-25</v>
      </c>
      <c r="B880">
        <f t="shared" si="52"/>
        <v>2026</v>
      </c>
      <c r="C880">
        <f t="shared" si="53"/>
        <v>2</v>
      </c>
      <c r="D880" t="str">
        <f t="shared" si="54"/>
        <v>fevereiro</v>
      </c>
      <c r="E880" t="str">
        <f t="shared" si="55"/>
        <v>2026-02</v>
      </c>
    </row>
    <row r="881" spans="1:5" x14ac:dyDescent="0.3">
      <c r="A881" s="1" t="d">
        <v>2026-02-26</v>
      </c>
      <c r="B881">
        <f t="shared" si="52"/>
        <v>2026</v>
      </c>
      <c r="C881">
        <f t="shared" si="53"/>
        <v>2</v>
      </c>
      <c r="D881" t="str">
        <f t="shared" si="54"/>
        <v>fevereiro</v>
      </c>
      <c r="E881" t="str">
        <f t="shared" si="55"/>
        <v>2026-02</v>
      </c>
    </row>
    <row r="882" spans="1:5" x14ac:dyDescent="0.3">
      <c r="A882" s="1" t="d">
        <v>2026-02-27</v>
      </c>
      <c r="B882">
        <f t="shared" si="52"/>
        <v>2026</v>
      </c>
      <c r="C882">
        <f t="shared" si="53"/>
        <v>2</v>
      </c>
      <c r="D882" t="str">
        <f t="shared" si="54"/>
        <v>fevereiro</v>
      </c>
      <c r="E882" t="str">
        <f t="shared" si="55"/>
        <v>2026-02</v>
      </c>
    </row>
    <row r="883" spans="1:5" x14ac:dyDescent="0.3">
      <c r="A883" s="1" t="d">
        <v>2026-02-28</v>
      </c>
      <c r="B883">
        <f t="shared" si="52"/>
        <v>2026</v>
      </c>
      <c r="C883">
        <f t="shared" si="53"/>
        <v>2</v>
      </c>
      <c r="D883" t="str">
        <f t="shared" si="54"/>
        <v>fevereiro</v>
      </c>
      <c r="E883" t="str">
        <f t="shared" si="55"/>
        <v>2026-02</v>
      </c>
    </row>
    <row r="884" spans="1:5" x14ac:dyDescent="0.3">
      <c r="A884" s="1" t="d">
        <v>2026-03-01</v>
      </c>
      <c r="B884">
        <f t="shared" si="52"/>
        <v>2026</v>
      </c>
      <c r="C884">
        <f t="shared" si="53"/>
        <v>3</v>
      </c>
      <c r="D884" t="str">
        <f t="shared" si="54"/>
        <v>março</v>
      </c>
      <c r="E884" t="str">
        <f t="shared" si="55"/>
        <v>2026-03</v>
      </c>
    </row>
    <row r="885" spans="1:5" x14ac:dyDescent="0.3">
      <c r="A885" s="1" t="d">
        <v>2026-03-02</v>
      </c>
      <c r="B885">
        <f t="shared" si="52"/>
        <v>2026</v>
      </c>
      <c r="C885">
        <f t="shared" si="53"/>
        <v>3</v>
      </c>
      <c r="D885" t="str">
        <f t="shared" si="54"/>
        <v>março</v>
      </c>
      <c r="E885" t="str">
        <f t="shared" si="55"/>
        <v>2026-03</v>
      </c>
    </row>
    <row r="886" spans="1:5" x14ac:dyDescent="0.3">
      <c r="A886" s="1" t="d">
        <v>2026-03-03</v>
      </c>
      <c r="B886">
        <f t="shared" si="52"/>
        <v>2026</v>
      </c>
      <c r="C886">
        <f t="shared" si="53"/>
        <v>3</v>
      </c>
      <c r="D886" t="str">
        <f t="shared" si="54"/>
        <v>março</v>
      </c>
      <c r="E886" t="str">
        <f t="shared" si="55"/>
        <v>2026-03</v>
      </c>
    </row>
    <row r="887" spans="1:5" x14ac:dyDescent="0.3">
      <c r="A887" s="1" t="d">
        <v>2026-03-04</v>
      </c>
      <c r="B887">
        <f t="shared" si="52"/>
        <v>2026</v>
      </c>
      <c r="C887">
        <f t="shared" si="53"/>
        <v>3</v>
      </c>
      <c r="D887" t="str">
        <f t="shared" si="54"/>
        <v>março</v>
      </c>
      <c r="E887" t="str">
        <f t="shared" si="55"/>
        <v>2026-03</v>
      </c>
    </row>
    <row r="888" spans="1:5" x14ac:dyDescent="0.3">
      <c r="A888" s="1" t="d">
        <v>2026-03-05</v>
      </c>
      <c r="B888">
        <f t="shared" si="52"/>
        <v>2026</v>
      </c>
      <c r="C888">
        <f t="shared" si="53"/>
        <v>3</v>
      </c>
      <c r="D888" t="str">
        <f t="shared" si="54"/>
        <v>março</v>
      </c>
      <c r="E888" t="str">
        <f t="shared" si="55"/>
        <v>2026-03</v>
      </c>
    </row>
    <row r="889" spans="1:5" x14ac:dyDescent="0.3">
      <c r="A889" s="1" t="d">
        <v>2026-03-06</v>
      </c>
      <c r="B889">
        <f t="shared" si="52"/>
        <v>2026</v>
      </c>
      <c r="C889">
        <f t="shared" si="53"/>
        <v>3</v>
      </c>
      <c r="D889" t="str">
        <f t="shared" si="54"/>
        <v>março</v>
      </c>
      <c r="E889" t="str">
        <f t="shared" si="55"/>
        <v>2026-03</v>
      </c>
    </row>
    <row r="890" spans="1:5" x14ac:dyDescent="0.3">
      <c r="A890" s="1" t="d">
        <v>2026-03-07</v>
      </c>
      <c r="B890">
        <f t="shared" si="52"/>
        <v>2026</v>
      </c>
      <c r="C890">
        <f t="shared" si="53"/>
        <v>3</v>
      </c>
      <c r="D890" t="str">
        <f t="shared" si="54"/>
        <v>março</v>
      </c>
      <c r="E890" t="str">
        <f t="shared" si="55"/>
        <v>2026-03</v>
      </c>
    </row>
    <row r="891" spans="1:5" x14ac:dyDescent="0.3">
      <c r="A891" s="1" t="d">
        <v>2026-03-08</v>
      </c>
      <c r="B891">
        <f t="shared" si="52"/>
        <v>2026</v>
      </c>
      <c r="C891">
        <f t="shared" si="53"/>
        <v>3</v>
      </c>
      <c r="D891" t="str">
        <f t="shared" si="54"/>
        <v>março</v>
      </c>
      <c r="E891" t="str">
        <f t="shared" si="55"/>
        <v>2026-03</v>
      </c>
    </row>
    <row r="892" spans="1:5" x14ac:dyDescent="0.3">
      <c r="A892" s="1" t="d">
        <v>2026-03-09</v>
      </c>
      <c r="B892">
        <f t="shared" si="52"/>
        <v>2026</v>
      </c>
      <c r="C892">
        <f t="shared" si="53"/>
        <v>3</v>
      </c>
      <c r="D892" t="str">
        <f t="shared" si="54"/>
        <v>março</v>
      </c>
      <c r="E892" t="str">
        <f t="shared" si="55"/>
        <v>2026-03</v>
      </c>
    </row>
    <row r="893" spans="1:5" x14ac:dyDescent="0.3">
      <c r="A893" s="1" t="d">
        <v>2026-03-10</v>
      </c>
      <c r="B893">
        <f t="shared" si="52"/>
        <v>2026</v>
      </c>
      <c r="C893">
        <f t="shared" si="53"/>
        <v>3</v>
      </c>
      <c r="D893" t="str">
        <f t="shared" si="54"/>
        <v>março</v>
      </c>
      <c r="E893" t="str">
        <f t="shared" si="55"/>
        <v>2026-03</v>
      </c>
    </row>
    <row r="894" spans="1:5" x14ac:dyDescent="0.3">
      <c r="A894" s="1" t="d">
        <v>2026-03-11</v>
      </c>
      <c r="B894">
        <f t="shared" si="52"/>
        <v>2026</v>
      </c>
      <c r="C894">
        <f t="shared" si="53"/>
        <v>3</v>
      </c>
      <c r="D894" t="str">
        <f t="shared" si="54"/>
        <v>março</v>
      </c>
      <c r="E894" t="str">
        <f t="shared" si="55"/>
        <v>2026-03</v>
      </c>
    </row>
    <row r="895" spans="1:5" x14ac:dyDescent="0.3">
      <c r="A895" s="1" t="d">
        <v>2026-03-12</v>
      </c>
      <c r="B895">
        <f t="shared" si="52"/>
        <v>2026</v>
      </c>
      <c r="C895">
        <f t="shared" si="53"/>
        <v>3</v>
      </c>
      <c r="D895" t="str">
        <f t="shared" si="54"/>
        <v>março</v>
      </c>
      <c r="E895" t="str">
        <f t="shared" si="55"/>
        <v>2026-03</v>
      </c>
    </row>
    <row r="896" spans="1:5" x14ac:dyDescent="0.3">
      <c r="A896" s="1" t="d">
        <v>2026-03-13</v>
      </c>
      <c r="B896">
        <f t="shared" si="52"/>
        <v>2026</v>
      </c>
      <c r="C896">
        <f t="shared" si="53"/>
        <v>3</v>
      </c>
      <c r="D896" t="str">
        <f t="shared" si="54"/>
        <v>março</v>
      </c>
      <c r="E896" t="str">
        <f t="shared" si="55"/>
        <v>2026-03</v>
      </c>
    </row>
    <row r="897" spans="1:5" x14ac:dyDescent="0.3">
      <c r="A897" s="1" t="d">
        <v>2026-03-14</v>
      </c>
      <c r="B897">
        <f t="shared" si="52"/>
        <v>2026</v>
      </c>
      <c r="C897">
        <f t="shared" si="53"/>
        <v>3</v>
      </c>
      <c r="D897" t="str">
        <f t="shared" si="54"/>
        <v>março</v>
      </c>
      <c r="E897" t="str">
        <f t="shared" si="55"/>
        <v>2026-03</v>
      </c>
    </row>
    <row r="898" spans="1:5" x14ac:dyDescent="0.3">
      <c r="A898" s="1" t="d">
        <v>2026-03-15</v>
      </c>
      <c r="B898">
        <f t="shared" si="52"/>
        <v>2026</v>
      </c>
      <c r="C898">
        <f t="shared" si="53"/>
        <v>3</v>
      </c>
      <c r="D898" t="str">
        <f t="shared" si="54"/>
        <v>março</v>
      </c>
      <c r="E898" t="str">
        <f t="shared" si="55"/>
        <v>2026-03</v>
      </c>
    </row>
    <row r="899" spans="1:5" x14ac:dyDescent="0.3">
      <c r="A899" s="1" t="d">
        <v>2026-03-16</v>
      </c>
      <c r="B899">
        <f t="shared" ref="B899:B962" si="56">YEAR(A899)</f>
        <v>2026</v>
      </c>
      <c r="C899">
        <f t="shared" ref="C899:C962" si="57">MONTH(A899)</f>
        <v>3</v>
      </c>
      <c r="D899" t="str">
        <f t="shared" ref="D899:D962" si="58">TEXT(A899, "mmmm")</f>
        <v>março</v>
      </c>
      <c r="E899" t="str">
        <f t="shared" ref="E899:E962" si="59">TEXT(A899, "aaaa-mm")</f>
        <v>2026-03</v>
      </c>
    </row>
    <row r="900" spans="1:5" x14ac:dyDescent="0.3">
      <c r="A900" s="1" t="d">
        <v>2026-03-17</v>
      </c>
      <c r="B900">
        <f t="shared" si="56"/>
        <v>2026</v>
      </c>
      <c r="C900">
        <f t="shared" si="57"/>
        <v>3</v>
      </c>
      <c r="D900" t="str">
        <f t="shared" si="58"/>
        <v>março</v>
      </c>
      <c r="E900" t="str">
        <f t="shared" si="59"/>
        <v>2026-03</v>
      </c>
    </row>
    <row r="901" spans="1:5" x14ac:dyDescent="0.3">
      <c r="A901" s="1" t="d">
        <v>2026-03-18</v>
      </c>
      <c r="B901">
        <f t="shared" si="56"/>
        <v>2026</v>
      </c>
      <c r="C901">
        <f t="shared" si="57"/>
        <v>3</v>
      </c>
      <c r="D901" t="str">
        <f t="shared" si="58"/>
        <v>março</v>
      </c>
      <c r="E901" t="str">
        <f t="shared" si="59"/>
        <v>2026-03</v>
      </c>
    </row>
    <row r="902" spans="1:5" x14ac:dyDescent="0.3">
      <c r="A902" s="1" t="d">
        <v>2026-03-19</v>
      </c>
      <c r="B902">
        <f t="shared" si="56"/>
        <v>2026</v>
      </c>
      <c r="C902">
        <f t="shared" si="57"/>
        <v>3</v>
      </c>
      <c r="D902" t="str">
        <f t="shared" si="58"/>
        <v>março</v>
      </c>
      <c r="E902" t="str">
        <f t="shared" si="59"/>
        <v>2026-03</v>
      </c>
    </row>
    <row r="903" spans="1:5" x14ac:dyDescent="0.3">
      <c r="A903" s="1" t="d">
        <v>2026-03-20</v>
      </c>
      <c r="B903">
        <f t="shared" si="56"/>
        <v>2026</v>
      </c>
      <c r="C903">
        <f t="shared" si="57"/>
        <v>3</v>
      </c>
      <c r="D903" t="str">
        <f t="shared" si="58"/>
        <v>março</v>
      </c>
      <c r="E903" t="str">
        <f t="shared" si="59"/>
        <v>2026-03</v>
      </c>
    </row>
    <row r="904" spans="1:5" x14ac:dyDescent="0.3">
      <c r="A904" s="1" t="d">
        <v>2026-03-21</v>
      </c>
      <c r="B904">
        <f t="shared" si="56"/>
        <v>2026</v>
      </c>
      <c r="C904">
        <f t="shared" si="57"/>
        <v>3</v>
      </c>
      <c r="D904" t="str">
        <f t="shared" si="58"/>
        <v>março</v>
      </c>
      <c r="E904" t="str">
        <f t="shared" si="59"/>
        <v>2026-03</v>
      </c>
    </row>
    <row r="905" spans="1:5" x14ac:dyDescent="0.3">
      <c r="A905" s="1" t="d">
        <v>2026-03-22</v>
      </c>
      <c r="B905">
        <f t="shared" si="56"/>
        <v>2026</v>
      </c>
      <c r="C905">
        <f t="shared" si="57"/>
        <v>3</v>
      </c>
      <c r="D905" t="str">
        <f t="shared" si="58"/>
        <v>março</v>
      </c>
      <c r="E905" t="str">
        <f t="shared" si="59"/>
        <v>2026-03</v>
      </c>
    </row>
    <row r="906" spans="1:5" x14ac:dyDescent="0.3">
      <c r="A906" s="1" t="d">
        <v>2026-03-23</v>
      </c>
      <c r="B906">
        <f t="shared" si="56"/>
        <v>2026</v>
      </c>
      <c r="C906">
        <f t="shared" si="57"/>
        <v>3</v>
      </c>
      <c r="D906" t="str">
        <f t="shared" si="58"/>
        <v>março</v>
      </c>
      <c r="E906" t="str">
        <f t="shared" si="59"/>
        <v>2026-03</v>
      </c>
    </row>
    <row r="907" spans="1:5" x14ac:dyDescent="0.3">
      <c r="A907" s="1" t="d">
        <v>2026-03-24</v>
      </c>
      <c r="B907">
        <f t="shared" si="56"/>
        <v>2026</v>
      </c>
      <c r="C907">
        <f t="shared" si="57"/>
        <v>3</v>
      </c>
      <c r="D907" t="str">
        <f t="shared" si="58"/>
        <v>março</v>
      </c>
      <c r="E907" t="str">
        <f t="shared" si="59"/>
        <v>2026-03</v>
      </c>
    </row>
    <row r="908" spans="1:5" x14ac:dyDescent="0.3">
      <c r="A908" s="1" t="d">
        <v>2026-03-25</v>
      </c>
      <c r="B908">
        <f t="shared" si="56"/>
        <v>2026</v>
      </c>
      <c r="C908">
        <f t="shared" si="57"/>
        <v>3</v>
      </c>
      <c r="D908" t="str">
        <f t="shared" si="58"/>
        <v>março</v>
      </c>
      <c r="E908" t="str">
        <f t="shared" si="59"/>
        <v>2026-03</v>
      </c>
    </row>
    <row r="909" spans="1:5" x14ac:dyDescent="0.3">
      <c r="A909" s="1" t="d">
        <v>2026-03-26</v>
      </c>
      <c r="B909">
        <f t="shared" si="56"/>
        <v>2026</v>
      </c>
      <c r="C909">
        <f t="shared" si="57"/>
        <v>3</v>
      </c>
      <c r="D909" t="str">
        <f t="shared" si="58"/>
        <v>março</v>
      </c>
      <c r="E909" t="str">
        <f t="shared" si="59"/>
        <v>2026-03</v>
      </c>
    </row>
    <row r="910" spans="1:5" x14ac:dyDescent="0.3">
      <c r="A910" s="1" t="d">
        <v>2026-03-27</v>
      </c>
      <c r="B910">
        <f t="shared" si="56"/>
        <v>2026</v>
      </c>
      <c r="C910">
        <f t="shared" si="57"/>
        <v>3</v>
      </c>
      <c r="D910" t="str">
        <f t="shared" si="58"/>
        <v>março</v>
      </c>
      <c r="E910" t="str">
        <f t="shared" si="59"/>
        <v>2026-03</v>
      </c>
    </row>
    <row r="911" spans="1:5" x14ac:dyDescent="0.3">
      <c r="A911" s="1" t="d">
        <v>2026-03-28</v>
      </c>
      <c r="B911">
        <f t="shared" si="56"/>
        <v>2026</v>
      </c>
      <c r="C911">
        <f t="shared" si="57"/>
        <v>3</v>
      </c>
      <c r="D911" t="str">
        <f t="shared" si="58"/>
        <v>março</v>
      </c>
      <c r="E911" t="str">
        <f t="shared" si="59"/>
        <v>2026-03</v>
      </c>
    </row>
    <row r="912" spans="1:5" x14ac:dyDescent="0.3">
      <c r="A912" s="1" t="d">
        <v>2026-03-29</v>
      </c>
      <c r="B912">
        <f t="shared" si="56"/>
        <v>2026</v>
      </c>
      <c r="C912">
        <f t="shared" si="57"/>
        <v>3</v>
      </c>
      <c r="D912" t="str">
        <f t="shared" si="58"/>
        <v>março</v>
      </c>
      <c r="E912" t="str">
        <f t="shared" si="59"/>
        <v>2026-03</v>
      </c>
    </row>
    <row r="913" spans="1:5" x14ac:dyDescent="0.3">
      <c r="A913" s="1" t="d">
        <v>2026-03-30</v>
      </c>
      <c r="B913">
        <f t="shared" si="56"/>
        <v>2026</v>
      </c>
      <c r="C913">
        <f t="shared" si="57"/>
        <v>3</v>
      </c>
      <c r="D913" t="str">
        <f t="shared" si="58"/>
        <v>março</v>
      </c>
      <c r="E913" t="str">
        <f t="shared" si="59"/>
        <v>2026-03</v>
      </c>
    </row>
    <row r="914" spans="1:5" x14ac:dyDescent="0.3">
      <c r="A914" s="1" t="d">
        <v>2026-03-31</v>
      </c>
      <c r="B914">
        <f t="shared" si="56"/>
        <v>2026</v>
      </c>
      <c r="C914">
        <f t="shared" si="57"/>
        <v>3</v>
      </c>
      <c r="D914" t="str">
        <f t="shared" si="58"/>
        <v>março</v>
      </c>
      <c r="E914" t="str">
        <f t="shared" si="59"/>
        <v>2026-03</v>
      </c>
    </row>
    <row r="915" spans="1:5" x14ac:dyDescent="0.3">
      <c r="A915" s="1" t="d">
        <v>2026-04-01</v>
      </c>
      <c r="B915">
        <f t="shared" si="56"/>
        <v>2026</v>
      </c>
      <c r="C915">
        <f t="shared" si="57"/>
        <v>4</v>
      </c>
      <c r="D915" t="str">
        <f t="shared" si="58"/>
        <v>abril</v>
      </c>
      <c r="E915" t="str">
        <f t="shared" si="59"/>
        <v>2026-04</v>
      </c>
    </row>
    <row r="916" spans="1:5" x14ac:dyDescent="0.3">
      <c r="A916" s="1" t="d">
        <v>2026-04-02</v>
      </c>
      <c r="B916">
        <f t="shared" si="56"/>
        <v>2026</v>
      </c>
      <c r="C916">
        <f t="shared" si="57"/>
        <v>4</v>
      </c>
      <c r="D916" t="str">
        <f t="shared" si="58"/>
        <v>abril</v>
      </c>
      <c r="E916" t="str">
        <f t="shared" si="59"/>
        <v>2026-04</v>
      </c>
    </row>
    <row r="917" spans="1:5" x14ac:dyDescent="0.3">
      <c r="A917" s="1" t="d">
        <v>2026-04-03</v>
      </c>
      <c r="B917">
        <f t="shared" si="56"/>
        <v>2026</v>
      </c>
      <c r="C917">
        <f t="shared" si="57"/>
        <v>4</v>
      </c>
      <c r="D917" t="str">
        <f t="shared" si="58"/>
        <v>abril</v>
      </c>
      <c r="E917" t="str">
        <f t="shared" si="59"/>
        <v>2026-04</v>
      </c>
    </row>
    <row r="918" spans="1:5" x14ac:dyDescent="0.3">
      <c r="A918" s="1" t="d">
        <v>2026-04-04</v>
      </c>
      <c r="B918">
        <f t="shared" si="56"/>
        <v>2026</v>
      </c>
      <c r="C918">
        <f t="shared" si="57"/>
        <v>4</v>
      </c>
      <c r="D918" t="str">
        <f t="shared" si="58"/>
        <v>abril</v>
      </c>
      <c r="E918" t="str">
        <f t="shared" si="59"/>
        <v>2026-04</v>
      </c>
    </row>
    <row r="919" spans="1:5" x14ac:dyDescent="0.3">
      <c r="A919" s="1" t="d">
        <v>2026-04-05</v>
      </c>
      <c r="B919">
        <f t="shared" si="56"/>
        <v>2026</v>
      </c>
      <c r="C919">
        <f t="shared" si="57"/>
        <v>4</v>
      </c>
      <c r="D919" t="str">
        <f t="shared" si="58"/>
        <v>abril</v>
      </c>
      <c r="E919" t="str">
        <f t="shared" si="59"/>
        <v>2026-04</v>
      </c>
    </row>
    <row r="920" spans="1:5" x14ac:dyDescent="0.3">
      <c r="A920" s="1" t="d">
        <v>2026-04-06</v>
      </c>
      <c r="B920">
        <f t="shared" si="56"/>
        <v>2026</v>
      </c>
      <c r="C920">
        <f t="shared" si="57"/>
        <v>4</v>
      </c>
      <c r="D920" t="str">
        <f t="shared" si="58"/>
        <v>abril</v>
      </c>
      <c r="E920" t="str">
        <f t="shared" si="59"/>
        <v>2026-04</v>
      </c>
    </row>
    <row r="921" spans="1:5" x14ac:dyDescent="0.3">
      <c r="A921" s="1" t="d">
        <v>2026-04-07</v>
      </c>
      <c r="B921">
        <f t="shared" si="56"/>
        <v>2026</v>
      </c>
      <c r="C921">
        <f t="shared" si="57"/>
        <v>4</v>
      </c>
      <c r="D921" t="str">
        <f t="shared" si="58"/>
        <v>abril</v>
      </c>
      <c r="E921" t="str">
        <f t="shared" si="59"/>
        <v>2026-04</v>
      </c>
    </row>
    <row r="922" spans="1:5" x14ac:dyDescent="0.3">
      <c r="A922" s="1" t="d">
        <v>2026-04-08</v>
      </c>
      <c r="B922">
        <f t="shared" si="56"/>
        <v>2026</v>
      </c>
      <c r="C922">
        <f t="shared" si="57"/>
        <v>4</v>
      </c>
      <c r="D922" t="str">
        <f t="shared" si="58"/>
        <v>abril</v>
      </c>
      <c r="E922" t="str">
        <f t="shared" si="59"/>
        <v>2026-04</v>
      </c>
    </row>
    <row r="923" spans="1:5" x14ac:dyDescent="0.3">
      <c r="A923" s="1" t="d">
        <v>2026-04-09</v>
      </c>
      <c r="B923">
        <f t="shared" si="56"/>
        <v>2026</v>
      </c>
      <c r="C923">
        <f t="shared" si="57"/>
        <v>4</v>
      </c>
      <c r="D923" t="str">
        <f t="shared" si="58"/>
        <v>abril</v>
      </c>
      <c r="E923" t="str">
        <f t="shared" si="59"/>
        <v>2026-04</v>
      </c>
    </row>
    <row r="924" spans="1:5" x14ac:dyDescent="0.3">
      <c r="A924" s="1" t="d">
        <v>2026-04-10</v>
      </c>
      <c r="B924">
        <f t="shared" si="56"/>
        <v>2026</v>
      </c>
      <c r="C924">
        <f t="shared" si="57"/>
        <v>4</v>
      </c>
      <c r="D924" t="str">
        <f t="shared" si="58"/>
        <v>abril</v>
      </c>
      <c r="E924" t="str">
        <f t="shared" si="59"/>
        <v>2026-04</v>
      </c>
    </row>
    <row r="925" spans="1:5" x14ac:dyDescent="0.3">
      <c r="A925" s="1" t="d">
        <v>2026-04-11</v>
      </c>
      <c r="B925">
        <f t="shared" si="56"/>
        <v>2026</v>
      </c>
      <c r="C925">
        <f t="shared" si="57"/>
        <v>4</v>
      </c>
      <c r="D925" t="str">
        <f t="shared" si="58"/>
        <v>abril</v>
      </c>
      <c r="E925" t="str">
        <f t="shared" si="59"/>
        <v>2026-04</v>
      </c>
    </row>
    <row r="926" spans="1:5" x14ac:dyDescent="0.3">
      <c r="A926" s="1" t="d">
        <v>2026-04-12</v>
      </c>
      <c r="B926">
        <f t="shared" si="56"/>
        <v>2026</v>
      </c>
      <c r="C926">
        <f t="shared" si="57"/>
        <v>4</v>
      </c>
      <c r="D926" t="str">
        <f t="shared" si="58"/>
        <v>abril</v>
      </c>
      <c r="E926" t="str">
        <f t="shared" si="59"/>
        <v>2026-04</v>
      </c>
    </row>
    <row r="927" spans="1:5" x14ac:dyDescent="0.3">
      <c r="A927" s="1" t="d">
        <v>2026-04-13</v>
      </c>
      <c r="B927">
        <f t="shared" si="56"/>
        <v>2026</v>
      </c>
      <c r="C927">
        <f t="shared" si="57"/>
        <v>4</v>
      </c>
      <c r="D927" t="str">
        <f t="shared" si="58"/>
        <v>abril</v>
      </c>
      <c r="E927" t="str">
        <f t="shared" si="59"/>
        <v>2026-04</v>
      </c>
    </row>
    <row r="928" spans="1:5" x14ac:dyDescent="0.3">
      <c r="A928" s="1" t="d">
        <v>2026-04-14</v>
      </c>
      <c r="B928">
        <f t="shared" si="56"/>
        <v>2026</v>
      </c>
      <c r="C928">
        <f t="shared" si="57"/>
        <v>4</v>
      </c>
      <c r="D928" t="str">
        <f t="shared" si="58"/>
        <v>abril</v>
      </c>
      <c r="E928" t="str">
        <f t="shared" si="59"/>
        <v>2026-04</v>
      </c>
    </row>
    <row r="929" spans="1:5" x14ac:dyDescent="0.3">
      <c r="A929" s="1" t="d">
        <v>2026-04-15</v>
      </c>
      <c r="B929">
        <f t="shared" si="56"/>
        <v>2026</v>
      </c>
      <c r="C929">
        <f t="shared" si="57"/>
        <v>4</v>
      </c>
      <c r="D929" t="str">
        <f t="shared" si="58"/>
        <v>abril</v>
      </c>
      <c r="E929" t="str">
        <f t="shared" si="59"/>
        <v>2026-04</v>
      </c>
    </row>
    <row r="930" spans="1:5" x14ac:dyDescent="0.3">
      <c r="A930" s="1" t="d">
        <v>2026-04-16</v>
      </c>
      <c r="B930">
        <f t="shared" si="56"/>
        <v>2026</v>
      </c>
      <c r="C930">
        <f t="shared" si="57"/>
        <v>4</v>
      </c>
      <c r="D930" t="str">
        <f t="shared" si="58"/>
        <v>abril</v>
      </c>
      <c r="E930" t="str">
        <f t="shared" si="59"/>
        <v>2026-04</v>
      </c>
    </row>
    <row r="931" spans="1:5" x14ac:dyDescent="0.3">
      <c r="A931" s="1" t="d">
        <v>2026-04-17</v>
      </c>
      <c r="B931">
        <f t="shared" si="56"/>
        <v>2026</v>
      </c>
      <c r="C931">
        <f t="shared" si="57"/>
        <v>4</v>
      </c>
      <c r="D931" t="str">
        <f t="shared" si="58"/>
        <v>abril</v>
      </c>
      <c r="E931" t="str">
        <f t="shared" si="59"/>
        <v>2026-04</v>
      </c>
    </row>
    <row r="932" spans="1:5" x14ac:dyDescent="0.3">
      <c r="A932" s="1" t="d">
        <v>2026-04-18</v>
      </c>
      <c r="B932">
        <f t="shared" si="56"/>
        <v>2026</v>
      </c>
      <c r="C932">
        <f t="shared" si="57"/>
        <v>4</v>
      </c>
      <c r="D932" t="str">
        <f t="shared" si="58"/>
        <v>abril</v>
      </c>
      <c r="E932" t="str">
        <f t="shared" si="59"/>
        <v>2026-04</v>
      </c>
    </row>
    <row r="933" spans="1:5" x14ac:dyDescent="0.3">
      <c r="A933" s="1" t="d">
        <v>2026-04-19</v>
      </c>
      <c r="B933">
        <f t="shared" si="56"/>
        <v>2026</v>
      </c>
      <c r="C933">
        <f t="shared" si="57"/>
        <v>4</v>
      </c>
      <c r="D933" t="str">
        <f t="shared" si="58"/>
        <v>abril</v>
      </c>
      <c r="E933" t="str">
        <f t="shared" si="59"/>
        <v>2026-04</v>
      </c>
    </row>
    <row r="934" spans="1:5" x14ac:dyDescent="0.3">
      <c r="A934" s="1" t="d">
        <v>2026-04-20</v>
      </c>
      <c r="B934">
        <f t="shared" si="56"/>
        <v>2026</v>
      </c>
      <c r="C934">
        <f t="shared" si="57"/>
        <v>4</v>
      </c>
      <c r="D934" t="str">
        <f t="shared" si="58"/>
        <v>abril</v>
      </c>
      <c r="E934" t="str">
        <f t="shared" si="59"/>
        <v>2026-04</v>
      </c>
    </row>
    <row r="935" spans="1:5" x14ac:dyDescent="0.3">
      <c r="A935" s="1" t="d">
        <v>2026-04-21</v>
      </c>
      <c r="B935">
        <f t="shared" si="56"/>
        <v>2026</v>
      </c>
      <c r="C935">
        <f t="shared" si="57"/>
        <v>4</v>
      </c>
      <c r="D935" t="str">
        <f t="shared" si="58"/>
        <v>abril</v>
      </c>
      <c r="E935" t="str">
        <f t="shared" si="59"/>
        <v>2026-04</v>
      </c>
    </row>
    <row r="936" spans="1:5" x14ac:dyDescent="0.3">
      <c r="A936" s="1" t="d">
        <v>2026-04-22</v>
      </c>
      <c r="B936">
        <f t="shared" si="56"/>
        <v>2026</v>
      </c>
      <c r="C936">
        <f t="shared" si="57"/>
        <v>4</v>
      </c>
      <c r="D936" t="str">
        <f t="shared" si="58"/>
        <v>abril</v>
      </c>
      <c r="E936" t="str">
        <f t="shared" si="59"/>
        <v>2026-04</v>
      </c>
    </row>
    <row r="937" spans="1:5" x14ac:dyDescent="0.3">
      <c r="A937" s="1" t="d">
        <v>2026-04-23</v>
      </c>
      <c r="B937">
        <f t="shared" si="56"/>
        <v>2026</v>
      </c>
      <c r="C937">
        <f t="shared" si="57"/>
        <v>4</v>
      </c>
      <c r="D937" t="str">
        <f t="shared" si="58"/>
        <v>abril</v>
      </c>
      <c r="E937" t="str">
        <f t="shared" si="59"/>
        <v>2026-04</v>
      </c>
    </row>
    <row r="938" spans="1:5" x14ac:dyDescent="0.3">
      <c r="A938" s="1" t="d">
        <v>2026-04-24</v>
      </c>
      <c r="B938">
        <f t="shared" si="56"/>
        <v>2026</v>
      </c>
      <c r="C938">
        <f t="shared" si="57"/>
        <v>4</v>
      </c>
      <c r="D938" t="str">
        <f t="shared" si="58"/>
        <v>abril</v>
      </c>
      <c r="E938" t="str">
        <f t="shared" si="59"/>
        <v>2026-04</v>
      </c>
    </row>
    <row r="939" spans="1:5" x14ac:dyDescent="0.3">
      <c r="A939" s="1" t="d">
        <v>2026-04-25</v>
      </c>
      <c r="B939">
        <f t="shared" si="56"/>
        <v>2026</v>
      </c>
      <c r="C939">
        <f t="shared" si="57"/>
        <v>4</v>
      </c>
      <c r="D939" t="str">
        <f t="shared" si="58"/>
        <v>abril</v>
      </c>
      <c r="E939" t="str">
        <f t="shared" si="59"/>
        <v>2026-04</v>
      </c>
    </row>
    <row r="940" spans="1:5" x14ac:dyDescent="0.3">
      <c r="A940" s="1" t="d">
        <v>2026-04-26</v>
      </c>
      <c r="B940">
        <f t="shared" si="56"/>
        <v>2026</v>
      </c>
      <c r="C940">
        <f t="shared" si="57"/>
        <v>4</v>
      </c>
      <c r="D940" t="str">
        <f t="shared" si="58"/>
        <v>abril</v>
      </c>
      <c r="E940" t="str">
        <f t="shared" si="59"/>
        <v>2026-04</v>
      </c>
    </row>
    <row r="941" spans="1:5" x14ac:dyDescent="0.3">
      <c r="A941" s="1" t="d">
        <v>2026-04-27</v>
      </c>
      <c r="B941">
        <f t="shared" si="56"/>
        <v>2026</v>
      </c>
      <c r="C941">
        <f t="shared" si="57"/>
        <v>4</v>
      </c>
      <c r="D941" t="str">
        <f t="shared" si="58"/>
        <v>abril</v>
      </c>
      <c r="E941" t="str">
        <f t="shared" si="59"/>
        <v>2026-04</v>
      </c>
    </row>
    <row r="942" spans="1:5" x14ac:dyDescent="0.3">
      <c r="A942" s="1" t="d">
        <v>2026-04-28</v>
      </c>
      <c r="B942">
        <f t="shared" si="56"/>
        <v>2026</v>
      </c>
      <c r="C942">
        <f t="shared" si="57"/>
        <v>4</v>
      </c>
      <c r="D942" t="str">
        <f t="shared" si="58"/>
        <v>abril</v>
      </c>
      <c r="E942" t="str">
        <f t="shared" si="59"/>
        <v>2026-04</v>
      </c>
    </row>
    <row r="943" spans="1:5" x14ac:dyDescent="0.3">
      <c r="A943" s="1" t="d">
        <v>2026-04-29</v>
      </c>
      <c r="B943">
        <f t="shared" si="56"/>
        <v>2026</v>
      </c>
      <c r="C943">
        <f t="shared" si="57"/>
        <v>4</v>
      </c>
      <c r="D943" t="str">
        <f t="shared" si="58"/>
        <v>abril</v>
      </c>
      <c r="E943" t="str">
        <f t="shared" si="59"/>
        <v>2026-04</v>
      </c>
    </row>
    <row r="944" spans="1:5" x14ac:dyDescent="0.3">
      <c r="A944" s="1" t="d">
        <v>2026-04-30</v>
      </c>
      <c r="B944">
        <f t="shared" si="56"/>
        <v>2026</v>
      </c>
      <c r="C944">
        <f t="shared" si="57"/>
        <v>4</v>
      </c>
      <c r="D944" t="str">
        <f t="shared" si="58"/>
        <v>abril</v>
      </c>
      <c r="E944" t="str">
        <f t="shared" si="59"/>
        <v>2026-04</v>
      </c>
    </row>
    <row r="945" spans="1:5" x14ac:dyDescent="0.3">
      <c r="A945" s="1" t="d">
        <v>2026-05-01</v>
      </c>
      <c r="B945">
        <f t="shared" si="56"/>
        <v>2026</v>
      </c>
      <c r="C945">
        <f t="shared" si="57"/>
        <v>5</v>
      </c>
      <c r="D945" t="str">
        <f t="shared" si="58"/>
        <v>maio</v>
      </c>
      <c r="E945" t="str">
        <f t="shared" si="59"/>
        <v>2026-05</v>
      </c>
    </row>
    <row r="946" spans="1:5" x14ac:dyDescent="0.3">
      <c r="A946" s="1" t="d">
        <v>2026-05-02</v>
      </c>
      <c r="B946">
        <f t="shared" si="56"/>
        <v>2026</v>
      </c>
      <c r="C946">
        <f t="shared" si="57"/>
        <v>5</v>
      </c>
      <c r="D946" t="str">
        <f t="shared" si="58"/>
        <v>maio</v>
      </c>
      <c r="E946" t="str">
        <f t="shared" si="59"/>
        <v>2026-05</v>
      </c>
    </row>
    <row r="947" spans="1:5" x14ac:dyDescent="0.3">
      <c r="A947" s="1" t="d">
        <v>2026-05-03</v>
      </c>
      <c r="B947">
        <f t="shared" si="56"/>
        <v>2026</v>
      </c>
      <c r="C947">
        <f t="shared" si="57"/>
        <v>5</v>
      </c>
      <c r="D947" t="str">
        <f t="shared" si="58"/>
        <v>maio</v>
      </c>
      <c r="E947" t="str">
        <f t="shared" si="59"/>
        <v>2026-05</v>
      </c>
    </row>
    <row r="948" spans="1:5" x14ac:dyDescent="0.3">
      <c r="A948" s="1" t="d">
        <v>2026-05-04</v>
      </c>
      <c r="B948">
        <f t="shared" si="56"/>
        <v>2026</v>
      </c>
      <c r="C948">
        <f t="shared" si="57"/>
        <v>5</v>
      </c>
      <c r="D948" t="str">
        <f t="shared" si="58"/>
        <v>maio</v>
      </c>
      <c r="E948" t="str">
        <f t="shared" si="59"/>
        <v>2026-05</v>
      </c>
    </row>
    <row r="949" spans="1:5" x14ac:dyDescent="0.3">
      <c r="A949" s="1" t="d">
        <v>2026-05-05</v>
      </c>
      <c r="B949">
        <f t="shared" si="56"/>
        <v>2026</v>
      </c>
      <c r="C949">
        <f t="shared" si="57"/>
        <v>5</v>
      </c>
      <c r="D949" t="str">
        <f t="shared" si="58"/>
        <v>maio</v>
      </c>
      <c r="E949" t="str">
        <f t="shared" si="59"/>
        <v>2026-05</v>
      </c>
    </row>
    <row r="950" spans="1:5" x14ac:dyDescent="0.3">
      <c r="A950" s="1" t="d">
        <v>2026-05-06</v>
      </c>
      <c r="B950">
        <f t="shared" si="56"/>
        <v>2026</v>
      </c>
      <c r="C950">
        <f t="shared" si="57"/>
        <v>5</v>
      </c>
      <c r="D950" t="str">
        <f t="shared" si="58"/>
        <v>maio</v>
      </c>
      <c r="E950" t="str">
        <f t="shared" si="59"/>
        <v>2026-05</v>
      </c>
    </row>
    <row r="951" spans="1:5" x14ac:dyDescent="0.3">
      <c r="A951" s="1" t="d">
        <v>2026-05-07</v>
      </c>
      <c r="B951">
        <f t="shared" si="56"/>
        <v>2026</v>
      </c>
      <c r="C951">
        <f t="shared" si="57"/>
        <v>5</v>
      </c>
      <c r="D951" t="str">
        <f t="shared" si="58"/>
        <v>maio</v>
      </c>
      <c r="E951" t="str">
        <f t="shared" si="59"/>
        <v>2026-05</v>
      </c>
    </row>
    <row r="952" spans="1:5" x14ac:dyDescent="0.3">
      <c r="A952" s="1" t="d">
        <v>2026-05-08</v>
      </c>
      <c r="B952">
        <f t="shared" si="56"/>
        <v>2026</v>
      </c>
      <c r="C952">
        <f t="shared" si="57"/>
        <v>5</v>
      </c>
      <c r="D952" t="str">
        <f t="shared" si="58"/>
        <v>maio</v>
      </c>
      <c r="E952" t="str">
        <f t="shared" si="59"/>
        <v>2026-05</v>
      </c>
    </row>
    <row r="953" spans="1:5" x14ac:dyDescent="0.3">
      <c r="A953" s="1" t="d">
        <v>2026-05-09</v>
      </c>
      <c r="B953">
        <f t="shared" si="56"/>
        <v>2026</v>
      </c>
      <c r="C953">
        <f t="shared" si="57"/>
        <v>5</v>
      </c>
      <c r="D953" t="str">
        <f t="shared" si="58"/>
        <v>maio</v>
      </c>
      <c r="E953" t="str">
        <f t="shared" si="59"/>
        <v>2026-05</v>
      </c>
    </row>
    <row r="954" spans="1:5" x14ac:dyDescent="0.3">
      <c r="A954" s="1" t="d">
        <v>2026-05-10</v>
      </c>
      <c r="B954">
        <f t="shared" si="56"/>
        <v>2026</v>
      </c>
      <c r="C954">
        <f t="shared" si="57"/>
        <v>5</v>
      </c>
      <c r="D954" t="str">
        <f t="shared" si="58"/>
        <v>maio</v>
      </c>
      <c r="E954" t="str">
        <f t="shared" si="59"/>
        <v>2026-05</v>
      </c>
    </row>
    <row r="955" spans="1:5" x14ac:dyDescent="0.3">
      <c r="A955" s="1" t="d">
        <v>2026-05-11</v>
      </c>
      <c r="B955">
        <f t="shared" si="56"/>
        <v>2026</v>
      </c>
      <c r="C955">
        <f t="shared" si="57"/>
        <v>5</v>
      </c>
      <c r="D955" t="str">
        <f t="shared" si="58"/>
        <v>maio</v>
      </c>
      <c r="E955" t="str">
        <f t="shared" si="59"/>
        <v>2026-05</v>
      </c>
    </row>
    <row r="956" spans="1:5" x14ac:dyDescent="0.3">
      <c r="A956" s="1" t="d">
        <v>2026-05-12</v>
      </c>
      <c r="B956">
        <f t="shared" si="56"/>
        <v>2026</v>
      </c>
      <c r="C956">
        <f t="shared" si="57"/>
        <v>5</v>
      </c>
      <c r="D956" t="str">
        <f t="shared" si="58"/>
        <v>maio</v>
      </c>
      <c r="E956" t="str">
        <f t="shared" si="59"/>
        <v>2026-05</v>
      </c>
    </row>
    <row r="957" spans="1:5" x14ac:dyDescent="0.3">
      <c r="A957" s="1" t="d">
        <v>2026-05-13</v>
      </c>
      <c r="B957">
        <f t="shared" si="56"/>
        <v>2026</v>
      </c>
      <c r="C957">
        <f t="shared" si="57"/>
        <v>5</v>
      </c>
      <c r="D957" t="str">
        <f t="shared" si="58"/>
        <v>maio</v>
      </c>
      <c r="E957" t="str">
        <f t="shared" si="59"/>
        <v>2026-05</v>
      </c>
    </row>
    <row r="958" spans="1:5" x14ac:dyDescent="0.3">
      <c r="A958" s="1" t="d">
        <v>2026-05-14</v>
      </c>
      <c r="B958">
        <f t="shared" si="56"/>
        <v>2026</v>
      </c>
      <c r="C958">
        <f t="shared" si="57"/>
        <v>5</v>
      </c>
      <c r="D958" t="str">
        <f t="shared" si="58"/>
        <v>maio</v>
      </c>
      <c r="E958" t="str">
        <f t="shared" si="59"/>
        <v>2026-05</v>
      </c>
    </row>
    <row r="959" spans="1:5" x14ac:dyDescent="0.3">
      <c r="A959" s="1" t="d">
        <v>2026-05-15</v>
      </c>
      <c r="B959">
        <f t="shared" si="56"/>
        <v>2026</v>
      </c>
      <c r="C959">
        <f t="shared" si="57"/>
        <v>5</v>
      </c>
      <c r="D959" t="str">
        <f t="shared" si="58"/>
        <v>maio</v>
      </c>
      <c r="E959" t="str">
        <f t="shared" si="59"/>
        <v>2026-05</v>
      </c>
    </row>
    <row r="960" spans="1:5" x14ac:dyDescent="0.3">
      <c r="A960" s="1" t="d">
        <v>2026-05-16</v>
      </c>
      <c r="B960">
        <f t="shared" si="56"/>
        <v>2026</v>
      </c>
      <c r="C960">
        <f t="shared" si="57"/>
        <v>5</v>
      </c>
      <c r="D960" t="str">
        <f t="shared" si="58"/>
        <v>maio</v>
      </c>
      <c r="E960" t="str">
        <f t="shared" si="59"/>
        <v>2026-05</v>
      </c>
    </row>
    <row r="961" spans="1:5" x14ac:dyDescent="0.3">
      <c r="A961" s="1" t="d">
        <v>2026-05-17</v>
      </c>
      <c r="B961">
        <f t="shared" si="56"/>
        <v>2026</v>
      </c>
      <c r="C961">
        <f t="shared" si="57"/>
        <v>5</v>
      </c>
      <c r="D961" t="str">
        <f t="shared" si="58"/>
        <v>maio</v>
      </c>
      <c r="E961" t="str">
        <f t="shared" si="59"/>
        <v>2026-05</v>
      </c>
    </row>
    <row r="962" spans="1:5" x14ac:dyDescent="0.3">
      <c r="A962" s="1" t="d">
        <v>2026-05-18</v>
      </c>
      <c r="B962">
        <f t="shared" si="56"/>
        <v>2026</v>
      </c>
      <c r="C962">
        <f t="shared" si="57"/>
        <v>5</v>
      </c>
      <c r="D962" t="str">
        <f t="shared" si="58"/>
        <v>maio</v>
      </c>
      <c r="E962" t="str">
        <f t="shared" si="59"/>
        <v>2026-05</v>
      </c>
    </row>
    <row r="963" spans="1:5" x14ac:dyDescent="0.3">
      <c r="A963" s="1" t="d">
        <v>2026-05-19</v>
      </c>
      <c r="B963">
        <f t="shared" ref="B963:B1026" si="60">YEAR(A963)</f>
        <v>2026</v>
      </c>
      <c r="C963">
        <f t="shared" ref="C963:C1026" si="61">MONTH(A963)</f>
        <v>5</v>
      </c>
      <c r="D963" t="str">
        <f t="shared" ref="D963:D1026" si="62">TEXT(A963, "mmmm")</f>
        <v>maio</v>
      </c>
      <c r="E963" t="str">
        <f t="shared" ref="E963:E1026" si="63">TEXT(A963, "aaaa-mm")</f>
        <v>2026-05</v>
      </c>
    </row>
    <row r="964" spans="1:5" x14ac:dyDescent="0.3">
      <c r="A964" s="1" t="d">
        <v>2026-05-20</v>
      </c>
      <c r="B964">
        <f t="shared" si="60"/>
        <v>2026</v>
      </c>
      <c r="C964">
        <f t="shared" si="61"/>
        <v>5</v>
      </c>
      <c r="D964" t="str">
        <f t="shared" si="62"/>
        <v>maio</v>
      </c>
      <c r="E964" t="str">
        <f t="shared" si="63"/>
        <v>2026-05</v>
      </c>
    </row>
    <row r="965" spans="1:5" x14ac:dyDescent="0.3">
      <c r="A965" s="1" t="d">
        <v>2026-05-21</v>
      </c>
      <c r="B965">
        <f t="shared" si="60"/>
        <v>2026</v>
      </c>
      <c r="C965">
        <f t="shared" si="61"/>
        <v>5</v>
      </c>
      <c r="D965" t="str">
        <f t="shared" si="62"/>
        <v>maio</v>
      </c>
      <c r="E965" t="str">
        <f t="shared" si="63"/>
        <v>2026-05</v>
      </c>
    </row>
    <row r="966" spans="1:5" x14ac:dyDescent="0.3">
      <c r="A966" s="1" t="d">
        <v>2026-05-22</v>
      </c>
      <c r="B966">
        <f t="shared" si="60"/>
        <v>2026</v>
      </c>
      <c r="C966">
        <f t="shared" si="61"/>
        <v>5</v>
      </c>
      <c r="D966" t="str">
        <f t="shared" si="62"/>
        <v>maio</v>
      </c>
      <c r="E966" t="str">
        <f t="shared" si="63"/>
        <v>2026-05</v>
      </c>
    </row>
    <row r="967" spans="1:5" x14ac:dyDescent="0.3">
      <c r="A967" s="1" t="d">
        <v>2026-05-23</v>
      </c>
      <c r="B967">
        <f t="shared" si="60"/>
        <v>2026</v>
      </c>
      <c r="C967">
        <f t="shared" si="61"/>
        <v>5</v>
      </c>
      <c r="D967" t="str">
        <f t="shared" si="62"/>
        <v>maio</v>
      </c>
      <c r="E967" t="str">
        <f t="shared" si="63"/>
        <v>2026-05</v>
      </c>
    </row>
    <row r="968" spans="1:5" x14ac:dyDescent="0.3">
      <c r="A968" s="1" t="d">
        <v>2026-05-24</v>
      </c>
      <c r="B968">
        <f t="shared" si="60"/>
        <v>2026</v>
      </c>
      <c r="C968">
        <f t="shared" si="61"/>
        <v>5</v>
      </c>
      <c r="D968" t="str">
        <f t="shared" si="62"/>
        <v>maio</v>
      </c>
      <c r="E968" t="str">
        <f t="shared" si="63"/>
        <v>2026-05</v>
      </c>
    </row>
    <row r="969" spans="1:5" x14ac:dyDescent="0.3">
      <c r="A969" s="1" t="d">
        <v>2026-05-25</v>
      </c>
      <c r="B969">
        <f t="shared" si="60"/>
        <v>2026</v>
      </c>
      <c r="C969">
        <f t="shared" si="61"/>
        <v>5</v>
      </c>
      <c r="D969" t="str">
        <f t="shared" si="62"/>
        <v>maio</v>
      </c>
      <c r="E969" t="str">
        <f t="shared" si="63"/>
        <v>2026-05</v>
      </c>
    </row>
    <row r="970" spans="1:5" x14ac:dyDescent="0.3">
      <c r="A970" s="1" t="d">
        <v>2026-05-26</v>
      </c>
      <c r="B970">
        <f t="shared" si="60"/>
        <v>2026</v>
      </c>
      <c r="C970">
        <f t="shared" si="61"/>
        <v>5</v>
      </c>
      <c r="D970" t="str">
        <f t="shared" si="62"/>
        <v>maio</v>
      </c>
      <c r="E970" t="str">
        <f t="shared" si="63"/>
        <v>2026-05</v>
      </c>
    </row>
    <row r="971" spans="1:5" x14ac:dyDescent="0.3">
      <c r="A971" s="1" t="d">
        <v>2026-05-27</v>
      </c>
      <c r="B971">
        <f t="shared" si="60"/>
        <v>2026</v>
      </c>
      <c r="C971">
        <f t="shared" si="61"/>
        <v>5</v>
      </c>
      <c r="D971" t="str">
        <f t="shared" si="62"/>
        <v>maio</v>
      </c>
      <c r="E971" t="str">
        <f t="shared" si="63"/>
        <v>2026-05</v>
      </c>
    </row>
    <row r="972" spans="1:5" x14ac:dyDescent="0.3">
      <c r="A972" s="1" t="d">
        <v>2026-05-28</v>
      </c>
      <c r="B972">
        <f t="shared" si="60"/>
        <v>2026</v>
      </c>
      <c r="C972">
        <f t="shared" si="61"/>
        <v>5</v>
      </c>
      <c r="D972" t="str">
        <f t="shared" si="62"/>
        <v>maio</v>
      </c>
      <c r="E972" t="str">
        <f t="shared" si="63"/>
        <v>2026-05</v>
      </c>
    </row>
    <row r="973" spans="1:5" x14ac:dyDescent="0.3">
      <c r="A973" s="1" t="d">
        <v>2026-05-29</v>
      </c>
      <c r="B973">
        <f t="shared" si="60"/>
        <v>2026</v>
      </c>
      <c r="C973">
        <f t="shared" si="61"/>
        <v>5</v>
      </c>
      <c r="D973" t="str">
        <f t="shared" si="62"/>
        <v>maio</v>
      </c>
      <c r="E973" t="str">
        <f t="shared" si="63"/>
        <v>2026-05</v>
      </c>
    </row>
    <row r="974" spans="1:5" x14ac:dyDescent="0.3">
      <c r="A974" s="1" t="d">
        <v>2026-05-30</v>
      </c>
      <c r="B974">
        <f t="shared" si="60"/>
        <v>2026</v>
      </c>
      <c r="C974">
        <f t="shared" si="61"/>
        <v>5</v>
      </c>
      <c r="D974" t="str">
        <f t="shared" si="62"/>
        <v>maio</v>
      </c>
      <c r="E974" t="str">
        <f t="shared" si="63"/>
        <v>2026-05</v>
      </c>
    </row>
    <row r="975" spans="1:5" x14ac:dyDescent="0.3">
      <c r="A975" s="1" t="d">
        <v>2026-05-31</v>
      </c>
      <c r="B975">
        <f t="shared" si="60"/>
        <v>2026</v>
      </c>
      <c r="C975">
        <f t="shared" si="61"/>
        <v>5</v>
      </c>
      <c r="D975" t="str">
        <f t="shared" si="62"/>
        <v>maio</v>
      </c>
      <c r="E975" t="str">
        <f t="shared" si="63"/>
        <v>2026-05</v>
      </c>
    </row>
    <row r="976" spans="1:5" x14ac:dyDescent="0.3">
      <c r="A976" s="1" t="d">
        <v>2026-06-01</v>
      </c>
      <c r="B976">
        <f t="shared" si="60"/>
        <v>2026</v>
      </c>
      <c r="C976">
        <f t="shared" si="61"/>
        <v>6</v>
      </c>
      <c r="D976" t="str">
        <f t="shared" si="62"/>
        <v>junho</v>
      </c>
      <c r="E976" t="str">
        <f t="shared" si="63"/>
        <v>2026-06</v>
      </c>
    </row>
    <row r="977" spans="1:5" x14ac:dyDescent="0.3">
      <c r="A977" s="1" t="d">
        <v>2026-06-02</v>
      </c>
      <c r="B977">
        <f t="shared" si="60"/>
        <v>2026</v>
      </c>
      <c r="C977">
        <f t="shared" si="61"/>
        <v>6</v>
      </c>
      <c r="D977" t="str">
        <f t="shared" si="62"/>
        <v>junho</v>
      </c>
      <c r="E977" t="str">
        <f t="shared" si="63"/>
        <v>2026-06</v>
      </c>
    </row>
    <row r="978" spans="1:5" x14ac:dyDescent="0.3">
      <c r="A978" s="1" t="d">
        <v>2026-06-03</v>
      </c>
      <c r="B978">
        <f t="shared" si="60"/>
        <v>2026</v>
      </c>
      <c r="C978">
        <f t="shared" si="61"/>
        <v>6</v>
      </c>
      <c r="D978" t="str">
        <f t="shared" si="62"/>
        <v>junho</v>
      </c>
      <c r="E978" t="str">
        <f t="shared" si="63"/>
        <v>2026-06</v>
      </c>
    </row>
    <row r="979" spans="1:5" x14ac:dyDescent="0.3">
      <c r="A979" s="1" t="d">
        <v>2026-06-04</v>
      </c>
      <c r="B979">
        <f t="shared" si="60"/>
        <v>2026</v>
      </c>
      <c r="C979">
        <f t="shared" si="61"/>
        <v>6</v>
      </c>
      <c r="D979" t="str">
        <f t="shared" si="62"/>
        <v>junho</v>
      </c>
      <c r="E979" t="str">
        <f t="shared" si="63"/>
        <v>2026-06</v>
      </c>
    </row>
    <row r="980" spans="1:5" x14ac:dyDescent="0.3">
      <c r="A980" s="1" t="d">
        <v>2026-06-05</v>
      </c>
      <c r="B980">
        <f t="shared" si="60"/>
        <v>2026</v>
      </c>
      <c r="C980">
        <f t="shared" si="61"/>
        <v>6</v>
      </c>
      <c r="D980" t="str">
        <f t="shared" si="62"/>
        <v>junho</v>
      </c>
      <c r="E980" t="str">
        <f t="shared" si="63"/>
        <v>2026-06</v>
      </c>
    </row>
    <row r="981" spans="1:5" x14ac:dyDescent="0.3">
      <c r="A981" s="1" t="d">
        <v>2026-06-06</v>
      </c>
      <c r="B981">
        <f t="shared" si="60"/>
        <v>2026</v>
      </c>
      <c r="C981">
        <f t="shared" si="61"/>
        <v>6</v>
      </c>
      <c r="D981" t="str">
        <f t="shared" si="62"/>
        <v>junho</v>
      </c>
      <c r="E981" t="str">
        <f t="shared" si="63"/>
        <v>2026-06</v>
      </c>
    </row>
    <row r="982" spans="1:5" x14ac:dyDescent="0.3">
      <c r="A982" s="1" t="d">
        <v>2026-06-07</v>
      </c>
      <c r="B982">
        <f t="shared" si="60"/>
        <v>2026</v>
      </c>
      <c r="C982">
        <f t="shared" si="61"/>
        <v>6</v>
      </c>
      <c r="D982" t="str">
        <f t="shared" si="62"/>
        <v>junho</v>
      </c>
      <c r="E982" t="str">
        <f t="shared" si="63"/>
        <v>2026-06</v>
      </c>
    </row>
    <row r="983" spans="1:5" x14ac:dyDescent="0.3">
      <c r="A983" s="1" t="d">
        <v>2026-06-08</v>
      </c>
      <c r="B983">
        <f t="shared" si="60"/>
        <v>2026</v>
      </c>
      <c r="C983">
        <f t="shared" si="61"/>
        <v>6</v>
      </c>
      <c r="D983" t="str">
        <f t="shared" si="62"/>
        <v>junho</v>
      </c>
      <c r="E983" t="str">
        <f t="shared" si="63"/>
        <v>2026-06</v>
      </c>
    </row>
    <row r="984" spans="1:5" x14ac:dyDescent="0.3">
      <c r="A984" s="1" t="d">
        <v>2026-06-09</v>
      </c>
      <c r="B984">
        <f t="shared" si="60"/>
        <v>2026</v>
      </c>
      <c r="C984">
        <f t="shared" si="61"/>
        <v>6</v>
      </c>
      <c r="D984" t="str">
        <f t="shared" si="62"/>
        <v>junho</v>
      </c>
      <c r="E984" t="str">
        <f t="shared" si="63"/>
        <v>2026-06</v>
      </c>
    </row>
    <row r="985" spans="1:5" x14ac:dyDescent="0.3">
      <c r="A985" s="1" t="d">
        <v>2026-06-10</v>
      </c>
      <c r="B985">
        <f t="shared" si="60"/>
        <v>2026</v>
      </c>
      <c r="C985">
        <f t="shared" si="61"/>
        <v>6</v>
      </c>
      <c r="D985" t="str">
        <f t="shared" si="62"/>
        <v>junho</v>
      </c>
      <c r="E985" t="str">
        <f t="shared" si="63"/>
        <v>2026-06</v>
      </c>
    </row>
    <row r="986" spans="1:5" x14ac:dyDescent="0.3">
      <c r="A986" s="1" t="d">
        <v>2026-06-11</v>
      </c>
      <c r="B986">
        <f t="shared" si="60"/>
        <v>2026</v>
      </c>
      <c r="C986">
        <f t="shared" si="61"/>
        <v>6</v>
      </c>
      <c r="D986" t="str">
        <f t="shared" si="62"/>
        <v>junho</v>
      </c>
      <c r="E986" t="str">
        <f t="shared" si="63"/>
        <v>2026-06</v>
      </c>
    </row>
    <row r="987" spans="1:5" x14ac:dyDescent="0.3">
      <c r="A987" s="1" t="d">
        <v>2026-06-12</v>
      </c>
      <c r="B987">
        <f t="shared" si="60"/>
        <v>2026</v>
      </c>
      <c r="C987">
        <f t="shared" si="61"/>
        <v>6</v>
      </c>
      <c r="D987" t="str">
        <f t="shared" si="62"/>
        <v>junho</v>
      </c>
      <c r="E987" t="str">
        <f t="shared" si="63"/>
        <v>2026-06</v>
      </c>
    </row>
    <row r="988" spans="1:5" x14ac:dyDescent="0.3">
      <c r="A988" s="1" t="d">
        <v>2026-06-13</v>
      </c>
      <c r="B988">
        <f t="shared" si="60"/>
        <v>2026</v>
      </c>
      <c r="C988">
        <f t="shared" si="61"/>
        <v>6</v>
      </c>
      <c r="D988" t="str">
        <f t="shared" si="62"/>
        <v>junho</v>
      </c>
      <c r="E988" t="str">
        <f t="shared" si="63"/>
        <v>2026-06</v>
      </c>
    </row>
    <row r="989" spans="1:5" x14ac:dyDescent="0.3">
      <c r="A989" s="1" t="d">
        <v>2026-06-14</v>
      </c>
      <c r="B989">
        <f t="shared" si="60"/>
        <v>2026</v>
      </c>
      <c r="C989">
        <f t="shared" si="61"/>
        <v>6</v>
      </c>
      <c r="D989" t="str">
        <f t="shared" si="62"/>
        <v>junho</v>
      </c>
      <c r="E989" t="str">
        <f t="shared" si="63"/>
        <v>2026-06</v>
      </c>
    </row>
    <row r="990" spans="1:5" x14ac:dyDescent="0.3">
      <c r="A990" s="1" t="d">
        <v>2026-06-15</v>
      </c>
      <c r="B990">
        <f t="shared" si="60"/>
        <v>2026</v>
      </c>
      <c r="C990">
        <f t="shared" si="61"/>
        <v>6</v>
      </c>
      <c r="D990" t="str">
        <f t="shared" si="62"/>
        <v>junho</v>
      </c>
      <c r="E990" t="str">
        <f t="shared" si="63"/>
        <v>2026-06</v>
      </c>
    </row>
    <row r="991" spans="1:5" x14ac:dyDescent="0.3">
      <c r="A991" s="1" t="d">
        <v>2026-06-16</v>
      </c>
      <c r="B991">
        <f t="shared" si="60"/>
        <v>2026</v>
      </c>
      <c r="C991">
        <f t="shared" si="61"/>
        <v>6</v>
      </c>
      <c r="D991" t="str">
        <f t="shared" si="62"/>
        <v>junho</v>
      </c>
      <c r="E991" t="str">
        <f t="shared" si="63"/>
        <v>2026-06</v>
      </c>
    </row>
    <row r="992" spans="1:5" x14ac:dyDescent="0.3">
      <c r="A992" s="1" t="d">
        <v>2026-06-17</v>
      </c>
      <c r="B992">
        <f t="shared" si="60"/>
        <v>2026</v>
      </c>
      <c r="C992">
        <f t="shared" si="61"/>
        <v>6</v>
      </c>
      <c r="D992" t="str">
        <f t="shared" si="62"/>
        <v>junho</v>
      </c>
      <c r="E992" t="str">
        <f t="shared" si="63"/>
        <v>2026-06</v>
      </c>
    </row>
    <row r="993" spans="1:5" x14ac:dyDescent="0.3">
      <c r="A993" s="1" t="d">
        <v>2026-06-18</v>
      </c>
      <c r="B993">
        <f t="shared" si="60"/>
        <v>2026</v>
      </c>
      <c r="C993">
        <f t="shared" si="61"/>
        <v>6</v>
      </c>
      <c r="D993" t="str">
        <f t="shared" si="62"/>
        <v>junho</v>
      </c>
      <c r="E993" t="str">
        <f t="shared" si="63"/>
        <v>2026-06</v>
      </c>
    </row>
    <row r="994" spans="1:5" x14ac:dyDescent="0.3">
      <c r="A994" s="1" t="d">
        <v>2026-06-19</v>
      </c>
      <c r="B994">
        <f t="shared" si="60"/>
        <v>2026</v>
      </c>
      <c r="C994">
        <f t="shared" si="61"/>
        <v>6</v>
      </c>
      <c r="D994" t="str">
        <f t="shared" si="62"/>
        <v>junho</v>
      </c>
      <c r="E994" t="str">
        <f t="shared" si="63"/>
        <v>2026-06</v>
      </c>
    </row>
    <row r="995" spans="1:5" x14ac:dyDescent="0.3">
      <c r="A995" s="1" t="d">
        <v>2026-06-20</v>
      </c>
      <c r="B995">
        <f t="shared" si="60"/>
        <v>2026</v>
      </c>
      <c r="C995">
        <f t="shared" si="61"/>
        <v>6</v>
      </c>
      <c r="D995" t="str">
        <f t="shared" si="62"/>
        <v>junho</v>
      </c>
      <c r="E995" t="str">
        <f t="shared" si="63"/>
        <v>2026-06</v>
      </c>
    </row>
    <row r="996" spans="1:5" x14ac:dyDescent="0.3">
      <c r="A996" s="1" t="d">
        <v>2026-06-21</v>
      </c>
      <c r="B996">
        <f t="shared" si="60"/>
        <v>2026</v>
      </c>
      <c r="C996">
        <f t="shared" si="61"/>
        <v>6</v>
      </c>
      <c r="D996" t="str">
        <f t="shared" si="62"/>
        <v>junho</v>
      </c>
      <c r="E996" t="str">
        <f t="shared" si="63"/>
        <v>2026-06</v>
      </c>
    </row>
    <row r="997" spans="1:5" x14ac:dyDescent="0.3">
      <c r="A997" s="1" t="d">
        <v>2026-06-22</v>
      </c>
      <c r="B997">
        <f t="shared" si="60"/>
        <v>2026</v>
      </c>
      <c r="C997">
        <f t="shared" si="61"/>
        <v>6</v>
      </c>
      <c r="D997" t="str">
        <f t="shared" si="62"/>
        <v>junho</v>
      </c>
      <c r="E997" t="str">
        <f t="shared" si="63"/>
        <v>2026-06</v>
      </c>
    </row>
    <row r="998" spans="1:5" x14ac:dyDescent="0.3">
      <c r="A998" s="1" t="d">
        <v>2026-06-23</v>
      </c>
      <c r="B998">
        <f t="shared" si="60"/>
        <v>2026</v>
      </c>
      <c r="C998">
        <f t="shared" si="61"/>
        <v>6</v>
      </c>
      <c r="D998" t="str">
        <f t="shared" si="62"/>
        <v>junho</v>
      </c>
      <c r="E998" t="str">
        <f t="shared" si="63"/>
        <v>2026-06</v>
      </c>
    </row>
    <row r="999" spans="1:5" x14ac:dyDescent="0.3">
      <c r="A999" s="1" t="d">
        <v>2026-06-24</v>
      </c>
      <c r="B999">
        <f t="shared" si="60"/>
        <v>2026</v>
      </c>
      <c r="C999">
        <f t="shared" si="61"/>
        <v>6</v>
      </c>
      <c r="D999" t="str">
        <f t="shared" si="62"/>
        <v>junho</v>
      </c>
      <c r="E999" t="str">
        <f t="shared" si="63"/>
        <v>2026-06</v>
      </c>
    </row>
    <row r="1000" spans="1:5" x14ac:dyDescent="0.3">
      <c r="A1000" s="1" t="d">
        <v>2026-06-25</v>
      </c>
      <c r="B1000">
        <f t="shared" si="60"/>
        <v>2026</v>
      </c>
      <c r="C1000">
        <f t="shared" si="61"/>
        <v>6</v>
      </c>
      <c r="D1000" t="str">
        <f t="shared" si="62"/>
        <v>junho</v>
      </c>
      <c r="E1000" t="str">
        <f t="shared" si="63"/>
        <v>2026-06</v>
      </c>
    </row>
    <row r="1001" spans="1:5" x14ac:dyDescent="0.3">
      <c r="A1001" s="1" t="d">
        <v>2026-06-26</v>
      </c>
      <c r="B1001">
        <f t="shared" si="60"/>
        <v>2026</v>
      </c>
      <c r="C1001">
        <f t="shared" si="61"/>
        <v>6</v>
      </c>
      <c r="D1001" t="str">
        <f t="shared" si="62"/>
        <v>junho</v>
      </c>
      <c r="E1001" t="str">
        <f t="shared" si="63"/>
        <v>2026-06</v>
      </c>
    </row>
    <row r="1002" spans="1:5" x14ac:dyDescent="0.3">
      <c r="A1002" s="1" t="d">
        <v>2026-06-27</v>
      </c>
      <c r="B1002">
        <f t="shared" si="60"/>
        <v>2026</v>
      </c>
      <c r="C1002">
        <f t="shared" si="61"/>
        <v>6</v>
      </c>
      <c r="D1002" t="str">
        <f t="shared" si="62"/>
        <v>junho</v>
      </c>
      <c r="E1002" t="str">
        <f t="shared" si="63"/>
        <v>2026-06</v>
      </c>
    </row>
    <row r="1003" spans="1:5" x14ac:dyDescent="0.3">
      <c r="A1003" s="1" t="d">
        <v>2026-06-28</v>
      </c>
      <c r="B1003">
        <f t="shared" si="60"/>
        <v>2026</v>
      </c>
      <c r="C1003">
        <f t="shared" si="61"/>
        <v>6</v>
      </c>
      <c r="D1003" t="str">
        <f t="shared" si="62"/>
        <v>junho</v>
      </c>
      <c r="E1003" t="str">
        <f t="shared" si="63"/>
        <v>2026-06</v>
      </c>
    </row>
    <row r="1004" spans="1:5" x14ac:dyDescent="0.3">
      <c r="A1004" s="1" t="d">
        <v>2026-06-29</v>
      </c>
      <c r="B1004">
        <f t="shared" si="60"/>
        <v>2026</v>
      </c>
      <c r="C1004">
        <f t="shared" si="61"/>
        <v>6</v>
      </c>
      <c r="D1004" t="str">
        <f t="shared" si="62"/>
        <v>junho</v>
      </c>
      <c r="E1004" t="str">
        <f t="shared" si="63"/>
        <v>2026-06</v>
      </c>
    </row>
    <row r="1005" spans="1:5" x14ac:dyDescent="0.3">
      <c r="A1005" s="1" t="d">
        <v>2026-06-30</v>
      </c>
      <c r="B1005">
        <f t="shared" si="60"/>
        <v>2026</v>
      </c>
      <c r="C1005">
        <f t="shared" si="61"/>
        <v>6</v>
      </c>
      <c r="D1005" t="str">
        <f t="shared" si="62"/>
        <v>junho</v>
      </c>
      <c r="E1005" t="str">
        <f t="shared" si="63"/>
        <v>2026-06</v>
      </c>
    </row>
    <row r="1006" spans="1:5" x14ac:dyDescent="0.3">
      <c r="A1006" s="1" t="d">
        <v>2026-07-01</v>
      </c>
      <c r="B1006">
        <f t="shared" si="60"/>
        <v>2026</v>
      </c>
      <c r="C1006">
        <f t="shared" si="61"/>
        <v>7</v>
      </c>
      <c r="D1006" t="str">
        <f t="shared" si="62"/>
        <v>julho</v>
      </c>
      <c r="E1006" t="str">
        <f t="shared" si="63"/>
        <v>2026-07</v>
      </c>
    </row>
    <row r="1007" spans="1:5" x14ac:dyDescent="0.3">
      <c r="A1007" s="1" t="d">
        <v>2026-07-02</v>
      </c>
      <c r="B1007">
        <f t="shared" si="60"/>
        <v>2026</v>
      </c>
      <c r="C1007">
        <f t="shared" si="61"/>
        <v>7</v>
      </c>
      <c r="D1007" t="str">
        <f t="shared" si="62"/>
        <v>julho</v>
      </c>
      <c r="E1007" t="str">
        <f t="shared" si="63"/>
        <v>2026-07</v>
      </c>
    </row>
    <row r="1008" spans="1:5" x14ac:dyDescent="0.3">
      <c r="A1008" s="1" t="d">
        <v>2026-07-03</v>
      </c>
      <c r="B1008">
        <f t="shared" si="60"/>
        <v>2026</v>
      </c>
      <c r="C1008">
        <f t="shared" si="61"/>
        <v>7</v>
      </c>
      <c r="D1008" t="str">
        <f t="shared" si="62"/>
        <v>julho</v>
      </c>
      <c r="E1008" t="str">
        <f t="shared" si="63"/>
        <v>2026-07</v>
      </c>
    </row>
    <row r="1009" spans="1:5" x14ac:dyDescent="0.3">
      <c r="A1009" s="1" t="d">
        <v>2026-07-04</v>
      </c>
      <c r="B1009">
        <f t="shared" si="60"/>
        <v>2026</v>
      </c>
      <c r="C1009">
        <f t="shared" si="61"/>
        <v>7</v>
      </c>
      <c r="D1009" t="str">
        <f t="shared" si="62"/>
        <v>julho</v>
      </c>
      <c r="E1009" t="str">
        <f t="shared" si="63"/>
        <v>2026-07</v>
      </c>
    </row>
    <row r="1010" spans="1:5" x14ac:dyDescent="0.3">
      <c r="A1010" s="1" t="d">
        <v>2026-07-05</v>
      </c>
      <c r="B1010">
        <f t="shared" si="60"/>
        <v>2026</v>
      </c>
      <c r="C1010">
        <f t="shared" si="61"/>
        <v>7</v>
      </c>
      <c r="D1010" t="str">
        <f t="shared" si="62"/>
        <v>julho</v>
      </c>
      <c r="E1010" t="str">
        <f t="shared" si="63"/>
        <v>2026-07</v>
      </c>
    </row>
    <row r="1011" spans="1:5" x14ac:dyDescent="0.3">
      <c r="A1011" s="1" t="d">
        <v>2026-07-06</v>
      </c>
      <c r="B1011">
        <f t="shared" si="60"/>
        <v>2026</v>
      </c>
      <c r="C1011">
        <f t="shared" si="61"/>
        <v>7</v>
      </c>
      <c r="D1011" t="str">
        <f t="shared" si="62"/>
        <v>julho</v>
      </c>
      <c r="E1011" t="str">
        <f t="shared" si="63"/>
        <v>2026-07</v>
      </c>
    </row>
    <row r="1012" spans="1:5" x14ac:dyDescent="0.3">
      <c r="A1012" s="1" t="d">
        <v>2026-07-07</v>
      </c>
      <c r="B1012">
        <f t="shared" si="60"/>
        <v>2026</v>
      </c>
      <c r="C1012">
        <f t="shared" si="61"/>
        <v>7</v>
      </c>
      <c r="D1012" t="str">
        <f t="shared" si="62"/>
        <v>julho</v>
      </c>
      <c r="E1012" t="str">
        <f t="shared" si="63"/>
        <v>2026-07</v>
      </c>
    </row>
    <row r="1013" spans="1:5" x14ac:dyDescent="0.3">
      <c r="A1013" s="1" t="d">
        <v>2026-07-08</v>
      </c>
      <c r="B1013">
        <f t="shared" si="60"/>
        <v>2026</v>
      </c>
      <c r="C1013">
        <f t="shared" si="61"/>
        <v>7</v>
      </c>
      <c r="D1013" t="str">
        <f t="shared" si="62"/>
        <v>julho</v>
      </c>
      <c r="E1013" t="str">
        <f t="shared" si="63"/>
        <v>2026-07</v>
      </c>
    </row>
    <row r="1014" spans="1:5" x14ac:dyDescent="0.3">
      <c r="A1014" s="1" t="d">
        <v>2026-07-09</v>
      </c>
      <c r="B1014">
        <f t="shared" si="60"/>
        <v>2026</v>
      </c>
      <c r="C1014">
        <f t="shared" si="61"/>
        <v>7</v>
      </c>
      <c r="D1014" t="str">
        <f t="shared" si="62"/>
        <v>julho</v>
      </c>
      <c r="E1014" t="str">
        <f t="shared" si="63"/>
        <v>2026-07</v>
      </c>
    </row>
    <row r="1015" spans="1:5" x14ac:dyDescent="0.3">
      <c r="A1015" s="1" t="d">
        <v>2026-07-10</v>
      </c>
      <c r="B1015">
        <f t="shared" si="60"/>
        <v>2026</v>
      </c>
      <c r="C1015">
        <f t="shared" si="61"/>
        <v>7</v>
      </c>
      <c r="D1015" t="str">
        <f t="shared" si="62"/>
        <v>julho</v>
      </c>
      <c r="E1015" t="str">
        <f t="shared" si="63"/>
        <v>2026-07</v>
      </c>
    </row>
    <row r="1016" spans="1:5" x14ac:dyDescent="0.3">
      <c r="A1016" s="1" t="d">
        <v>2026-07-11</v>
      </c>
      <c r="B1016">
        <f t="shared" si="60"/>
        <v>2026</v>
      </c>
      <c r="C1016">
        <f t="shared" si="61"/>
        <v>7</v>
      </c>
      <c r="D1016" t="str">
        <f t="shared" si="62"/>
        <v>julho</v>
      </c>
      <c r="E1016" t="str">
        <f t="shared" si="63"/>
        <v>2026-07</v>
      </c>
    </row>
    <row r="1017" spans="1:5" x14ac:dyDescent="0.3">
      <c r="A1017" s="1" t="d">
        <v>2026-07-12</v>
      </c>
      <c r="B1017">
        <f t="shared" si="60"/>
        <v>2026</v>
      </c>
      <c r="C1017">
        <f t="shared" si="61"/>
        <v>7</v>
      </c>
      <c r="D1017" t="str">
        <f t="shared" si="62"/>
        <v>julho</v>
      </c>
      <c r="E1017" t="str">
        <f t="shared" si="63"/>
        <v>2026-07</v>
      </c>
    </row>
    <row r="1018" spans="1:5" x14ac:dyDescent="0.3">
      <c r="A1018" s="1" t="d">
        <v>2026-07-13</v>
      </c>
      <c r="B1018">
        <f t="shared" si="60"/>
        <v>2026</v>
      </c>
      <c r="C1018">
        <f t="shared" si="61"/>
        <v>7</v>
      </c>
      <c r="D1018" t="str">
        <f t="shared" si="62"/>
        <v>julho</v>
      </c>
      <c r="E1018" t="str">
        <f t="shared" si="63"/>
        <v>2026-07</v>
      </c>
    </row>
    <row r="1019" spans="1:5" x14ac:dyDescent="0.3">
      <c r="A1019" s="1" t="d">
        <v>2026-07-14</v>
      </c>
      <c r="B1019">
        <f t="shared" si="60"/>
        <v>2026</v>
      </c>
      <c r="C1019">
        <f t="shared" si="61"/>
        <v>7</v>
      </c>
      <c r="D1019" t="str">
        <f t="shared" si="62"/>
        <v>julho</v>
      </c>
      <c r="E1019" t="str">
        <f t="shared" si="63"/>
        <v>2026-07</v>
      </c>
    </row>
    <row r="1020" spans="1:5" x14ac:dyDescent="0.3">
      <c r="A1020" s="1" t="d">
        <v>2026-07-15</v>
      </c>
      <c r="B1020">
        <f t="shared" si="60"/>
        <v>2026</v>
      </c>
      <c r="C1020">
        <f t="shared" si="61"/>
        <v>7</v>
      </c>
      <c r="D1020" t="str">
        <f t="shared" si="62"/>
        <v>julho</v>
      </c>
      <c r="E1020" t="str">
        <f t="shared" si="63"/>
        <v>2026-07</v>
      </c>
    </row>
    <row r="1021" spans="1:5" x14ac:dyDescent="0.3">
      <c r="A1021" s="1" t="d">
        <v>2026-07-16</v>
      </c>
      <c r="B1021">
        <f t="shared" si="60"/>
        <v>2026</v>
      </c>
      <c r="C1021">
        <f t="shared" si="61"/>
        <v>7</v>
      </c>
      <c r="D1021" t="str">
        <f t="shared" si="62"/>
        <v>julho</v>
      </c>
      <c r="E1021" t="str">
        <f t="shared" si="63"/>
        <v>2026-07</v>
      </c>
    </row>
    <row r="1022" spans="1:5" x14ac:dyDescent="0.3">
      <c r="A1022" s="1" t="d">
        <v>2026-07-17</v>
      </c>
      <c r="B1022">
        <f t="shared" si="60"/>
        <v>2026</v>
      </c>
      <c r="C1022">
        <f t="shared" si="61"/>
        <v>7</v>
      </c>
      <c r="D1022" t="str">
        <f t="shared" si="62"/>
        <v>julho</v>
      </c>
      <c r="E1022" t="str">
        <f t="shared" si="63"/>
        <v>2026-07</v>
      </c>
    </row>
    <row r="1023" spans="1:5" x14ac:dyDescent="0.3">
      <c r="A1023" s="1" t="d">
        <v>2026-07-18</v>
      </c>
      <c r="B1023">
        <f t="shared" si="60"/>
        <v>2026</v>
      </c>
      <c r="C1023">
        <f t="shared" si="61"/>
        <v>7</v>
      </c>
      <c r="D1023" t="str">
        <f t="shared" si="62"/>
        <v>julho</v>
      </c>
      <c r="E1023" t="str">
        <f t="shared" si="63"/>
        <v>2026-07</v>
      </c>
    </row>
    <row r="1024" spans="1:5" x14ac:dyDescent="0.3">
      <c r="A1024" s="1" t="d">
        <v>2026-07-19</v>
      </c>
      <c r="B1024">
        <f t="shared" si="60"/>
        <v>2026</v>
      </c>
      <c r="C1024">
        <f t="shared" si="61"/>
        <v>7</v>
      </c>
      <c r="D1024" t="str">
        <f t="shared" si="62"/>
        <v>julho</v>
      </c>
      <c r="E1024" t="str">
        <f t="shared" si="63"/>
        <v>2026-07</v>
      </c>
    </row>
    <row r="1025" spans="1:5" x14ac:dyDescent="0.3">
      <c r="A1025" s="1" t="d">
        <v>2026-07-20</v>
      </c>
      <c r="B1025">
        <f t="shared" si="60"/>
        <v>2026</v>
      </c>
      <c r="C1025">
        <f t="shared" si="61"/>
        <v>7</v>
      </c>
      <c r="D1025" t="str">
        <f t="shared" si="62"/>
        <v>julho</v>
      </c>
      <c r="E1025" t="str">
        <f t="shared" si="63"/>
        <v>2026-07</v>
      </c>
    </row>
    <row r="1026" spans="1:5" x14ac:dyDescent="0.3">
      <c r="A1026" s="1" t="d">
        <v>2026-07-21</v>
      </c>
      <c r="B1026">
        <f t="shared" si="60"/>
        <v>2026</v>
      </c>
      <c r="C1026">
        <f t="shared" si="61"/>
        <v>7</v>
      </c>
      <c r="D1026" t="str">
        <f t="shared" si="62"/>
        <v>julho</v>
      </c>
      <c r="E1026" t="str">
        <f t="shared" si="63"/>
        <v>2026-07</v>
      </c>
    </row>
    <row r="1027" spans="1:5" x14ac:dyDescent="0.3">
      <c r="A1027" s="1" t="d">
        <v>2026-07-22</v>
      </c>
      <c r="B1027">
        <f t="shared" ref="B1027:B1090" si="64">YEAR(A1027)</f>
        <v>2026</v>
      </c>
      <c r="C1027">
        <f t="shared" ref="C1027:C1090" si="65">MONTH(A1027)</f>
        <v>7</v>
      </c>
      <c r="D1027" t="str">
        <f t="shared" ref="D1027:D1090" si="66">TEXT(A1027, "mmmm")</f>
        <v>julho</v>
      </c>
      <c r="E1027" t="str">
        <f t="shared" ref="E1027:E1090" si="67">TEXT(A1027, "aaaa-mm")</f>
        <v>2026-07</v>
      </c>
    </row>
    <row r="1028" spans="1:5" x14ac:dyDescent="0.3">
      <c r="A1028" s="1" t="d">
        <v>2026-07-23</v>
      </c>
      <c r="B1028">
        <f t="shared" si="64"/>
        <v>2026</v>
      </c>
      <c r="C1028">
        <f t="shared" si="65"/>
        <v>7</v>
      </c>
      <c r="D1028" t="str">
        <f t="shared" si="66"/>
        <v>julho</v>
      </c>
      <c r="E1028" t="str">
        <f t="shared" si="67"/>
        <v>2026-07</v>
      </c>
    </row>
    <row r="1029" spans="1:5" x14ac:dyDescent="0.3">
      <c r="A1029" s="1" t="d">
        <v>2026-07-24</v>
      </c>
      <c r="B1029">
        <f t="shared" si="64"/>
        <v>2026</v>
      </c>
      <c r="C1029">
        <f t="shared" si="65"/>
        <v>7</v>
      </c>
      <c r="D1029" t="str">
        <f t="shared" si="66"/>
        <v>julho</v>
      </c>
      <c r="E1029" t="str">
        <f t="shared" si="67"/>
        <v>2026-07</v>
      </c>
    </row>
    <row r="1030" spans="1:5" x14ac:dyDescent="0.3">
      <c r="A1030" s="1" t="d">
        <v>2026-07-25</v>
      </c>
      <c r="B1030">
        <f t="shared" si="64"/>
        <v>2026</v>
      </c>
      <c r="C1030">
        <f t="shared" si="65"/>
        <v>7</v>
      </c>
      <c r="D1030" t="str">
        <f t="shared" si="66"/>
        <v>julho</v>
      </c>
      <c r="E1030" t="str">
        <f t="shared" si="67"/>
        <v>2026-07</v>
      </c>
    </row>
    <row r="1031" spans="1:5" x14ac:dyDescent="0.3">
      <c r="A1031" s="1" t="d">
        <v>2026-07-26</v>
      </c>
      <c r="B1031">
        <f t="shared" si="64"/>
        <v>2026</v>
      </c>
      <c r="C1031">
        <f t="shared" si="65"/>
        <v>7</v>
      </c>
      <c r="D1031" t="str">
        <f t="shared" si="66"/>
        <v>julho</v>
      </c>
      <c r="E1031" t="str">
        <f t="shared" si="67"/>
        <v>2026-07</v>
      </c>
    </row>
    <row r="1032" spans="1:5" x14ac:dyDescent="0.3">
      <c r="A1032" s="1" t="d">
        <v>2026-07-27</v>
      </c>
      <c r="B1032">
        <f t="shared" si="64"/>
        <v>2026</v>
      </c>
      <c r="C1032">
        <f t="shared" si="65"/>
        <v>7</v>
      </c>
      <c r="D1032" t="str">
        <f t="shared" si="66"/>
        <v>julho</v>
      </c>
      <c r="E1032" t="str">
        <f t="shared" si="67"/>
        <v>2026-07</v>
      </c>
    </row>
    <row r="1033" spans="1:5" x14ac:dyDescent="0.3">
      <c r="A1033" s="1" t="d">
        <v>2026-07-28</v>
      </c>
      <c r="B1033">
        <f t="shared" si="64"/>
        <v>2026</v>
      </c>
      <c r="C1033">
        <f t="shared" si="65"/>
        <v>7</v>
      </c>
      <c r="D1033" t="str">
        <f t="shared" si="66"/>
        <v>julho</v>
      </c>
      <c r="E1033" t="str">
        <f t="shared" si="67"/>
        <v>2026-07</v>
      </c>
    </row>
    <row r="1034" spans="1:5" x14ac:dyDescent="0.3">
      <c r="A1034" s="1" t="d">
        <v>2026-07-29</v>
      </c>
      <c r="B1034">
        <f t="shared" si="64"/>
        <v>2026</v>
      </c>
      <c r="C1034">
        <f t="shared" si="65"/>
        <v>7</v>
      </c>
      <c r="D1034" t="str">
        <f t="shared" si="66"/>
        <v>julho</v>
      </c>
      <c r="E1034" t="str">
        <f t="shared" si="67"/>
        <v>2026-07</v>
      </c>
    </row>
    <row r="1035" spans="1:5" x14ac:dyDescent="0.3">
      <c r="A1035" s="1" t="d">
        <v>2026-07-30</v>
      </c>
      <c r="B1035">
        <f t="shared" si="64"/>
        <v>2026</v>
      </c>
      <c r="C1035">
        <f t="shared" si="65"/>
        <v>7</v>
      </c>
      <c r="D1035" t="str">
        <f t="shared" si="66"/>
        <v>julho</v>
      </c>
      <c r="E1035" t="str">
        <f t="shared" si="67"/>
        <v>2026-07</v>
      </c>
    </row>
    <row r="1036" spans="1:5" x14ac:dyDescent="0.3">
      <c r="A1036" s="1" t="d">
        <v>2026-07-31</v>
      </c>
      <c r="B1036">
        <f t="shared" si="64"/>
        <v>2026</v>
      </c>
      <c r="C1036">
        <f t="shared" si="65"/>
        <v>7</v>
      </c>
      <c r="D1036" t="str">
        <f t="shared" si="66"/>
        <v>julho</v>
      </c>
      <c r="E1036" t="str">
        <f t="shared" si="67"/>
        <v>2026-07</v>
      </c>
    </row>
    <row r="1037" spans="1:5" x14ac:dyDescent="0.3">
      <c r="A1037" s="1" t="d">
        <v>2026-08-01</v>
      </c>
      <c r="B1037">
        <f t="shared" si="64"/>
        <v>2026</v>
      </c>
      <c r="C1037">
        <f t="shared" si="65"/>
        <v>8</v>
      </c>
      <c r="D1037" t="str">
        <f t="shared" si="66"/>
        <v>agosto</v>
      </c>
      <c r="E1037" t="str">
        <f t="shared" si="67"/>
        <v>2026-08</v>
      </c>
    </row>
    <row r="1038" spans="1:5" x14ac:dyDescent="0.3">
      <c r="A1038" s="1" t="d">
        <v>2026-08-02</v>
      </c>
      <c r="B1038">
        <f t="shared" si="64"/>
        <v>2026</v>
      </c>
      <c r="C1038">
        <f t="shared" si="65"/>
        <v>8</v>
      </c>
      <c r="D1038" t="str">
        <f t="shared" si="66"/>
        <v>agosto</v>
      </c>
      <c r="E1038" t="str">
        <f t="shared" si="67"/>
        <v>2026-08</v>
      </c>
    </row>
    <row r="1039" spans="1:5" x14ac:dyDescent="0.3">
      <c r="A1039" s="1" t="d">
        <v>2026-08-03</v>
      </c>
      <c r="B1039">
        <f t="shared" si="64"/>
        <v>2026</v>
      </c>
      <c r="C1039">
        <f t="shared" si="65"/>
        <v>8</v>
      </c>
      <c r="D1039" t="str">
        <f t="shared" si="66"/>
        <v>agosto</v>
      </c>
      <c r="E1039" t="str">
        <f t="shared" si="67"/>
        <v>2026-08</v>
      </c>
    </row>
    <row r="1040" spans="1:5" x14ac:dyDescent="0.3">
      <c r="A1040" s="1" t="d">
        <v>2026-08-04</v>
      </c>
      <c r="B1040">
        <f t="shared" si="64"/>
        <v>2026</v>
      </c>
      <c r="C1040">
        <f t="shared" si="65"/>
        <v>8</v>
      </c>
      <c r="D1040" t="str">
        <f t="shared" si="66"/>
        <v>agosto</v>
      </c>
      <c r="E1040" t="str">
        <f t="shared" si="67"/>
        <v>2026-08</v>
      </c>
    </row>
    <row r="1041" spans="1:5" x14ac:dyDescent="0.3">
      <c r="A1041" s="1" t="d">
        <v>2026-08-05</v>
      </c>
      <c r="B1041">
        <f t="shared" si="64"/>
        <v>2026</v>
      </c>
      <c r="C1041">
        <f t="shared" si="65"/>
        <v>8</v>
      </c>
      <c r="D1041" t="str">
        <f t="shared" si="66"/>
        <v>agosto</v>
      </c>
      <c r="E1041" t="str">
        <f t="shared" si="67"/>
        <v>2026-08</v>
      </c>
    </row>
    <row r="1042" spans="1:5" x14ac:dyDescent="0.3">
      <c r="A1042" s="1" t="d">
        <v>2026-08-06</v>
      </c>
      <c r="B1042">
        <f t="shared" si="64"/>
        <v>2026</v>
      </c>
      <c r="C1042">
        <f t="shared" si="65"/>
        <v>8</v>
      </c>
      <c r="D1042" t="str">
        <f t="shared" si="66"/>
        <v>agosto</v>
      </c>
      <c r="E1042" t="str">
        <f t="shared" si="67"/>
        <v>2026-08</v>
      </c>
    </row>
    <row r="1043" spans="1:5" x14ac:dyDescent="0.3">
      <c r="A1043" s="1" t="d">
        <v>2026-08-07</v>
      </c>
      <c r="B1043">
        <f t="shared" si="64"/>
        <v>2026</v>
      </c>
      <c r="C1043">
        <f t="shared" si="65"/>
        <v>8</v>
      </c>
      <c r="D1043" t="str">
        <f t="shared" si="66"/>
        <v>agosto</v>
      </c>
      <c r="E1043" t="str">
        <f t="shared" si="67"/>
        <v>2026-08</v>
      </c>
    </row>
    <row r="1044" spans="1:5" x14ac:dyDescent="0.3">
      <c r="A1044" s="1" t="d">
        <v>2026-08-08</v>
      </c>
      <c r="B1044">
        <f t="shared" si="64"/>
        <v>2026</v>
      </c>
      <c r="C1044">
        <f t="shared" si="65"/>
        <v>8</v>
      </c>
      <c r="D1044" t="str">
        <f t="shared" si="66"/>
        <v>agosto</v>
      </c>
      <c r="E1044" t="str">
        <f t="shared" si="67"/>
        <v>2026-08</v>
      </c>
    </row>
    <row r="1045" spans="1:5" x14ac:dyDescent="0.3">
      <c r="A1045" s="1" t="d">
        <v>2026-08-09</v>
      </c>
      <c r="B1045">
        <f t="shared" si="64"/>
        <v>2026</v>
      </c>
      <c r="C1045">
        <f t="shared" si="65"/>
        <v>8</v>
      </c>
      <c r="D1045" t="str">
        <f t="shared" si="66"/>
        <v>agosto</v>
      </c>
      <c r="E1045" t="str">
        <f t="shared" si="67"/>
        <v>2026-08</v>
      </c>
    </row>
    <row r="1046" spans="1:5" x14ac:dyDescent="0.3">
      <c r="A1046" s="1" t="d">
        <v>2026-08-10</v>
      </c>
      <c r="B1046">
        <f t="shared" si="64"/>
        <v>2026</v>
      </c>
      <c r="C1046">
        <f t="shared" si="65"/>
        <v>8</v>
      </c>
      <c r="D1046" t="str">
        <f t="shared" si="66"/>
        <v>agosto</v>
      </c>
      <c r="E1046" t="str">
        <f t="shared" si="67"/>
        <v>2026-08</v>
      </c>
    </row>
    <row r="1047" spans="1:5" x14ac:dyDescent="0.3">
      <c r="A1047" s="1" t="d">
        <v>2026-08-11</v>
      </c>
      <c r="B1047">
        <f t="shared" si="64"/>
        <v>2026</v>
      </c>
      <c r="C1047">
        <f t="shared" si="65"/>
        <v>8</v>
      </c>
      <c r="D1047" t="str">
        <f t="shared" si="66"/>
        <v>agosto</v>
      </c>
      <c r="E1047" t="str">
        <f t="shared" si="67"/>
        <v>2026-08</v>
      </c>
    </row>
    <row r="1048" spans="1:5" x14ac:dyDescent="0.3">
      <c r="A1048" s="1" t="d">
        <v>2026-08-12</v>
      </c>
      <c r="B1048">
        <f t="shared" si="64"/>
        <v>2026</v>
      </c>
      <c r="C1048">
        <f t="shared" si="65"/>
        <v>8</v>
      </c>
      <c r="D1048" t="str">
        <f t="shared" si="66"/>
        <v>agosto</v>
      </c>
      <c r="E1048" t="str">
        <f t="shared" si="67"/>
        <v>2026-08</v>
      </c>
    </row>
    <row r="1049" spans="1:5" x14ac:dyDescent="0.3">
      <c r="A1049" s="1" t="d">
        <v>2026-08-13</v>
      </c>
      <c r="B1049">
        <f t="shared" si="64"/>
        <v>2026</v>
      </c>
      <c r="C1049">
        <f t="shared" si="65"/>
        <v>8</v>
      </c>
      <c r="D1049" t="str">
        <f t="shared" si="66"/>
        <v>agosto</v>
      </c>
      <c r="E1049" t="str">
        <f t="shared" si="67"/>
        <v>2026-08</v>
      </c>
    </row>
    <row r="1050" spans="1:5" x14ac:dyDescent="0.3">
      <c r="A1050" s="1" t="d">
        <v>2026-08-14</v>
      </c>
      <c r="B1050">
        <f t="shared" si="64"/>
        <v>2026</v>
      </c>
      <c r="C1050">
        <f t="shared" si="65"/>
        <v>8</v>
      </c>
      <c r="D1050" t="str">
        <f t="shared" si="66"/>
        <v>agosto</v>
      </c>
      <c r="E1050" t="str">
        <f t="shared" si="67"/>
        <v>2026-08</v>
      </c>
    </row>
    <row r="1051" spans="1:5" x14ac:dyDescent="0.3">
      <c r="A1051" s="1" t="d">
        <v>2026-08-15</v>
      </c>
      <c r="B1051">
        <f t="shared" si="64"/>
        <v>2026</v>
      </c>
      <c r="C1051">
        <f t="shared" si="65"/>
        <v>8</v>
      </c>
      <c r="D1051" t="str">
        <f t="shared" si="66"/>
        <v>agosto</v>
      </c>
      <c r="E1051" t="str">
        <f t="shared" si="67"/>
        <v>2026-08</v>
      </c>
    </row>
    <row r="1052" spans="1:5" x14ac:dyDescent="0.3">
      <c r="A1052" s="1" t="d">
        <v>2026-08-16</v>
      </c>
      <c r="B1052">
        <f t="shared" si="64"/>
        <v>2026</v>
      </c>
      <c r="C1052">
        <f t="shared" si="65"/>
        <v>8</v>
      </c>
      <c r="D1052" t="str">
        <f t="shared" si="66"/>
        <v>agosto</v>
      </c>
      <c r="E1052" t="str">
        <f t="shared" si="67"/>
        <v>2026-08</v>
      </c>
    </row>
    <row r="1053" spans="1:5" x14ac:dyDescent="0.3">
      <c r="A1053" s="1" t="d">
        <v>2026-08-17</v>
      </c>
      <c r="B1053">
        <f t="shared" si="64"/>
        <v>2026</v>
      </c>
      <c r="C1053">
        <f t="shared" si="65"/>
        <v>8</v>
      </c>
      <c r="D1053" t="str">
        <f t="shared" si="66"/>
        <v>agosto</v>
      </c>
      <c r="E1053" t="str">
        <f t="shared" si="67"/>
        <v>2026-08</v>
      </c>
    </row>
    <row r="1054" spans="1:5" x14ac:dyDescent="0.3">
      <c r="A1054" s="1" t="d">
        <v>2026-08-18</v>
      </c>
      <c r="B1054">
        <f t="shared" si="64"/>
        <v>2026</v>
      </c>
      <c r="C1054">
        <f t="shared" si="65"/>
        <v>8</v>
      </c>
      <c r="D1054" t="str">
        <f t="shared" si="66"/>
        <v>agosto</v>
      </c>
      <c r="E1054" t="str">
        <f t="shared" si="67"/>
        <v>2026-08</v>
      </c>
    </row>
    <row r="1055" spans="1:5" x14ac:dyDescent="0.3">
      <c r="A1055" s="1" t="d">
        <v>2026-08-19</v>
      </c>
      <c r="B1055">
        <f t="shared" si="64"/>
        <v>2026</v>
      </c>
      <c r="C1055">
        <f t="shared" si="65"/>
        <v>8</v>
      </c>
      <c r="D1055" t="str">
        <f t="shared" si="66"/>
        <v>agosto</v>
      </c>
      <c r="E1055" t="str">
        <f t="shared" si="67"/>
        <v>2026-08</v>
      </c>
    </row>
    <row r="1056" spans="1:5" x14ac:dyDescent="0.3">
      <c r="A1056" s="1" t="d">
        <v>2026-08-20</v>
      </c>
      <c r="B1056">
        <f t="shared" si="64"/>
        <v>2026</v>
      </c>
      <c r="C1056">
        <f t="shared" si="65"/>
        <v>8</v>
      </c>
      <c r="D1056" t="str">
        <f t="shared" si="66"/>
        <v>agosto</v>
      </c>
      <c r="E1056" t="str">
        <f t="shared" si="67"/>
        <v>2026-08</v>
      </c>
    </row>
    <row r="1057" spans="1:5" x14ac:dyDescent="0.3">
      <c r="A1057" s="1" t="d">
        <v>2026-08-21</v>
      </c>
      <c r="B1057">
        <f t="shared" si="64"/>
        <v>2026</v>
      </c>
      <c r="C1057">
        <f t="shared" si="65"/>
        <v>8</v>
      </c>
      <c r="D1057" t="str">
        <f t="shared" si="66"/>
        <v>agosto</v>
      </c>
      <c r="E1057" t="str">
        <f t="shared" si="67"/>
        <v>2026-08</v>
      </c>
    </row>
    <row r="1058" spans="1:5" x14ac:dyDescent="0.3">
      <c r="A1058" s="1" t="d">
        <v>2026-08-22</v>
      </c>
      <c r="B1058">
        <f t="shared" si="64"/>
        <v>2026</v>
      </c>
      <c r="C1058">
        <f t="shared" si="65"/>
        <v>8</v>
      </c>
      <c r="D1058" t="str">
        <f t="shared" si="66"/>
        <v>agosto</v>
      </c>
      <c r="E1058" t="str">
        <f t="shared" si="67"/>
        <v>2026-08</v>
      </c>
    </row>
    <row r="1059" spans="1:5" x14ac:dyDescent="0.3">
      <c r="A1059" s="1" t="d">
        <v>2026-08-23</v>
      </c>
      <c r="B1059">
        <f t="shared" si="64"/>
        <v>2026</v>
      </c>
      <c r="C1059">
        <f t="shared" si="65"/>
        <v>8</v>
      </c>
      <c r="D1059" t="str">
        <f t="shared" si="66"/>
        <v>agosto</v>
      </c>
      <c r="E1059" t="str">
        <f t="shared" si="67"/>
        <v>2026-08</v>
      </c>
    </row>
    <row r="1060" spans="1:5" x14ac:dyDescent="0.3">
      <c r="A1060" s="1" t="d">
        <v>2026-08-24</v>
      </c>
      <c r="B1060">
        <f t="shared" si="64"/>
        <v>2026</v>
      </c>
      <c r="C1060">
        <f t="shared" si="65"/>
        <v>8</v>
      </c>
      <c r="D1060" t="str">
        <f t="shared" si="66"/>
        <v>agosto</v>
      </c>
      <c r="E1060" t="str">
        <f t="shared" si="67"/>
        <v>2026-08</v>
      </c>
    </row>
    <row r="1061" spans="1:5" x14ac:dyDescent="0.3">
      <c r="A1061" s="1" t="d">
        <v>2026-08-25</v>
      </c>
      <c r="B1061">
        <f t="shared" si="64"/>
        <v>2026</v>
      </c>
      <c r="C1061">
        <f t="shared" si="65"/>
        <v>8</v>
      </c>
      <c r="D1061" t="str">
        <f t="shared" si="66"/>
        <v>agosto</v>
      </c>
      <c r="E1061" t="str">
        <f t="shared" si="67"/>
        <v>2026-08</v>
      </c>
    </row>
    <row r="1062" spans="1:5" x14ac:dyDescent="0.3">
      <c r="A1062" s="1" t="d">
        <v>2026-08-26</v>
      </c>
      <c r="B1062">
        <f t="shared" si="64"/>
        <v>2026</v>
      </c>
      <c r="C1062">
        <f t="shared" si="65"/>
        <v>8</v>
      </c>
      <c r="D1062" t="str">
        <f t="shared" si="66"/>
        <v>agosto</v>
      </c>
      <c r="E1062" t="str">
        <f t="shared" si="67"/>
        <v>2026-08</v>
      </c>
    </row>
    <row r="1063" spans="1:5" x14ac:dyDescent="0.3">
      <c r="A1063" s="1" t="d">
        <v>2026-08-27</v>
      </c>
      <c r="B1063">
        <f t="shared" si="64"/>
        <v>2026</v>
      </c>
      <c r="C1063">
        <f t="shared" si="65"/>
        <v>8</v>
      </c>
      <c r="D1063" t="str">
        <f t="shared" si="66"/>
        <v>agosto</v>
      </c>
      <c r="E1063" t="str">
        <f t="shared" si="67"/>
        <v>2026-08</v>
      </c>
    </row>
    <row r="1064" spans="1:5" x14ac:dyDescent="0.3">
      <c r="A1064" s="1" t="d">
        <v>2026-08-28</v>
      </c>
      <c r="B1064">
        <f t="shared" si="64"/>
        <v>2026</v>
      </c>
      <c r="C1064">
        <f t="shared" si="65"/>
        <v>8</v>
      </c>
      <c r="D1064" t="str">
        <f t="shared" si="66"/>
        <v>agosto</v>
      </c>
      <c r="E1064" t="str">
        <f t="shared" si="67"/>
        <v>2026-08</v>
      </c>
    </row>
    <row r="1065" spans="1:5" x14ac:dyDescent="0.3">
      <c r="A1065" s="1" t="d">
        <v>2026-08-29</v>
      </c>
      <c r="B1065">
        <f t="shared" si="64"/>
        <v>2026</v>
      </c>
      <c r="C1065">
        <f t="shared" si="65"/>
        <v>8</v>
      </c>
      <c r="D1065" t="str">
        <f t="shared" si="66"/>
        <v>agosto</v>
      </c>
      <c r="E1065" t="str">
        <f t="shared" si="67"/>
        <v>2026-08</v>
      </c>
    </row>
    <row r="1066" spans="1:5" x14ac:dyDescent="0.3">
      <c r="A1066" s="1" t="d">
        <v>2026-08-30</v>
      </c>
      <c r="B1066">
        <f t="shared" si="64"/>
        <v>2026</v>
      </c>
      <c r="C1066">
        <f t="shared" si="65"/>
        <v>8</v>
      </c>
      <c r="D1066" t="str">
        <f t="shared" si="66"/>
        <v>agosto</v>
      </c>
      <c r="E1066" t="str">
        <f t="shared" si="67"/>
        <v>2026-08</v>
      </c>
    </row>
    <row r="1067" spans="1:5" x14ac:dyDescent="0.3">
      <c r="A1067" s="1" t="d">
        <v>2026-08-31</v>
      </c>
      <c r="B1067">
        <f t="shared" si="64"/>
        <v>2026</v>
      </c>
      <c r="C1067">
        <f t="shared" si="65"/>
        <v>8</v>
      </c>
      <c r="D1067" t="str">
        <f t="shared" si="66"/>
        <v>agosto</v>
      </c>
      <c r="E1067" t="str">
        <f t="shared" si="67"/>
        <v>2026-08</v>
      </c>
    </row>
    <row r="1068" spans="1:5" x14ac:dyDescent="0.3">
      <c r="A1068" s="1" t="d">
        <v>2026-09-01</v>
      </c>
      <c r="B1068">
        <f t="shared" si="64"/>
        <v>2026</v>
      </c>
      <c r="C1068">
        <f t="shared" si="65"/>
        <v>9</v>
      </c>
      <c r="D1068" t="str">
        <f t="shared" si="66"/>
        <v>setembro</v>
      </c>
      <c r="E1068" t="str">
        <f t="shared" si="67"/>
        <v>2026-09</v>
      </c>
    </row>
    <row r="1069" spans="1:5" x14ac:dyDescent="0.3">
      <c r="A1069" s="1" t="d">
        <v>2026-09-02</v>
      </c>
      <c r="B1069">
        <f t="shared" si="64"/>
        <v>2026</v>
      </c>
      <c r="C1069">
        <f t="shared" si="65"/>
        <v>9</v>
      </c>
      <c r="D1069" t="str">
        <f t="shared" si="66"/>
        <v>setembro</v>
      </c>
      <c r="E1069" t="str">
        <f t="shared" si="67"/>
        <v>2026-09</v>
      </c>
    </row>
    <row r="1070" spans="1:5" x14ac:dyDescent="0.3">
      <c r="A1070" s="1" t="d">
        <v>2026-09-03</v>
      </c>
      <c r="B1070">
        <f t="shared" si="64"/>
        <v>2026</v>
      </c>
      <c r="C1070">
        <f t="shared" si="65"/>
        <v>9</v>
      </c>
      <c r="D1070" t="str">
        <f t="shared" si="66"/>
        <v>setembro</v>
      </c>
      <c r="E1070" t="str">
        <f t="shared" si="67"/>
        <v>2026-09</v>
      </c>
    </row>
    <row r="1071" spans="1:5" x14ac:dyDescent="0.3">
      <c r="A1071" s="1" t="d">
        <v>2026-09-04</v>
      </c>
      <c r="B1071">
        <f t="shared" si="64"/>
        <v>2026</v>
      </c>
      <c r="C1071">
        <f t="shared" si="65"/>
        <v>9</v>
      </c>
      <c r="D1071" t="str">
        <f t="shared" si="66"/>
        <v>setembro</v>
      </c>
      <c r="E1071" t="str">
        <f t="shared" si="67"/>
        <v>2026-09</v>
      </c>
    </row>
    <row r="1072" spans="1:5" x14ac:dyDescent="0.3">
      <c r="A1072" s="1" t="d">
        <v>2026-09-05</v>
      </c>
      <c r="B1072">
        <f t="shared" si="64"/>
        <v>2026</v>
      </c>
      <c r="C1072">
        <f t="shared" si="65"/>
        <v>9</v>
      </c>
      <c r="D1072" t="str">
        <f t="shared" si="66"/>
        <v>setembro</v>
      </c>
      <c r="E1072" t="str">
        <f t="shared" si="67"/>
        <v>2026-09</v>
      </c>
    </row>
    <row r="1073" spans="1:5" x14ac:dyDescent="0.3">
      <c r="A1073" s="1" t="d">
        <v>2026-09-06</v>
      </c>
      <c r="B1073">
        <f t="shared" si="64"/>
        <v>2026</v>
      </c>
      <c r="C1073">
        <f t="shared" si="65"/>
        <v>9</v>
      </c>
      <c r="D1073" t="str">
        <f t="shared" si="66"/>
        <v>setembro</v>
      </c>
      <c r="E1073" t="str">
        <f t="shared" si="67"/>
        <v>2026-09</v>
      </c>
    </row>
    <row r="1074" spans="1:5" x14ac:dyDescent="0.3">
      <c r="A1074" s="1" t="d">
        <v>2026-09-07</v>
      </c>
      <c r="B1074">
        <f t="shared" si="64"/>
        <v>2026</v>
      </c>
      <c r="C1074">
        <f t="shared" si="65"/>
        <v>9</v>
      </c>
      <c r="D1074" t="str">
        <f t="shared" si="66"/>
        <v>setembro</v>
      </c>
      <c r="E1074" t="str">
        <f t="shared" si="67"/>
        <v>2026-09</v>
      </c>
    </row>
    <row r="1075" spans="1:5" x14ac:dyDescent="0.3">
      <c r="A1075" s="1" t="d">
        <v>2026-09-08</v>
      </c>
      <c r="B1075">
        <f t="shared" si="64"/>
        <v>2026</v>
      </c>
      <c r="C1075">
        <f t="shared" si="65"/>
        <v>9</v>
      </c>
      <c r="D1075" t="str">
        <f t="shared" si="66"/>
        <v>setembro</v>
      </c>
      <c r="E1075" t="str">
        <f t="shared" si="67"/>
        <v>2026-09</v>
      </c>
    </row>
    <row r="1076" spans="1:5" x14ac:dyDescent="0.3">
      <c r="A1076" s="1" t="d">
        <v>2026-09-09</v>
      </c>
      <c r="B1076">
        <f t="shared" si="64"/>
        <v>2026</v>
      </c>
      <c r="C1076">
        <f t="shared" si="65"/>
        <v>9</v>
      </c>
      <c r="D1076" t="str">
        <f t="shared" si="66"/>
        <v>setembro</v>
      </c>
      <c r="E1076" t="str">
        <f t="shared" si="67"/>
        <v>2026-09</v>
      </c>
    </row>
    <row r="1077" spans="1:5" x14ac:dyDescent="0.3">
      <c r="A1077" s="1" t="d">
        <v>2026-09-10</v>
      </c>
      <c r="B1077">
        <f t="shared" si="64"/>
        <v>2026</v>
      </c>
      <c r="C1077">
        <f t="shared" si="65"/>
        <v>9</v>
      </c>
      <c r="D1077" t="str">
        <f t="shared" si="66"/>
        <v>setembro</v>
      </c>
      <c r="E1077" t="str">
        <f t="shared" si="67"/>
        <v>2026-09</v>
      </c>
    </row>
    <row r="1078" spans="1:5" x14ac:dyDescent="0.3">
      <c r="A1078" s="1" t="d">
        <v>2026-09-11</v>
      </c>
      <c r="B1078">
        <f t="shared" si="64"/>
        <v>2026</v>
      </c>
      <c r="C1078">
        <f t="shared" si="65"/>
        <v>9</v>
      </c>
      <c r="D1078" t="str">
        <f t="shared" si="66"/>
        <v>setembro</v>
      </c>
      <c r="E1078" t="str">
        <f t="shared" si="67"/>
        <v>2026-09</v>
      </c>
    </row>
    <row r="1079" spans="1:5" x14ac:dyDescent="0.3">
      <c r="A1079" s="1" t="d">
        <v>2026-09-12</v>
      </c>
      <c r="B1079">
        <f t="shared" si="64"/>
        <v>2026</v>
      </c>
      <c r="C1079">
        <f t="shared" si="65"/>
        <v>9</v>
      </c>
      <c r="D1079" t="str">
        <f t="shared" si="66"/>
        <v>setembro</v>
      </c>
      <c r="E1079" t="str">
        <f t="shared" si="67"/>
        <v>2026-09</v>
      </c>
    </row>
    <row r="1080" spans="1:5" x14ac:dyDescent="0.3">
      <c r="A1080" s="1" t="d">
        <v>2026-09-13</v>
      </c>
      <c r="B1080">
        <f t="shared" si="64"/>
        <v>2026</v>
      </c>
      <c r="C1080">
        <f t="shared" si="65"/>
        <v>9</v>
      </c>
      <c r="D1080" t="str">
        <f t="shared" si="66"/>
        <v>setembro</v>
      </c>
      <c r="E1080" t="str">
        <f t="shared" si="67"/>
        <v>2026-09</v>
      </c>
    </row>
    <row r="1081" spans="1:5" x14ac:dyDescent="0.3">
      <c r="A1081" s="1" t="d">
        <v>2026-09-14</v>
      </c>
      <c r="B1081">
        <f t="shared" si="64"/>
        <v>2026</v>
      </c>
      <c r="C1081">
        <f t="shared" si="65"/>
        <v>9</v>
      </c>
      <c r="D1081" t="str">
        <f t="shared" si="66"/>
        <v>setembro</v>
      </c>
      <c r="E1081" t="str">
        <f t="shared" si="67"/>
        <v>2026-09</v>
      </c>
    </row>
    <row r="1082" spans="1:5" x14ac:dyDescent="0.3">
      <c r="A1082" s="1" t="d">
        <v>2026-09-15</v>
      </c>
      <c r="B1082">
        <f t="shared" si="64"/>
        <v>2026</v>
      </c>
      <c r="C1082">
        <f t="shared" si="65"/>
        <v>9</v>
      </c>
      <c r="D1082" t="str">
        <f t="shared" si="66"/>
        <v>setembro</v>
      </c>
      <c r="E1082" t="str">
        <f t="shared" si="67"/>
        <v>2026-09</v>
      </c>
    </row>
    <row r="1083" spans="1:5" x14ac:dyDescent="0.3">
      <c r="A1083" s="1" t="d">
        <v>2026-09-16</v>
      </c>
      <c r="B1083">
        <f t="shared" si="64"/>
        <v>2026</v>
      </c>
      <c r="C1083">
        <f t="shared" si="65"/>
        <v>9</v>
      </c>
      <c r="D1083" t="str">
        <f t="shared" si="66"/>
        <v>setembro</v>
      </c>
      <c r="E1083" t="str">
        <f t="shared" si="67"/>
        <v>2026-09</v>
      </c>
    </row>
    <row r="1084" spans="1:5" x14ac:dyDescent="0.3">
      <c r="A1084" s="1" t="d">
        <v>2026-09-17</v>
      </c>
      <c r="B1084">
        <f t="shared" si="64"/>
        <v>2026</v>
      </c>
      <c r="C1084">
        <f t="shared" si="65"/>
        <v>9</v>
      </c>
      <c r="D1084" t="str">
        <f t="shared" si="66"/>
        <v>setembro</v>
      </c>
      <c r="E1084" t="str">
        <f t="shared" si="67"/>
        <v>2026-09</v>
      </c>
    </row>
    <row r="1085" spans="1:5" x14ac:dyDescent="0.3">
      <c r="A1085" s="1" t="d">
        <v>2026-09-18</v>
      </c>
      <c r="B1085">
        <f t="shared" si="64"/>
        <v>2026</v>
      </c>
      <c r="C1085">
        <f t="shared" si="65"/>
        <v>9</v>
      </c>
      <c r="D1085" t="str">
        <f t="shared" si="66"/>
        <v>setembro</v>
      </c>
      <c r="E1085" t="str">
        <f t="shared" si="67"/>
        <v>2026-09</v>
      </c>
    </row>
    <row r="1086" spans="1:5" x14ac:dyDescent="0.3">
      <c r="A1086" s="1" t="d">
        <v>2026-09-19</v>
      </c>
      <c r="B1086">
        <f t="shared" si="64"/>
        <v>2026</v>
      </c>
      <c r="C1086">
        <f t="shared" si="65"/>
        <v>9</v>
      </c>
      <c r="D1086" t="str">
        <f t="shared" si="66"/>
        <v>setembro</v>
      </c>
      <c r="E1086" t="str">
        <f t="shared" si="67"/>
        <v>2026-09</v>
      </c>
    </row>
    <row r="1087" spans="1:5" x14ac:dyDescent="0.3">
      <c r="A1087" s="1" t="d">
        <v>2026-09-20</v>
      </c>
      <c r="B1087">
        <f t="shared" si="64"/>
        <v>2026</v>
      </c>
      <c r="C1087">
        <f t="shared" si="65"/>
        <v>9</v>
      </c>
      <c r="D1087" t="str">
        <f t="shared" si="66"/>
        <v>setembro</v>
      </c>
      <c r="E1087" t="str">
        <f t="shared" si="67"/>
        <v>2026-09</v>
      </c>
    </row>
    <row r="1088" spans="1:5" x14ac:dyDescent="0.3">
      <c r="A1088" s="1" t="d">
        <v>2026-09-21</v>
      </c>
      <c r="B1088">
        <f t="shared" si="64"/>
        <v>2026</v>
      </c>
      <c r="C1088">
        <f t="shared" si="65"/>
        <v>9</v>
      </c>
      <c r="D1088" t="str">
        <f t="shared" si="66"/>
        <v>setembro</v>
      </c>
      <c r="E1088" t="str">
        <f t="shared" si="67"/>
        <v>2026-09</v>
      </c>
    </row>
    <row r="1089" spans="1:5" x14ac:dyDescent="0.3">
      <c r="A1089" s="1" t="d">
        <v>2026-09-22</v>
      </c>
      <c r="B1089">
        <f t="shared" si="64"/>
        <v>2026</v>
      </c>
      <c r="C1089">
        <f t="shared" si="65"/>
        <v>9</v>
      </c>
      <c r="D1089" t="str">
        <f t="shared" si="66"/>
        <v>setembro</v>
      </c>
      <c r="E1089" t="str">
        <f t="shared" si="67"/>
        <v>2026-09</v>
      </c>
    </row>
    <row r="1090" spans="1:5" x14ac:dyDescent="0.3">
      <c r="A1090" s="1" t="d">
        <v>2026-09-23</v>
      </c>
      <c r="B1090">
        <f t="shared" si="64"/>
        <v>2026</v>
      </c>
      <c r="C1090">
        <f t="shared" si="65"/>
        <v>9</v>
      </c>
      <c r="D1090" t="str">
        <f t="shared" si="66"/>
        <v>setembro</v>
      </c>
      <c r="E1090" t="str">
        <f t="shared" si="67"/>
        <v>2026-09</v>
      </c>
    </row>
    <row r="1091" spans="1:5" x14ac:dyDescent="0.3">
      <c r="A1091" s="1" t="d">
        <v>2026-09-24</v>
      </c>
      <c r="B1091">
        <f t="shared" ref="B1091:B1097" si="68">YEAR(A1091)</f>
        <v>2026</v>
      </c>
      <c r="C1091">
        <f t="shared" ref="C1091:C1097" si="69">MONTH(A1091)</f>
        <v>9</v>
      </c>
      <c r="D1091" t="str">
        <f t="shared" ref="D1091:D1097" si="70">TEXT(A1091, "mmmm")</f>
        <v>setembro</v>
      </c>
      <c r="E1091" t="str">
        <f t="shared" ref="E1091:E1097" si="71">TEXT(A1091, "aaaa-mm")</f>
        <v>2026-09</v>
      </c>
    </row>
    <row r="1092" spans="1:5" x14ac:dyDescent="0.3">
      <c r="A1092" s="1" t="d">
        <v>2026-09-25</v>
      </c>
      <c r="B1092">
        <f t="shared" si="68"/>
        <v>2026</v>
      </c>
      <c r="C1092">
        <f t="shared" si="69"/>
        <v>9</v>
      </c>
      <c r="D1092" t="str">
        <f t="shared" si="70"/>
        <v>setembro</v>
      </c>
      <c r="E1092" t="str">
        <f t="shared" si="71"/>
        <v>2026-09</v>
      </c>
    </row>
    <row r="1093" spans="1:5" x14ac:dyDescent="0.3">
      <c r="A1093" s="1" t="d">
        <v>2026-09-26</v>
      </c>
      <c r="B1093">
        <f t="shared" si="68"/>
        <v>2026</v>
      </c>
      <c r="C1093">
        <f t="shared" si="69"/>
        <v>9</v>
      </c>
      <c r="D1093" t="str">
        <f t="shared" si="70"/>
        <v>setembro</v>
      </c>
      <c r="E1093" t="str">
        <f t="shared" si="71"/>
        <v>2026-09</v>
      </c>
    </row>
    <row r="1094" spans="1:5" x14ac:dyDescent="0.3">
      <c r="A1094" s="1" t="d">
        <v>2026-09-27</v>
      </c>
      <c r="B1094">
        <f t="shared" si="68"/>
        <v>2026</v>
      </c>
      <c r="C1094">
        <f t="shared" si="69"/>
        <v>9</v>
      </c>
      <c r="D1094" t="str">
        <f t="shared" si="70"/>
        <v>setembro</v>
      </c>
      <c r="E1094" t="str">
        <f t="shared" si="71"/>
        <v>2026-09</v>
      </c>
    </row>
    <row r="1095" spans="1:5" x14ac:dyDescent="0.3">
      <c r="A1095" s="1" t="d">
        <v>2026-09-28</v>
      </c>
      <c r="B1095">
        <f t="shared" si="68"/>
        <v>2026</v>
      </c>
      <c r="C1095">
        <f t="shared" si="69"/>
        <v>9</v>
      </c>
      <c r="D1095" t="str">
        <f t="shared" si="70"/>
        <v>setembro</v>
      </c>
      <c r="E1095" t="str">
        <f t="shared" si="71"/>
        <v>2026-09</v>
      </c>
    </row>
    <row r="1096" spans="1:5" x14ac:dyDescent="0.3">
      <c r="A1096" s="1" t="d">
        <v>2026-09-29</v>
      </c>
      <c r="B1096">
        <f t="shared" si="68"/>
        <v>2026</v>
      </c>
      <c r="C1096">
        <f t="shared" si="69"/>
        <v>9</v>
      </c>
      <c r="D1096" t="str">
        <f t="shared" si="70"/>
        <v>setembro</v>
      </c>
      <c r="E1096" t="str">
        <f t="shared" si="71"/>
        <v>2026-09</v>
      </c>
    </row>
    <row r="1097" spans="1:5" x14ac:dyDescent="0.3">
      <c r="A1097" s="1" t="d">
        <v>2026-09-30</v>
      </c>
      <c r="B1097">
        <f t="shared" si="68"/>
        <v>2026</v>
      </c>
      <c r="C1097">
        <f t="shared" si="69"/>
        <v>9</v>
      </c>
      <c r="D1097" t="str">
        <f t="shared" si="70"/>
        <v>setembro</v>
      </c>
      <c r="E1097" t="str">
        <f t="shared" si="71"/>
        <v>2026-09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Analises_Desp</vt:lpstr>
      <vt:lpstr>Dashboard</vt:lpstr>
      <vt:lpstr>Dashboard (2)</vt:lpstr>
      <vt:lpstr>Dashboard (3)</vt:lpstr>
      <vt:lpstr>Dashboard (4)</vt:lpstr>
      <vt:lpstr>Fato_Producao</vt:lpstr>
      <vt:lpstr>Dim_Produtos</vt:lpstr>
      <vt:lpstr>Dim_Calendario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Silva</dc:creator>
  <cp:lastModifiedBy>João Silva</cp:lastModifiedBy>
  <dcterms:created xsi:type="dcterms:W3CDTF">2026-10-01T22:17:27Z</dcterms:created>
  <dcterms:modified xsi:type="dcterms:W3CDTF">2026-10-12T23:26:29Z</dcterms:modified>
</cp:coreProperties>
</file>